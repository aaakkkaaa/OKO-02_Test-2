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\Тест\"/>
    </mc:Choice>
  </mc:AlternateContent>
  <bookViews>
    <workbookView xWindow="0" yWindow="0" windowWidth="28800" windowHeight="12330" activeTab="4"/>
  </bookViews>
  <sheets>
    <sheet name="Beacons" sheetId="1" r:id="rId1"/>
    <sheet name="Params" sheetId="11" r:id="rId2"/>
    <sheet name="FIN123" sheetId="2" r:id="rId3"/>
    <sheet name="AFR01" sheetId="13" r:id="rId4"/>
    <sheet name="GZP155" sheetId="14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7" i="14" l="1"/>
  <c r="O66" i="14"/>
  <c r="O65" i="14"/>
  <c r="D126" i="14"/>
  <c r="D127" i="14" s="1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227" i="14" s="1"/>
  <c r="D228" i="14" s="1"/>
  <c r="D229" i="14" s="1"/>
  <c r="D230" i="14" s="1"/>
  <c r="D231" i="14" s="1"/>
  <c r="D232" i="14" s="1"/>
  <c r="D233" i="14" s="1"/>
  <c r="D234" i="14" s="1"/>
  <c r="D235" i="14" s="1"/>
  <c r="D236" i="14" s="1"/>
  <c r="D237" i="14" s="1"/>
  <c r="D238" i="14" s="1"/>
  <c r="D239" i="14" s="1"/>
  <c r="D240" i="14" s="1"/>
  <c r="D241" i="14" s="1"/>
  <c r="D242" i="14" s="1"/>
  <c r="D243" i="14" s="1"/>
  <c r="D244" i="14" s="1"/>
  <c r="D245" i="14" s="1"/>
  <c r="D246" i="14" s="1"/>
  <c r="D247" i="14" s="1"/>
  <c r="D66" i="14"/>
  <c r="H26" i="1"/>
  <c r="J26" i="1" s="1"/>
  <c r="I26" i="1"/>
  <c r="K26" i="1" s="1"/>
  <c r="N26" i="1"/>
  <c r="O26" i="1"/>
  <c r="C9" i="14"/>
  <c r="C10" i="14" s="1"/>
  <c r="C8" i="14"/>
  <c r="C7" i="14"/>
  <c r="A7" i="14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A235" i="14" s="1"/>
  <c r="A236" i="14" s="1"/>
  <c r="A237" i="14" s="1"/>
  <c r="A238" i="14" s="1"/>
  <c r="A239" i="14" s="1"/>
  <c r="A240" i="14" s="1"/>
  <c r="A241" i="14" s="1"/>
  <c r="A242" i="14" s="1"/>
  <c r="A243" i="14" s="1"/>
  <c r="A244" i="14" s="1"/>
  <c r="A245" i="14" s="1"/>
  <c r="A246" i="14" s="1"/>
  <c r="A247" i="14" s="1"/>
  <c r="D6" i="14"/>
  <c r="D7" i="14" s="1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67" i="14" s="1"/>
  <c r="D68" i="14" s="1"/>
  <c r="D69" i="14" s="1"/>
  <c r="D70" i="14" s="1"/>
  <c r="D71" i="14" s="1"/>
  <c r="D72" i="14" s="1"/>
  <c r="D73" i="14" s="1"/>
  <c r="D74" i="14" s="1"/>
  <c r="D75" i="14" s="1"/>
  <c r="D76" i="14" s="1"/>
  <c r="D77" i="14" s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2" i="14" s="1"/>
  <c r="D103" i="14" s="1"/>
  <c r="D104" i="14" s="1"/>
  <c r="D105" i="14" s="1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4" i="14" s="1"/>
  <c r="D125" i="14" s="1"/>
  <c r="A6" i="14"/>
  <c r="B6" i="14" s="1"/>
  <c r="B7" i="14" s="1"/>
  <c r="N4" i="14"/>
  <c r="M4" i="14"/>
  <c r="G4" i="14"/>
  <c r="J3" i="14" s="1"/>
  <c r="F4" i="14"/>
  <c r="E4" i="14"/>
  <c r="N3" i="14"/>
  <c r="M3" i="14"/>
  <c r="G3" i="14"/>
  <c r="F3" i="14"/>
  <c r="E3" i="14"/>
  <c r="N2" i="14"/>
  <c r="M2" i="14"/>
  <c r="G2" i="14"/>
  <c r="J2" i="14" s="1"/>
  <c r="F2" i="14"/>
  <c r="E2" i="14"/>
  <c r="D138" i="13"/>
  <c r="D126" i="13"/>
  <c r="O127" i="13"/>
  <c r="O126" i="13"/>
  <c r="O125" i="13"/>
  <c r="D139" i="13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246" i="13" s="1"/>
  <c r="D247" i="13" s="1"/>
  <c r="D7" i="13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5" i="13" s="1"/>
  <c r="D116" i="13" s="1"/>
  <c r="D117" i="13" s="1"/>
  <c r="D118" i="13" s="1"/>
  <c r="D119" i="13" s="1"/>
  <c r="D120" i="13" s="1"/>
  <c r="D121" i="13" s="1"/>
  <c r="D122" i="13" s="1"/>
  <c r="D123" i="13" s="1"/>
  <c r="D124" i="13" s="1"/>
  <c r="D125" i="13" s="1"/>
  <c r="D127" i="13" s="1"/>
  <c r="D128" i="13" s="1"/>
  <c r="D129" i="13" s="1"/>
  <c r="D130" i="13" s="1"/>
  <c r="D131" i="13" s="1"/>
  <c r="D132" i="13" s="1"/>
  <c r="D133" i="13" s="1"/>
  <c r="D134" i="13" s="1"/>
  <c r="D135" i="13" s="1"/>
  <c r="D136" i="13" s="1"/>
  <c r="D137" i="13" s="1"/>
  <c r="C7" i="13"/>
  <c r="C8" i="13" s="1"/>
  <c r="D6" i="13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N4" i="13"/>
  <c r="M4" i="13"/>
  <c r="G4" i="13"/>
  <c r="F4" i="13"/>
  <c r="E4" i="13"/>
  <c r="H3" i="13" s="1"/>
  <c r="N3" i="13"/>
  <c r="M3" i="13"/>
  <c r="G3" i="13"/>
  <c r="J3" i="13" s="1"/>
  <c r="F3" i="13"/>
  <c r="I3" i="13" s="1"/>
  <c r="E3" i="13"/>
  <c r="N2" i="13"/>
  <c r="M2" i="13"/>
  <c r="J2" i="13"/>
  <c r="G2" i="13"/>
  <c r="F2" i="13"/>
  <c r="E2" i="13"/>
  <c r="O139" i="2"/>
  <c r="O138" i="2"/>
  <c r="O137" i="2"/>
  <c r="C8" i="2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247" i="2" s="1"/>
  <c r="C7" i="2"/>
  <c r="D138" i="2"/>
  <c r="D8" i="2"/>
  <c r="D9" i="2"/>
  <c r="D10" i="2"/>
  <c r="D11" i="2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7" i="2"/>
  <c r="D6" i="2"/>
  <c r="A247" i="2"/>
  <c r="B247" i="2" s="1"/>
  <c r="A238" i="2"/>
  <c r="A239" i="2" s="1"/>
  <c r="A240" i="2" s="1"/>
  <c r="A241" i="2" s="1"/>
  <c r="A242" i="2" s="1"/>
  <c r="A243" i="2" s="1"/>
  <c r="A244" i="2" s="1"/>
  <c r="A245" i="2" s="1"/>
  <c r="A246" i="2" s="1"/>
  <c r="M3" i="2"/>
  <c r="N3" i="2"/>
  <c r="M4" i="2"/>
  <c r="N4" i="2"/>
  <c r="N2" i="2"/>
  <c r="M2" i="2"/>
  <c r="G3" i="2"/>
  <c r="G4" i="2"/>
  <c r="G2" i="2"/>
  <c r="F3" i="2"/>
  <c r="F4" i="2"/>
  <c r="E3" i="2"/>
  <c r="E4" i="2"/>
  <c r="F2" i="2"/>
  <c r="E2" i="2"/>
  <c r="E2" i="11"/>
  <c r="F2" i="11" s="1"/>
  <c r="N6" i="1"/>
  <c r="N7" i="1"/>
  <c r="N8" i="1"/>
  <c r="O8" i="1"/>
  <c r="O7" i="1"/>
  <c r="O6" i="1"/>
  <c r="O30" i="1"/>
  <c r="I30" i="1"/>
  <c r="K30" i="1" s="1"/>
  <c r="N30" i="1"/>
  <c r="H30" i="1"/>
  <c r="J30" i="1" s="1"/>
  <c r="N29" i="1"/>
  <c r="O29" i="1"/>
  <c r="I29" i="1"/>
  <c r="H29" i="1"/>
  <c r="J29" i="1" s="1"/>
  <c r="O28" i="1"/>
  <c r="I28" i="1"/>
  <c r="N28" i="1"/>
  <c r="H28" i="1"/>
  <c r="J28" i="1" s="1"/>
  <c r="G66" i="14"/>
  <c r="G65" i="14"/>
  <c r="E136" i="13"/>
  <c r="G139" i="13"/>
  <c r="F136" i="13"/>
  <c r="F140" i="13"/>
  <c r="G136" i="13"/>
  <c r="E137" i="13"/>
  <c r="G140" i="13"/>
  <c r="E140" i="13"/>
  <c r="F137" i="13"/>
  <c r="G137" i="13"/>
  <c r="E138" i="13"/>
  <c r="G138" i="13"/>
  <c r="F138" i="13"/>
  <c r="E139" i="13"/>
  <c r="F139" i="13"/>
  <c r="G126" i="13"/>
  <c r="G125" i="13"/>
  <c r="G51" i="2"/>
  <c r="G55" i="2"/>
  <c r="G59" i="2"/>
  <c r="G63" i="2"/>
  <c r="G48" i="2"/>
  <c r="G52" i="2"/>
  <c r="G56" i="2"/>
  <c r="G60" i="2"/>
  <c r="G64" i="2"/>
  <c r="G68" i="2"/>
  <c r="G67" i="2"/>
  <c r="G49" i="2"/>
  <c r="G53" i="2"/>
  <c r="G57" i="2"/>
  <c r="G61" i="2"/>
  <c r="G65" i="2"/>
  <c r="G50" i="2"/>
  <c r="G54" i="2"/>
  <c r="G58" i="2"/>
  <c r="G62" i="2"/>
  <c r="G66" i="2"/>
  <c r="J65" i="14" l="1"/>
  <c r="K3" i="13"/>
  <c r="O3" i="13"/>
  <c r="H3" i="14"/>
  <c r="P3" i="13"/>
  <c r="H2" i="14"/>
  <c r="O3" i="14"/>
  <c r="O2" i="14"/>
  <c r="I2" i="14"/>
  <c r="P2" i="14"/>
  <c r="I3" i="14"/>
  <c r="P3" i="14"/>
  <c r="C11" i="14"/>
  <c r="B8" i="14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I138" i="13"/>
  <c r="H138" i="13"/>
  <c r="I137" i="13"/>
  <c r="J137" i="13"/>
  <c r="H137" i="13"/>
  <c r="J136" i="13"/>
  <c r="I136" i="13"/>
  <c r="H139" i="13"/>
  <c r="J139" i="13"/>
  <c r="H136" i="13"/>
  <c r="I139" i="13"/>
  <c r="J138" i="13"/>
  <c r="J125" i="13"/>
  <c r="O2" i="13"/>
  <c r="P2" i="13"/>
  <c r="H2" i="13"/>
  <c r="L3" i="13"/>
  <c r="C9" i="13"/>
  <c r="I2" i="13"/>
  <c r="B6" i="13"/>
  <c r="J65" i="2"/>
  <c r="J61" i="2"/>
  <c r="J57" i="2"/>
  <c r="J53" i="2"/>
  <c r="J49" i="2"/>
  <c r="J64" i="2"/>
  <c r="J60" i="2"/>
  <c r="J56" i="2"/>
  <c r="J52" i="2"/>
  <c r="J48" i="2"/>
  <c r="J66" i="2"/>
  <c r="J67" i="2"/>
  <c r="J63" i="2"/>
  <c r="J59" i="2"/>
  <c r="J55" i="2"/>
  <c r="J51" i="2"/>
  <c r="J62" i="2"/>
  <c r="J58" i="2"/>
  <c r="J54" i="2"/>
  <c r="J50" i="2"/>
  <c r="D139" i="2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D247" i="2" s="1"/>
  <c r="B238" i="2"/>
  <c r="B239" i="2" s="1"/>
  <c r="B240" i="2" s="1"/>
  <c r="B241" i="2" s="1"/>
  <c r="B242" i="2" s="1"/>
  <c r="B243" i="2" s="1"/>
  <c r="B244" i="2" s="1"/>
  <c r="B245" i="2" s="1"/>
  <c r="B246" i="2" s="1"/>
  <c r="K29" i="1"/>
  <c r="K28" i="1"/>
  <c r="O9" i="1"/>
  <c r="N9" i="1"/>
  <c r="O27" i="1"/>
  <c r="I27" i="1"/>
  <c r="K27" i="1" s="1"/>
  <c r="N27" i="1"/>
  <c r="H27" i="1"/>
  <c r="J27" i="1" s="1"/>
  <c r="O25" i="1"/>
  <c r="I25" i="1"/>
  <c r="N25" i="1"/>
  <c r="H25" i="1"/>
  <c r="O24" i="1"/>
  <c r="I24" i="1"/>
  <c r="K24" i="1" s="1"/>
  <c r="N24" i="1"/>
  <c r="H24" i="1"/>
  <c r="J24" i="1" s="1"/>
  <c r="O23" i="1"/>
  <c r="I23" i="1"/>
  <c r="N23" i="1"/>
  <c r="H23" i="1"/>
  <c r="J23" i="1" s="1"/>
  <c r="O22" i="1"/>
  <c r="I22" i="1"/>
  <c r="K22" i="1" s="1"/>
  <c r="N22" i="1"/>
  <c r="H22" i="1"/>
  <c r="J22" i="1" s="1"/>
  <c r="O21" i="1"/>
  <c r="I21" i="1"/>
  <c r="K21" i="1" s="1"/>
  <c r="N21" i="1"/>
  <c r="H21" i="1"/>
  <c r="J21" i="1" s="1"/>
  <c r="O20" i="1"/>
  <c r="I20" i="1"/>
  <c r="K20" i="1" s="1"/>
  <c r="N20" i="1"/>
  <c r="H20" i="1"/>
  <c r="J20" i="1" s="1"/>
  <c r="O19" i="1"/>
  <c r="I19" i="1"/>
  <c r="K19" i="1" s="1"/>
  <c r="N19" i="1"/>
  <c r="H19" i="1"/>
  <c r="J19" i="1" s="1"/>
  <c r="O18" i="1"/>
  <c r="I18" i="1"/>
  <c r="J38" i="1" s="1"/>
  <c r="N18" i="1"/>
  <c r="H18" i="1"/>
  <c r="O17" i="1"/>
  <c r="I17" i="1"/>
  <c r="N17" i="1"/>
  <c r="H17" i="1"/>
  <c r="J17" i="1" s="1"/>
  <c r="M140" i="13"/>
  <c r="M138" i="13"/>
  <c r="M139" i="13"/>
  <c r="M137" i="13"/>
  <c r="M136" i="13"/>
  <c r="N139" i="13"/>
  <c r="N138" i="13"/>
  <c r="N137" i="13"/>
  <c r="N140" i="13"/>
  <c r="N136" i="13"/>
  <c r="F6" i="14"/>
  <c r="N6" i="14"/>
  <c r="E7" i="14"/>
  <c r="E8" i="14"/>
  <c r="N7" i="14"/>
  <c r="M7" i="14"/>
  <c r="E9" i="14"/>
  <c r="G7" i="14"/>
  <c r="F7" i="14"/>
  <c r="E6" i="14"/>
  <c r="G6" i="14"/>
  <c r="M10" i="14"/>
  <c r="M6" i="14"/>
  <c r="F8" i="14"/>
  <c r="N8" i="14"/>
  <c r="K2" i="14" l="1"/>
  <c r="K3" i="14"/>
  <c r="L2" i="13"/>
  <c r="L3" i="14"/>
  <c r="L2" i="14"/>
  <c r="I7" i="14"/>
  <c r="I6" i="14"/>
  <c r="J6" i="14"/>
  <c r="H8" i="14"/>
  <c r="H7" i="14"/>
  <c r="H6" i="14"/>
  <c r="C12" i="14"/>
  <c r="B126" i="14"/>
  <c r="L139" i="13"/>
  <c r="L137" i="13"/>
  <c r="L138" i="13"/>
  <c r="L136" i="13"/>
  <c r="K139" i="13"/>
  <c r="K137" i="13"/>
  <c r="K136" i="13"/>
  <c r="K138" i="13"/>
  <c r="C10" i="13"/>
  <c r="B7" i="13"/>
  <c r="K2" i="13"/>
  <c r="K25" i="1"/>
  <c r="J37" i="1"/>
  <c r="J25" i="1"/>
  <c r="I37" i="1"/>
  <c r="J18" i="1"/>
  <c r="I38" i="1"/>
  <c r="K18" i="1"/>
  <c r="K23" i="1"/>
  <c r="K17" i="1"/>
  <c r="O16" i="1"/>
  <c r="N16" i="1"/>
  <c r="O15" i="1"/>
  <c r="N15" i="1"/>
  <c r="O14" i="1"/>
  <c r="N14" i="1"/>
  <c r="O13" i="1"/>
  <c r="N13" i="1"/>
  <c r="O12" i="1"/>
  <c r="N12" i="1"/>
  <c r="O11" i="1"/>
  <c r="N11" i="1"/>
  <c r="O10" i="1"/>
  <c r="N10" i="1"/>
  <c r="H6" i="1"/>
  <c r="J6" i="1" s="1"/>
  <c r="I6" i="1"/>
  <c r="K6" i="1" s="1"/>
  <c r="M11" i="14"/>
  <c r="N10" i="14"/>
  <c r="M9" i="14"/>
  <c r="E11" i="14"/>
  <c r="N9" i="14"/>
  <c r="F9" i="14"/>
  <c r="G8" i="14"/>
  <c r="G11" i="14"/>
  <c r="M8" i="14"/>
  <c r="F11" i="14"/>
  <c r="G9" i="14"/>
  <c r="F10" i="14"/>
  <c r="E10" i="14"/>
  <c r="G10" i="14"/>
  <c r="N11" i="14"/>
  <c r="M6" i="13"/>
  <c r="G6" i="13"/>
  <c r="E6" i="13"/>
  <c r="N6" i="13"/>
  <c r="F6" i="13"/>
  <c r="K6" i="14" l="1"/>
  <c r="K7" i="14"/>
  <c r="J9" i="14"/>
  <c r="H9" i="14"/>
  <c r="I9" i="14"/>
  <c r="J8" i="14"/>
  <c r="I10" i="14"/>
  <c r="J10" i="14"/>
  <c r="J7" i="14"/>
  <c r="I8" i="14"/>
  <c r="L8" i="14" s="1"/>
  <c r="H10" i="14"/>
  <c r="B127" i="14"/>
  <c r="C13" i="14"/>
  <c r="L6" i="14"/>
  <c r="L7" i="14"/>
  <c r="B8" i="13"/>
  <c r="C11" i="13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M12" i="14"/>
  <c r="E12" i="14"/>
  <c r="G12" i="14"/>
  <c r="F12" i="14"/>
  <c r="N12" i="14"/>
  <c r="N7" i="13"/>
  <c r="F7" i="13"/>
  <c r="G7" i="13"/>
  <c r="M7" i="13"/>
  <c r="E7" i="13"/>
  <c r="L10" i="14" l="1"/>
  <c r="L9" i="14"/>
  <c r="I11" i="14"/>
  <c r="J11" i="14"/>
  <c r="H11" i="14"/>
  <c r="C14" i="14"/>
  <c r="B128" i="14"/>
  <c r="K9" i="14"/>
  <c r="K8" i="14"/>
  <c r="K10" i="14"/>
  <c r="H6" i="13"/>
  <c r="J6" i="13"/>
  <c r="I6" i="13"/>
  <c r="C12" i="13"/>
  <c r="B9" i="13"/>
  <c r="A6" i="2"/>
  <c r="N13" i="14"/>
  <c r="E13" i="14"/>
  <c r="F13" i="14"/>
  <c r="M13" i="14"/>
  <c r="G13" i="14"/>
  <c r="N8" i="13"/>
  <c r="E8" i="13"/>
  <c r="G8" i="13"/>
  <c r="M8" i="13"/>
  <c r="F8" i="13"/>
  <c r="K11" i="14" l="1"/>
  <c r="J12" i="14"/>
  <c r="I12" i="14"/>
  <c r="H12" i="14"/>
  <c r="C15" i="14"/>
  <c r="L11" i="14"/>
  <c r="B129" i="14"/>
  <c r="K6" i="13"/>
  <c r="I7" i="13"/>
  <c r="J7" i="13"/>
  <c r="H7" i="13"/>
  <c r="C13" i="13"/>
  <c r="L6" i="13"/>
  <c r="B10" i="13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B6" i="2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F14" i="14"/>
  <c r="N14" i="14"/>
  <c r="G14" i="14"/>
  <c r="E14" i="14"/>
  <c r="M14" i="14"/>
  <c r="N9" i="13"/>
  <c r="F9" i="13"/>
  <c r="M9" i="13"/>
  <c r="G9" i="13"/>
  <c r="E9" i="13"/>
  <c r="L12" i="14" l="1"/>
  <c r="H13" i="14"/>
  <c r="J13" i="14"/>
  <c r="I13" i="14"/>
  <c r="B130" i="14"/>
  <c r="K12" i="14"/>
  <c r="C16" i="14"/>
  <c r="L7" i="13"/>
  <c r="H8" i="13"/>
  <c r="J8" i="13"/>
  <c r="I8" i="13"/>
  <c r="B11" i="13"/>
  <c r="K7" i="13"/>
  <c r="C14" i="13"/>
  <c r="A54" i="2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B53" i="2"/>
  <c r="G15" i="14"/>
  <c r="N15" i="14"/>
  <c r="M15" i="14"/>
  <c r="F15" i="14"/>
  <c r="E15" i="14"/>
  <c r="E10" i="13"/>
  <c r="M10" i="13"/>
  <c r="F10" i="13"/>
  <c r="G10" i="13"/>
  <c r="N10" i="13"/>
  <c r="L13" i="14" l="1"/>
  <c r="H14" i="14"/>
  <c r="I14" i="14"/>
  <c r="J14" i="14"/>
  <c r="C17" i="14"/>
  <c r="K13" i="14"/>
  <c r="B131" i="14"/>
  <c r="L8" i="13"/>
  <c r="J9" i="13"/>
  <c r="I9" i="13"/>
  <c r="H9" i="13"/>
  <c r="C15" i="13"/>
  <c r="B12" i="13"/>
  <c r="K8" i="13"/>
  <c r="A140" i="2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B54" i="2"/>
  <c r="H2" i="2"/>
  <c r="H3" i="2"/>
  <c r="I13" i="1"/>
  <c r="K13" i="1" s="1"/>
  <c r="H13" i="1"/>
  <c r="J13" i="1" s="1"/>
  <c r="E67" i="2"/>
  <c r="E63" i="2"/>
  <c r="E59" i="2"/>
  <c r="E55" i="2"/>
  <c r="E51" i="2"/>
  <c r="E68" i="2"/>
  <c r="E66" i="2"/>
  <c r="E62" i="2"/>
  <c r="E58" i="2"/>
  <c r="E54" i="2"/>
  <c r="E50" i="2"/>
  <c r="E57" i="2"/>
  <c r="E53" i="2"/>
  <c r="E49" i="2"/>
  <c r="E65" i="2"/>
  <c r="E61" i="2"/>
  <c r="E64" i="2"/>
  <c r="E60" i="2"/>
  <c r="E56" i="2"/>
  <c r="E52" i="2"/>
  <c r="E48" i="2"/>
  <c r="F16" i="14"/>
  <c r="M16" i="14"/>
  <c r="N16" i="14"/>
  <c r="E16" i="14"/>
  <c r="G16" i="14"/>
  <c r="M11" i="13"/>
  <c r="G11" i="13"/>
  <c r="N11" i="13"/>
  <c r="E11" i="13"/>
  <c r="F11" i="13"/>
  <c r="E18" i="2"/>
  <c r="E21" i="2"/>
  <c r="E36" i="2"/>
  <c r="E33" i="2"/>
  <c r="E26" i="2"/>
  <c r="E29" i="2"/>
  <c r="E7" i="2"/>
  <c r="E17" i="2"/>
  <c r="E38" i="2"/>
  <c r="E20" i="2"/>
  <c r="E45" i="2"/>
  <c r="E44" i="2"/>
  <c r="E42" i="2"/>
  <c r="E35" i="2"/>
  <c r="E23" i="2"/>
  <c r="E43" i="2"/>
  <c r="E11" i="2"/>
  <c r="E47" i="2"/>
  <c r="E39" i="2"/>
  <c r="E25" i="2"/>
  <c r="E28" i="2"/>
  <c r="E14" i="2"/>
  <c r="E9" i="2"/>
  <c r="E31" i="2"/>
  <c r="E32" i="2"/>
  <c r="E16" i="2"/>
  <c r="E24" i="2"/>
  <c r="E15" i="2"/>
  <c r="E46" i="2"/>
  <c r="E40" i="2"/>
  <c r="E10" i="2"/>
  <c r="E27" i="2"/>
  <c r="E6" i="2"/>
  <c r="E8" i="2"/>
  <c r="E22" i="2"/>
  <c r="E30" i="2"/>
  <c r="E12" i="2"/>
  <c r="E34" i="2"/>
  <c r="E19" i="2"/>
  <c r="E41" i="2"/>
  <c r="E37" i="2"/>
  <c r="E13" i="2"/>
  <c r="H51" i="2" l="1"/>
  <c r="H55" i="2"/>
  <c r="H59" i="2"/>
  <c r="H63" i="2"/>
  <c r="H60" i="2"/>
  <c r="H64" i="2"/>
  <c r="H48" i="2"/>
  <c r="H52" i="2"/>
  <c r="H56" i="2"/>
  <c r="H49" i="2"/>
  <c r="H53" i="2"/>
  <c r="H57" i="2"/>
  <c r="H61" i="2"/>
  <c r="H65" i="2"/>
  <c r="H67" i="2"/>
  <c r="H50" i="2"/>
  <c r="H54" i="2"/>
  <c r="H58" i="2"/>
  <c r="H62" i="2"/>
  <c r="H66" i="2"/>
  <c r="L14" i="14"/>
  <c r="J15" i="14"/>
  <c r="H15" i="14"/>
  <c r="I15" i="14"/>
  <c r="B132" i="14"/>
  <c r="C18" i="14"/>
  <c r="K14" i="14"/>
  <c r="K9" i="13"/>
  <c r="I10" i="13"/>
  <c r="H10" i="13"/>
  <c r="J10" i="13"/>
  <c r="B13" i="13"/>
  <c r="L9" i="13"/>
  <c r="C16" i="13"/>
  <c r="A162" i="2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B55" i="2"/>
  <c r="I16" i="1"/>
  <c r="H16" i="1"/>
  <c r="J16" i="1" s="1"/>
  <c r="I15" i="1"/>
  <c r="H15" i="1"/>
  <c r="J15" i="1" s="1"/>
  <c r="I14" i="1"/>
  <c r="K14" i="1" s="1"/>
  <c r="H14" i="1"/>
  <c r="J14" i="1" s="1"/>
  <c r="I12" i="1"/>
  <c r="K12" i="1" s="1"/>
  <c r="H12" i="1"/>
  <c r="J12" i="1" s="1"/>
  <c r="I11" i="1"/>
  <c r="K11" i="1" s="1"/>
  <c r="H11" i="1"/>
  <c r="J11" i="1" s="1"/>
  <c r="I10" i="1"/>
  <c r="H10" i="1"/>
  <c r="J10" i="1" s="1"/>
  <c r="I9" i="1"/>
  <c r="J34" i="1" s="1"/>
  <c r="H9" i="1"/>
  <c r="I34" i="1" s="1"/>
  <c r="I8" i="1"/>
  <c r="J35" i="1" s="1"/>
  <c r="H8" i="1"/>
  <c r="I35" i="1" s="1"/>
  <c r="I7" i="1"/>
  <c r="H7" i="1"/>
  <c r="I36" i="1" s="1"/>
  <c r="M17" i="14"/>
  <c r="F17" i="14"/>
  <c r="G17" i="14"/>
  <c r="E17" i="14"/>
  <c r="N17" i="14"/>
  <c r="E12" i="13"/>
  <c r="F12" i="13"/>
  <c r="N12" i="13"/>
  <c r="M12" i="13"/>
  <c r="G12" i="13"/>
  <c r="L15" i="14" l="1"/>
  <c r="H16" i="14"/>
  <c r="J16" i="14"/>
  <c r="I16" i="14"/>
  <c r="B133" i="14"/>
  <c r="C19" i="14"/>
  <c r="K15" i="14"/>
  <c r="K10" i="13"/>
  <c r="J11" i="13"/>
  <c r="I11" i="13"/>
  <c r="H11" i="13"/>
  <c r="B14" i="13"/>
  <c r="C17" i="13"/>
  <c r="L10" i="13"/>
  <c r="A195" i="2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K7" i="1"/>
  <c r="J36" i="1"/>
  <c r="J7" i="1"/>
  <c r="J8" i="1"/>
  <c r="K8" i="1"/>
  <c r="J9" i="1"/>
  <c r="K9" i="1"/>
  <c r="K16" i="1"/>
  <c r="K10" i="1"/>
  <c r="K15" i="1"/>
  <c r="J2" i="2"/>
  <c r="B56" i="2"/>
  <c r="J3" i="2"/>
  <c r="I3" i="2"/>
  <c r="I2" i="2"/>
  <c r="F63" i="2"/>
  <c r="F55" i="2"/>
  <c r="F51" i="2"/>
  <c r="F66" i="2"/>
  <c r="F62" i="2"/>
  <c r="F58" i="2"/>
  <c r="F54" i="2"/>
  <c r="F50" i="2"/>
  <c r="F59" i="2"/>
  <c r="F67" i="2"/>
  <c r="F65" i="2"/>
  <c r="F61" i="2"/>
  <c r="F57" i="2"/>
  <c r="F53" i="2"/>
  <c r="F49" i="2"/>
  <c r="F68" i="2"/>
  <c r="F64" i="2"/>
  <c r="F60" i="2"/>
  <c r="F56" i="2"/>
  <c r="F52" i="2"/>
  <c r="F48" i="2"/>
  <c r="E18" i="14"/>
  <c r="M18" i="14"/>
  <c r="F18" i="14"/>
  <c r="N18" i="14"/>
  <c r="G18" i="14"/>
  <c r="M13" i="13"/>
  <c r="F13" i="13"/>
  <c r="E13" i="13"/>
  <c r="N13" i="13"/>
  <c r="G13" i="13"/>
  <c r="F40" i="2"/>
  <c r="F6" i="2"/>
  <c r="F24" i="2"/>
  <c r="G37" i="2"/>
  <c r="F38" i="2"/>
  <c r="G44" i="2"/>
  <c r="G38" i="2"/>
  <c r="G42" i="2"/>
  <c r="G34" i="2"/>
  <c r="G8" i="2"/>
  <c r="G39" i="2"/>
  <c r="G13" i="2"/>
  <c r="G11" i="2"/>
  <c r="G19" i="2"/>
  <c r="F45" i="2"/>
  <c r="F15" i="2"/>
  <c r="G10" i="2"/>
  <c r="F26" i="2"/>
  <c r="G12" i="2"/>
  <c r="F20" i="2"/>
  <c r="G30" i="2"/>
  <c r="G17" i="2"/>
  <c r="F31" i="2"/>
  <c r="G36" i="2"/>
  <c r="F37" i="2"/>
  <c r="F27" i="2"/>
  <c r="G16" i="2"/>
  <c r="F21" i="2"/>
  <c r="F43" i="2"/>
  <c r="F39" i="2"/>
  <c r="F30" i="2"/>
  <c r="G21" i="2"/>
  <c r="F36" i="2"/>
  <c r="F32" i="2"/>
  <c r="F47" i="2"/>
  <c r="G33" i="2"/>
  <c r="G28" i="2"/>
  <c r="G27" i="2"/>
  <c r="G14" i="2"/>
  <c r="F12" i="2"/>
  <c r="F13" i="2"/>
  <c r="G29" i="2"/>
  <c r="F29" i="2"/>
  <c r="F8" i="2"/>
  <c r="G46" i="2"/>
  <c r="F14" i="2"/>
  <c r="F41" i="2"/>
  <c r="G35" i="2"/>
  <c r="F33" i="2"/>
  <c r="G47" i="2"/>
  <c r="G24" i="2"/>
  <c r="G6" i="2"/>
  <c r="F44" i="2"/>
  <c r="F17" i="2"/>
  <c r="F16" i="2"/>
  <c r="G20" i="2"/>
  <c r="F34" i="2"/>
  <c r="F35" i="2"/>
  <c r="F23" i="2"/>
  <c r="F19" i="2"/>
  <c r="F18" i="2"/>
  <c r="G25" i="2"/>
  <c r="F10" i="2"/>
  <c r="G23" i="2"/>
  <c r="F11" i="2"/>
  <c r="G43" i="2"/>
  <c r="G26" i="2"/>
  <c r="F42" i="2"/>
  <c r="F25" i="2"/>
  <c r="F7" i="2"/>
  <c r="F46" i="2"/>
  <c r="G31" i="2"/>
  <c r="G41" i="2"/>
  <c r="G45" i="2"/>
  <c r="G7" i="2"/>
  <c r="F28" i="2"/>
  <c r="G40" i="2"/>
  <c r="F9" i="2"/>
  <c r="F22" i="2"/>
  <c r="G15" i="2"/>
  <c r="G18" i="2"/>
  <c r="G32" i="2"/>
  <c r="G9" i="2"/>
  <c r="G22" i="2"/>
  <c r="I51" i="2" l="1"/>
  <c r="I55" i="2"/>
  <c r="I59" i="2"/>
  <c r="I63" i="2"/>
  <c r="I67" i="2"/>
  <c r="I48" i="2"/>
  <c r="I52" i="2"/>
  <c r="I56" i="2"/>
  <c r="I60" i="2"/>
  <c r="I64" i="2"/>
  <c r="I66" i="2"/>
  <c r="I58" i="2"/>
  <c r="I49" i="2"/>
  <c r="I53" i="2"/>
  <c r="I57" i="2"/>
  <c r="I61" i="2"/>
  <c r="I65" i="2"/>
  <c r="I50" i="2"/>
  <c r="I54" i="2"/>
  <c r="I62" i="2"/>
  <c r="L16" i="14"/>
  <c r="J17" i="14"/>
  <c r="I17" i="14"/>
  <c r="H17" i="14"/>
  <c r="C20" i="14"/>
  <c r="B134" i="14"/>
  <c r="K16" i="14"/>
  <c r="L11" i="13"/>
  <c r="J12" i="13"/>
  <c r="H12" i="13"/>
  <c r="I12" i="13"/>
  <c r="C18" i="13"/>
  <c r="B15" i="13"/>
  <c r="K11" i="13"/>
  <c r="A216" i="2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O3" i="2"/>
  <c r="P2" i="2"/>
  <c r="O2" i="2"/>
  <c r="B57" i="2"/>
  <c r="K3" i="2"/>
  <c r="L3" i="2"/>
  <c r="K2" i="2"/>
  <c r="L2" i="2"/>
  <c r="N67" i="2"/>
  <c r="N55" i="2"/>
  <c r="N66" i="2"/>
  <c r="N62" i="2"/>
  <c r="N58" i="2"/>
  <c r="N54" i="2"/>
  <c r="N50" i="2"/>
  <c r="N63" i="2"/>
  <c r="N51" i="2"/>
  <c r="N59" i="2"/>
  <c r="N65" i="2"/>
  <c r="N61" i="2"/>
  <c r="N57" i="2"/>
  <c r="N53" i="2"/>
  <c r="N49" i="2"/>
  <c r="N68" i="2"/>
  <c r="N64" i="2"/>
  <c r="N60" i="2"/>
  <c r="N56" i="2"/>
  <c r="N52" i="2"/>
  <c r="N48" i="2"/>
  <c r="M67" i="2"/>
  <c r="M63" i="2"/>
  <c r="M59" i="2"/>
  <c r="M55" i="2"/>
  <c r="M51" i="2"/>
  <c r="M66" i="2"/>
  <c r="M62" i="2"/>
  <c r="M58" i="2"/>
  <c r="M54" i="2"/>
  <c r="M50" i="2"/>
  <c r="M61" i="2"/>
  <c r="M57" i="2"/>
  <c r="M53" i="2"/>
  <c r="M49" i="2"/>
  <c r="M65" i="2"/>
  <c r="M68" i="2"/>
  <c r="M64" i="2"/>
  <c r="M60" i="2"/>
  <c r="M56" i="2"/>
  <c r="M52" i="2"/>
  <c r="M48" i="2"/>
  <c r="G19" i="14"/>
  <c r="F19" i="14"/>
  <c r="M19" i="14"/>
  <c r="E19" i="14"/>
  <c r="N19" i="14"/>
  <c r="M14" i="13"/>
  <c r="F14" i="13"/>
  <c r="G14" i="13"/>
  <c r="E14" i="13"/>
  <c r="N14" i="13"/>
  <c r="M45" i="2"/>
  <c r="M10" i="2"/>
  <c r="N25" i="2"/>
  <c r="M18" i="2"/>
  <c r="N34" i="2"/>
  <c r="N11" i="2"/>
  <c r="M21" i="2"/>
  <c r="N35" i="2"/>
  <c r="M41" i="2"/>
  <c r="N22" i="2"/>
  <c r="M46" i="2"/>
  <c r="M29" i="2"/>
  <c r="M27" i="2"/>
  <c r="N9" i="2"/>
  <c r="M39" i="2"/>
  <c r="N7" i="2"/>
  <c r="M11" i="2"/>
  <c r="M25" i="2"/>
  <c r="N12" i="2"/>
  <c r="N36" i="2"/>
  <c r="N16" i="2"/>
  <c r="M42" i="2"/>
  <c r="N31" i="2"/>
  <c r="N38" i="2"/>
  <c r="M15" i="2"/>
  <c r="N20" i="2"/>
  <c r="M16" i="2"/>
  <c r="N14" i="2"/>
  <c r="N19" i="2"/>
  <c r="M23" i="2"/>
  <c r="N32" i="2"/>
  <c r="N39" i="2"/>
  <c r="N43" i="2"/>
  <c r="N18" i="2"/>
  <c r="M40" i="2"/>
  <c r="M24" i="2"/>
  <c r="N30" i="2"/>
  <c r="N15" i="2"/>
  <c r="N37" i="2"/>
  <c r="M44" i="2"/>
  <c r="M7" i="2"/>
  <c r="N28" i="2"/>
  <c r="N47" i="2"/>
  <c r="M14" i="2"/>
  <c r="M30" i="2"/>
  <c r="N10" i="2"/>
  <c r="M20" i="2"/>
  <c r="N6" i="2"/>
  <c r="N44" i="2"/>
  <c r="M33" i="2"/>
  <c r="M31" i="2"/>
  <c r="M19" i="2"/>
  <c r="N41" i="2"/>
  <c r="M13" i="2"/>
  <c r="M38" i="2"/>
  <c r="N26" i="2"/>
  <c r="M9" i="2"/>
  <c r="N8" i="2"/>
  <c r="M6" i="2"/>
  <c r="N29" i="2"/>
  <c r="M22" i="2"/>
  <c r="N13" i="2"/>
  <c r="M43" i="2"/>
  <c r="N23" i="2"/>
  <c r="M26" i="2"/>
  <c r="N17" i="2"/>
  <c r="M37" i="2"/>
  <c r="M34" i="2"/>
  <c r="N24" i="2"/>
  <c r="N33" i="2"/>
  <c r="N42" i="2"/>
  <c r="N46" i="2"/>
  <c r="N45" i="2"/>
  <c r="M36" i="2"/>
  <c r="M17" i="2"/>
  <c r="N27" i="2"/>
  <c r="M32" i="2"/>
  <c r="M35" i="2"/>
  <c r="M28" i="2"/>
  <c r="N40" i="2"/>
  <c r="M12" i="2"/>
  <c r="N21" i="2"/>
  <c r="M8" i="2"/>
  <c r="M47" i="2"/>
  <c r="K17" i="14" l="1"/>
  <c r="L56" i="2"/>
  <c r="K56" i="2"/>
  <c r="L57" i="2"/>
  <c r="K57" i="2"/>
  <c r="L52" i="2"/>
  <c r="K52" i="2"/>
  <c r="L61" i="2"/>
  <c r="K61" i="2"/>
  <c r="L53" i="2"/>
  <c r="K53" i="2"/>
  <c r="L48" i="2"/>
  <c r="K48" i="2"/>
  <c r="L49" i="2"/>
  <c r="K49" i="2"/>
  <c r="L67" i="2"/>
  <c r="K67" i="2"/>
  <c r="L62" i="2"/>
  <c r="K62" i="2"/>
  <c r="L58" i="2"/>
  <c r="K58" i="2"/>
  <c r="L63" i="2"/>
  <c r="K63" i="2"/>
  <c r="L54" i="2"/>
  <c r="K54" i="2"/>
  <c r="L66" i="2"/>
  <c r="K66" i="2"/>
  <c r="L59" i="2"/>
  <c r="K59" i="2"/>
  <c r="L50" i="2"/>
  <c r="K50" i="2"/>
  <c r="L64" i="2"/>
  <c r="K64" i="2"/>
  <c r="L55" i="2"/>
  <c r="K55" i="2"/>
  <c r="L65" i="2"/>
  <c r="K65" i="2"/>
  <c r="L60" i="2"/>
  <c r="K60" i="2"/>
  <c r="L51" i="2"/>
  <c r="K51" i="2"/>
  <c r="H18" i="14"/>
  <c r="I18" i="14"/>
  <c r="J18" i="14"/>
  <c r="B135" i="14"/>
  <c r="C21" i="14"/>
  <c r="L17" i="14"/>
  <c r="L12" i="13"/>
  <c r="H13" i="13"/>
  <c r="J13" i="13"/>
  <c r="I13" i="13"/>
  <c r="B16" i="13"/>
  <c r="K12" i="13"/>
  <c r="C19" i="13"/>
  <c r="P3" i="2"/>
  <c r="B58" i="2"/>
  <c r="M20" i="14"/>
  <c r="N20" i="14"/>
  <c r="G20" i="14"/>
  <c r="F20" i="14"/>
  <c r="E20" i="14"/>
  <c r="E15" i="13"/>
  <c r="N15" i="13"/>
  <c r="F15" i="13"/>
  <c r="G15" i="13"/>
  <c r="M15" i="13"/>
  <c r="L18" i="14" l="1"/>
  <c r="L13" i="13"/>
  <c r="H19" i="14"/>
  <c r="I19" i="14"/>
  <c r="J19" i="14"/>
  <c r="B136" i="14"/>
  <c r="K18" i="14"/>
  <c r="C22" i="14"/>
  <c r="J14" i="13"/>
  <c r="I14" i="13"/>
  <c r="H14" i="13"/>
  <c r="C20" i="13"/>
  <c r="B17" i="13"/>
  <c r="K13" i="13"/>
  <c r="B59" i="2"/>
  <c r="J16" i="2"/>
  <c r="I18" i="2"/>
  <c r="J25" i="2"/>
  <c r="J28" i="2"/>
  <c r="H7" i="2"/>
  <c r="N21" i="14"/>
  <c r="M21" i="14"/>
  <c r="G21" i="14"/>
  <c r="F21" i="14"/>
  <c r="E21" i="14"/>
  <c r="N16" i="13"/>
  <c r="F16" i="13"/>
  <c r="E16" i="13"/>
  <c r="M16" i="13"/>
  <c r="G16" i="13"/>
  <c r="L19" i="14" l="1"/>
  <c r="H20" i="14"/>
  <c r="I20" i="14"/>
  <c r="J20" i="14"/>
  <c r="K19" i="14"/>
  <c r="C23" i="14"/>
  <c r="B137" i="14"/>
  <c r="K14" i="13"/>
  <c r="J15" i="13"/>
  <c r="H15" i="13"/>
  <c r="I15" i="13"/>
  <c r="B18" i="13"/>
  <c r="C21" i="13"/>
  <c r="L14" i="13"/>
  <c r="B60" i="2"/>
  <c r="I17" i="2"/>
  <c r="I10" i="2"/>
  <c r="I43" i="2"/>
  <c r="H37" i="2"/>
  <c r="H19" i="2"/>
  <c r="J38" i="2"/>
  <c r="H23" i="2"/>
  <c r="I8" i="2"/>
  <c r="H45" i="2"/>
  <c r="H15" i="2"/>
  <c r="J35" i="2"/>
  <c r="J37" i="2"/>
  <c r="H35" i="2"/>
  <c r="H26" i="2"/>
  <c r="J33" i="2"/>
  <c r="I29" i="2"/>
  <c r="J18" i="2"/>
  <c r="J6" i="2"/>
  <c r="I46" i="2"/>
  <c r="I27" i="2"/>
  <c r="I36" i="2"/>
  <c r="H44" i="2"/>
  <c r="I11" i="2"/>
  <c r="H10" i="2"/>
  <c r="J20" i="2"/>
  <c r="H28" i="2"/>
  <c r="H20" i="2"/>
  <c r="H47" i="2"/>
  <c r="J23" i="2"/>
  <c r="H25" i="2"/>
  <c r="J21" i="2"/>
  <c r="I21" i="2"/>
  <c r="I9" i="2"/>
  <c r="J43" i="2"/>
  <c r="I33" i="2"/>
  <c r="J24" i="2"/>
  <c r="J15" i="2"/>
  <c r="I38" i="2"/>
  <c r="I44" i="2"/>
  <c r="I22" i="2"/>
  <c r="H38" i="2"/>
  <c r="I41" i="2"/>
  <c r="J46" i="2"/>
  <c r="H22" i="2"/>
  <c r="H12" i="2"/>
  <c r="H42" i="2"/>
  <c r="J42" i="2"/>
  <c r="H17" i="2"/>
  <c r="I12" i="2"/>
  <c r="J26" i="2"/>
  <c r="I15" i="2"/>
  <c r="I25" i="2"/>
  <c r="H18" i="2"/>
  <c r="H30" i="2"/>
  <c r="I19" i="2"/>
  <c r="I13" i="2"/>
  <c r="J31" i="2"/>
  <c r="J44" i="2"/>
  <c r="H31" i="2"/>
  <c r="I35" i="2"/>
  <c r="H9" i="2"/>
  <c r="H39" i="2"/>
  <c r="H41" i="2"/>
  <c r="J7" i="2"/>
  <c r="J32" i="2"/>
  <c r="J39" i="2"/>
  <c r="H13" i="2"/>
  <c r="J9" i="2"/>
  <c r="H33" i="2"/>
  <c r="J36" i="2"/>
  <c r="H43" i="2"/>
  <c r="I47" i="2"/>
  <c r="H34" i="2"/>
  <c r="I30" i="2"/>
  <c r="J41" i="2"/>
  <c r="H46" i="2"/>
  <c r="I39" i="2"/>
  <c r="I26" i="2"/>
  <c r="H11" i="2"/>
  <c r="J17" i="2"/>
  <c r="I23" i="2"/>
  <c r="H6" i="2"/>
  <c r="J13" i="2"/>
  <c r="J10" i="2"/>
  <c r="I7" i="2"/>
  <c r="J45" i="2"/>
  <c r="I42" i="2"/>
  <c r="J47" i="2"/>
  <c r="I28" i="2"/>
  <c r="J34" i="2"/>
  <c r="I32" i="2"/>
  <c r="I45" i="2"/>
  <c r="J29" i="2"/>
  <c r="I24" i="2"/>
  <c r="H24" i="2"/>
  <c r="J12" i="2"/>
  <c r="J40" i="2"/>
  <c r="I16" i="2"/>
  <c r="H21" i="2"/>
  <c r="H40" i="2"/>
  <c r="J19" i="2"/>
  <c r="J8" i="2"/>
  <c r="J11" i="2"/>
  <c r="H27" i="2"/>
  <c r="J27" i="2"/>
  <c r="H32" i="2"/>
  <c r="J22" i="2"/>
  <c r="H16" i="2"/>
  <c r="I40" i="2"/>
  <c r="J30" i="2"/>
  <c r="J14" i="2"/>
  <c r="I20" i="2"/>
  <c r="H29" i="2"/>
  <c r="I37" i="2"/>
  <c r="I31" i="2"/>
  <c r="H14" i="2"/>
  <c r="H36" i="2"/>
  <c r="I14" i="2"/>
  <c r="H8" i="2"/>
  <c r="I34" i="2"/>
  <c r="E22" i="14"/>
  <c r="F22" i="14"/>
  <c r="M22" i="14"/>
  <c r="G22" i="14"/>
  <c r="N22" i="14"/>
  <c r="M17" i="13"/>
  <c r="N17" i="13"/>
  <c r="F17" i="13"/>
  <c r="G17" i="13"/>
  <c r="E17" i="13"/>
  <c r="L20" i="14" l="1"/>
  <c r="J21" i="14"/>
  <c r="I21" i="14"/>
  <c r="H21" i="14"/>
  <c r="B138" i="14"/>
  <c r="C24" i="14"/>
  <c r="K20" i="14"/>
  <c r="L15" i="13"/>
  <c r="H16" i="13"/>
  <c r="J16" i="13"/>
  <c r="I16" i="13"/>
  <c r="B19" i="13"/>
  <c r="C22" i="13"/>
  <c r="K15" i="13"/>
  <c r="K18" i="2"/>
  <c r="L7" i="2"/>
  <c r="K41" i="2"/>
  <c r="L37" i="2"/>
  <c r="L33" i="2"/>
  <c r="L20" i="2"/>
  <c r="K46" i="2"/>
  <c r="K23" i="2"/>
  <c r="K43" i="2"/>
  <c r="L10" i="2"/>
  <c r="L35" i="2"/>
  <c r="K17" i="2"/>
  <c r="K11" i="2"/>
  <c r="B61" i="2"/>
  <c r="K29" i="2"/>
  <c r="K10" i="2"/>
  <c r="K45" i="2"/>
  <c r="K33" i="2"/>
  <c r="L19" i="2"/>
  <c r="L47" i="2"/>
  <c r="K15" i="2"/>
  <c r="K25" i="2"/>
  <c r="K27" i="2"/>
  <c r="L42" i="2"/>
  <c r="L11" i="2"/>
  <c r="K42" i="2"/>
  <c r="L26" i="2"/>
  <c r="L18" i="2"/>
  <c r="L25" i="2"/>
  <c r="K12" i="2"/>
  <c r="L44" i="2"/>
  <c r="K24" i="2"/>
  <c r="K28" i="2"/>
  <c r="K22" i="2"/>
  <c r="L38" i="2"/>
  <c r="K36" i="2"/>
  <c r="K21" i="2"/>
  <c r="K13" i="2"/>
  <c r="K9" i="2"/>
  <c r="K38" i="2"/>
  <c r="K32" i="2"/>
  <c r="L30" i="2"/>
  <c r="L12" i="2"/>
  <c r="L31" i="2"/>
  <c r="L17" i="2"/>
  <c r="L15" i="2"/>
  <c r="L46" i="2"/>
  <c r="L45" i="2"/>
  <c r="L32" i="2"/>
  <c r="L9" i="2"/>
  <c r="K44" i="2"/>
  <c r="K35" i="2"/>
  <c r="L34" i="2"/>
  <c r="L28" i="2"/>
  <c r="L41" i="2"/>
  <c r="K19" i="2"/>
  <c r="L22" i="2"/>
  <c r="K39" i="2"/>
  <c r="L23" i="2"/>
  <c r="L24" i="2"/>
  <c r="L39" i="2"/>
  <c r="K47" i="2"/>
  <c r="L13" i="2"/>
  <c r="K30" i="2"/>
  <c r="K16" i="2"/>
  <c r="K26" i="2"/>
  <c r="L14" i="2"/>
  <c r="K40" i="2"/>
  <c r="K7" i="2"/>
  <c r="L43" i="2"/>
  <c r="K37" i="2"/>
  <c r="K14" i="2"/>
  <c r="L16" i="2"/>
  <c r="K31" i="2"/>
  <c r="L27" i="2"/>
  <c r="L21" i="2"/>
  <c r="K34" i="2"/>
  <c r="L8" i="2"/>
  <c r="K8" i="2"/>
  <c r="K20" i="2"/>
  <c r="L40" i="2"/>
  <c r="L36" i="2"/>
  <c r="L29" i="2"/>
  <c r="F23" i="14"/>
  <c r="G23" i="14"/>
  <c r="N23" i="14"/>
  <c r="M23" i="14"/>
  <c r="E23" i="14"/>
  <c r="M18" i="13"/>
  <c r="E18" i="13"/>
  <c r="G18" i="13"/>
  <c r="F18" i="13"/>
  <c r="N18" i="13"/>
  <c r="K21" i="14" l="1"/>
  <c r="H22" i="14"/>
  <c r="J22" i="14"/>
  <c r="I22" i="14"/>
  <c r="B139" i="14"/>
  <c r="C25" i="14"/>
  <c r="L21" i="14"/>
  <c r="L16" i="13"/>
  <c r="I17" i="13"/>
  <c r="J17" i="13"/>
  <c r="H17" i="13"/>
  <c r="C23" i="13"/>
  <c r="B20" i="13"/>
  <c r="K16" i="13"/>
  <c r="B62" i="2"/>
  <c r="M24" i="14"/>
  <c r="E24" i="14"/>
  <c r="N24" i="14"/>
  <c r="G24" i="14"/>
  <c r="F24" i="14"/>
  <c r="G19" i="13"/>
  <c r="M19" i="13"/>
  <c r="E19" i="13"/>
  <c r="N19" i="13"/>
  <c r="F19" i="13"/>
  <c r="L22" i="14" l="1"/>
  <c r="K17" i="13"/>
  <c r="I23" i="14"/>
  <c r="J23" i="14"/>
  <c r="H23" i="14"/>
  <c r="B140" i="14"/>
  <c r="C26" i="14"/>
  <c r="K22" i="14"/>
  <c r="I18" i="13"/>
  <c r="H18" i="13"/>
  <c r="J18" i="13"/>
  <c r="B21" i="13"/>
  <c r="C24" i="13"/>
  <c r="L17" i="13"/>
  <c r="B63" i="2"/>
  <c r="G25" i="14"/>
  <c r="M25" i="14"/>
  <c r="N25" i="14"/>
  <c r="E25" i="14"/>
  <c r="F25" i="14"/>
  <c r="G20" i="13"/>
  <c r="F20" i="13"/>
  <c r="M20" i="13"/>
  <c r="E20" i="13"/>
  <c r="N20" i="13"/>
  <c r="K23" i="14" l="1"/>
  <c r="I24" i="14"/>
  <c r="H24" i="14"/>
  <c r="J24" i="14"/>
  <c r="B141" i="14"/>
  <c r="C27" i="14"/>
  <c r="L23" i="14"/>
  <c r="K18" i="13"/>
  <c r="H19" i="13"/>
  <c r="I19" i="13"/>
  <c r="J19" i="13"/>
  <c r="B22" i="13"/>
  <c r="C25" i="13"/>
  <c r="L18" i="13"/>
  <c r="B64" i="2"/>
  <c r="E26" i="14"/>
  <c r="G26" i="14"/>
  <c r="M26" i="14"/>
  <c r="N26" i="14"/>
  <c r="F26" i="14"/>
  <c r="G21" i="13"/>
  <c r="E21" i="13"/>
  <c r="F21" i="13"/>
  <c r="N21" i="13"/>
  <c r="M21" i="13"/>
  <c r="K24" i="14" l="1"/>
  <c r="I25" i="14"/>
  <c r="J25" i="14"/>
  <c r="H25" i="14"/>
  <c r="B142" i="14"/>
  <c r="C28" i="14"/>
  <c r="L24" i="14"/>
  <c r="L19" i="13"/>
  <c r="I20" i="13"/>
  <c r="H20" i="13"/>
  <c r="J20" i="13"/>
  <c r="B23" i="13"/>
  <c r="C26" i="13"/>
  <c r="K19" i="13"/>
  <c r="B65" i="2"/>
  <c r="E27" i="14"/>
  <c r="N27" i="14"/>
  <c r="G27" i="14"/>
  <c r="F27" i="14"/>
  <c r="M27" i="14"/>
  <c r="E22" i="13"/>
  <c r="G22" i="13"/>
  <c r="N22" i="13"/>
  <c r="M22" i="13"/>
  <c r="F22" i="13"/>
  <c r="K25" i="14" l="1"/>
  <c r="I26" i="14"/>
  <c r="J26" i="14"/>
  <c r="H26" i="14"/>
  <c r="B143" i="14"/>
  <c r="C29" i="14"/>
  <c r="L25" i="14"/>
  <c r="K20" i="13"/>
  <c r="I21" i="13"/>
  <c r="J21" i="13"/>
  <c r="H21" i="13"/>
  <c r="C27" i="13"/>
  <c r="B24" i="13"/>
  <c r="L20" i="13"/>
  <c r="B66" i="2"/>
  <c r="E28" i="14"/>
  <c r="G28" i="14"/>
  <c r="N28" i="14"/>
  <c r="F28" i="14"/>
  <c r="M28" i="14"/>
  <c r="G23" i="13"/>
  <c r="F23" i="13"/>
  <c r="N23" i="13"/>
  <c r="E23" i="13"/>
  <c r="M23" i="13"/>
  <c r="L26" i="14" l="1"/>
  <c r="I27" i="14"/>
  <c r="J27" i="14"/>
  <c r="H27" i="14"/>
  <c r="B144" i="14"/>
  <c r="C30" i="14"/>
  <c r="K26" i="14"/>
  <c r="L21" i="13"/>
  <c r="H22" i="13"/>
  <c r="I22" i="13"/>
  <c r="J22" i="13"/>
  <c r="C28" i="13"/>
  <c r="K21" i="13"/>
  <c r="B25" i="13"/>
  <c r="B67" i="2"/>
  <c r="G29" i="14"/>
  <c r="N29" i="14"/>
  <c r="E29" i="14"/>
  <c r="F29" i="14"/>
  <c r="M29" i="14"/>
  <c r="N24" i="13"/>
  <c r="F24" i="13"/>
  <c r="E24" i="13"/>
  <c r="G24" i="13"/>
  <c r="M24" i="13"/>
  <c r="L27" i="14" l="1"/>
  <c r="I28" i="14"/>
  <c r="H28" i="14"/>
  <c r="J28" i="14"/>
  <c r="B145" i="14"/>
  <c r="K27" i="14"/>
  <c r="C31" i="14"/>
  <c r="L22" i="13"/>
  <c r="J23" i="13"/>
  <c r="H23" i="13"/>
  <c r="I23" i="13"/>
  <c r="C29" i="13"/>
  <c r="B26" i="13"/>
  <c r="K22" i="13"/>
  <c r="B68" i="2"/>
  <c r="F30" i="14"/>
  <c r="E30" i="14"/>
  <c r="G30" i="14"/>
  <c r="N30" i="14"/>
  <c r="M30" i="14"/>
  <c r="M25" i="13"/>
  <c r="F25" i="13"/>
  <c r="E25" i="13"/>
  <c r="N25" i="13"/>
  <c r="G25" i="13"/>
  <c r="K28" i="14" l="1"/>
  <c r="L28" i="14"/>
  <c r="J29" i="14"/>
  <c r="H29" i="14"/>
  <c r="I29" i="14"/>
  <c r="L29" i="14" s="1"/>
  <c r="B146" i="14"/>
  <c r="C32" i="14"/>
  <c r="L23" i="13"/>
  <c r="K23" i="13"/>
  <c r="J24" i="13"/>
  <c r="H24" i="13"/>
  <c r="I24" i="13"/>
  <c r="B27" i="13"/>
  <c r="C30" i="13"/>
  <c r="B69" i="2"/>
  <c r="M31" i="14"/>
  <c r="G31" i="14"/>
  <c r="N31" i="14"/>
  <c r="E31" i="14"/>
  <c r="F31" i="14"/>
  <c r="G26" i="13"/>
  <c r="F26" i="13"/>
  <c r="E26" i="13"/>
  <c r="M26" i="13"/>
  <c r="N26" i="13"/>
  <c r="N69" i="2"/>
  <c r="M69" i="2"/>
  <c r="G69" i="2"/>
  <c r="F69" i="2"/>
  <c r="E69" i="2"/>
  <c r="I30" i="14" l="1"/>
  <c r="H30" i="14"/>
  <c r="J30" i="14"/>
  <c r="B147" i="14"/>
  <c r="C33" i="14"/>
  <c r="K29" i="14"/>
  <c r="L24" i="13"/>
  <c r="H25" i="13"/>
  <c r="I25" i="13"/>
  <c r="J25" i="13"/>
  <c r="B28" i="13"/>
  <c r="K24" i="13"/>
  <c r="C31" i="13"/>
  <c r="H68" i="2"/>
  <c r="I68" i="2"/>
  <c r="J68" i="2"/>
  <c r="B70" i="2"/>
  <c r="M32" i="14"/>
  <c r="G32" i="14"/>
  <c r="N32" i="14"/>
  <c r="F32" i="14"/>
  <c r="E32" i="14"/>
  <c r="G27" i="13"/>
  <c r="M27" i="13"/>
  <c r="E27" i="13"/>
  <c r="N27" i="13"/>
  <c r="F27" i="13"/>
  <c r="N70" i="2"/>
  <c r="M70" i="2"/>
  <c r="G70" i="2"/>
  <c r="F70" i="2"/>
  <c r="E70" i="2"/>
  <c r="K30" i="14" l="1"/>
  <c r="H31" i="14"/>
  <c r="I31" i="14"/>
  <c r="J31" i="14"/>
  <c r="B148" i="14"/>
  <c r="C34" i="14"/>
  <c r="L30" i="14"/>
  <c r="L25" i="13"/>
  <c r="I26" i="13"/>
  <c r="H26" i="13"/>
  <c r="J26" i="13"/>
  <c r="B29" i="13"/>
  <c r="C32" i="13"/>
  <c r="K25" i="13"/>
  <c r="K68" i="2"/>
  <c r="L68" i="2"/>
  <c r="B71" i="2"/>
  <c r="H69" i="2"/>
  <c r="J69" i="2"/>
  <c r="I69" i="2"/>
  <c r="G33" i="14"/>
  <c r="N33" i="14"/>
  <c r="F33" i="14"/>
  <c r="E33" i="14"/>
  <c r="M33" i="14"/>
  <c r="G28" i="13"/>
  <c r="M28" i="13"/>
  <c r="N28" i="13"/>
  <c r="F28" i="13"/>
  <c r="E28" i="13"/>
  <c r="N71" i="2"/>
  <c r="M71" i="2"/>
  <c r="G71" i="2"/>
  <c r="F71" i="2"/>
  <c r="E71" i="2"/>
  <c r="K31" i="14" l="1"/>
  <c r="H32" i="14"/>
  <c r="I32" i="14"/>
  <c r="J32" i="14"/>
  <c r="B149" i="14"/>
  <c r="C35" i="14"/>
  <c r="L31" i="14"/>
  <c r="K26" i="13"/>
  <c r="H27" i="13"/>
  <c r="I27" i="13"/>
  <c r="J27" i="13"/>
  <c r="B30" i="13"/>
  <c r="C33" i="13"/>
  <c r="L26" i="13"/>
  <c r="L69" i="2"/>
  <c r="K69" i="2"/>
  <c r="B72" i="2"/>
  <c r="H70" i="2"/>
  <c r="J70" i="2"/>
  <c r="I70" i="2"/>
  <c r="G34" i="14"/>
  <c r="E34" i="14"/>
  <c r="N34" i="14"/>
  <c r="F34" i="14"/>
  <c r="M34" i="14"/>
  <c r="E29" i="13"/>
  <c r="F29" i="13"/>
  <c r="N29" i="13"/>
  <c r="G29" i="13"/>
  <c r="M29" i="13"/>
  <c r="N72" i="2"/>
  <c r="M72" i="2"/>
  <c r="F72" i="2"/>
  <c r="G72" i="2"/>
  <c r="E72" i="2"/>
  <c r="L32" i="14" l="1"/>
  <c r="I33" i="14"/>
  <c r="H33" i="14"/>
  <c r="J33" i="14"/>
  <c r="K32" i="14"/>
  <c r="B150" i="14"/>
  <c r="C36" i="14"/>
  <c r="L27" i="13"/>
  <c r="J28" i="13"/>
  <c r="I28" i="13"/>
  <c r="H28" i="13"/>
  <c r="B31" i="13"/>
  <c r="C34" i="13"/>
  <c r="K27" i="13"/>
  <c r="B73" i="2"/>
  <c r="H71" i="2"/>
  <c r="J71" i="2"/>
  <c r="I71" i="2"/>
  <c r="K70" i="2"/>
  <c r="L70" i="2"/>
  <c r="E35" i="14"/>
  <c r="F35" i="14"/>
  <c r="N35" i="14"/>
  <c r="M35" i="14"/>
  <c r="G35" i="14"/>
  <c r="F30" i="13"/>
  <c r="N30" i="13"/>
  <c r="M30" i="13"/>
  <c r="G30" i="13"/>
  <c r="E30" i="13"/>
  <c r="N73" i="2"/>
  <c r="M73" i="2"/>
  <c r="G73" i="2"/>
  <c r="F73" i="2"/>
  <c r="E73" i="2"/>
  <c r="K33" i="14" l="1"/>
  <c r="J34" i="14"/>
  <c r="I34" i="14"/>
  <c r="H34" i="14"/>
  <c r="K34" i="14" s="1"/>
  <c r="B151" i="14"/>
  <c r="C37" i="14"/>
  <c r="K28" i="13"/>
  <c r="L33" i="14"/>
  <c r="H29" i="13"/>
  <c r="J29" i="13"/>
  <c r="I29" i="13"/>
  <c r="C35" i="13"/>
  <c r="B32" i="13"/>
  <c r="L28" i="13"/>
  <c r="L71" i="2"/>
  <c r="K71" i="2"/>
  <c r="B74" i="2"/>
  <c r="H72" i="2"/>
  <c r="J72" i="2"/>
  <c r="I72" i="2"/>
  <c r="M36" i="14"/>
  <c r="N36" i="14"/>
  <c r="E36" i="14"/>
  <c r="F36" i="14"/>
  <c r="G36" i="14"/>
  <c r="M31" i="13"/>
  <c r="G31" i="13"/>
  <c r="F31" i="13"/>
  <c r="N31" i="13"/>
  <c r="E31" i="13"/>
  <c r="N74" i="2"/>
  <c r="M74" i="2"/>
  <c r="G74" i="2"/>
  <c r="F74" i="2"/>
  <c r="E74" i="2"/>
  <c r="J35" i="14" l="1"/>
  <c r="I35" i="14"/>
  <c r="H35" i="14"/>
  <c r="K35" i="14" s="1"/>
  <c r="C38" i="14"/>
  <c r="B152" i="14"/>
  <c r="L34" i="14"/>
  <c r="L29" i="13"/>
  <c r="H30" i="13"/>
  <c r="I30" i="13"/>
  <c r="J30" i="13"/>
  <c r="C36" i="13"/>
  <c r="B33" i="13"/>
  <c r="K29" i="13"/>
  <c r="L72" i="2"/>
  <c r="K72" i="2"/>
  <c r="B75" i="2"/>
  <c r="H73" i="2"/>
  <c r="J73" i="2"/>
  <c r="I73" i="2"/>
  <c r="E37" i="14"/>
  <c r="G37" i="14"/>
  <c r="M37" i="14"/>
  <c r="N37" i="14"/>
  <c r="F37" i="14"/>
  <c r="G32" i="13"/>
  <c r="M32" i="13"/>
  <c r="E32" i="13"/>
  <c r="F32" i="13"/>
  <c r="N32" i="13"/>
  <c r="N75" i="2"/>
  <c r="M75" i="2"/>
  <c r="G75" i="2"/>
  <c r="F75" i="2"/>
  <c r="E75" i="2"/>
  <c r="I36" i="14" l="1"/>
  <c r="J36" i="14"/>
  <c r="H36" i="14"/>
  <c r="B153" i="14"/>
  <c r="C39" i="14"/>
  <c r="L35" i="14"/>
  <c r="K30" i="13"/>
  <c r="I31" i="13"/>
  <c r="H31" i="13"/>
  <c r="J31" i="13"/>
  <c r="B34" i="13"/>
  <c r="C37" i="13"/>
  <c r="L30" i="13"/>
  <c r="L73" i="2"/>
  <c r="K73" i="2"/>
  <c r="B76" i="2"/>
  <c r="H74" i="2"/>
  <c r="J74" i="2"/>
  <c r="I74" i="2"/>
  <c r="M38" i="14"/>
  <c r="G38" i="14"/>
  <c r="N38" i="14"/>
  <c r="F38" i="14"/>
  <c r="E38" i="14"/>
  <c r="N33" i="13"/>
  <c r="F33" i="13"/>
  <c r="G33" i="13"/>
  <c r="M33" i="13"/>
  <c r="E33" i="13"/>
  <c r="N76" i="2"/>
  <c r="M76" i="2"/>
  <c r="F76" i="2"/>
  <c r="G76" i="2"/>
  <c r="E76" i="2"/>
  <c r="K36" i="14" l="1"/>
  <c r="H37" i="14"/>
  <c r="I37" i="14"/>
  <c r="J37" i="14"/>
  <c r="C40" i="14"/>
  <c r="B154" i="14"/>
  <c r="L36" i="14"/>
  <c r="L31" i="13"/>
  <c r="H32" i="13"/>
  <c r="J32" i="13"/>
  <c r="I32" i="13"/>
  <c r="B35" i="13"/>
  <c r="C38" i="13"/>
  <c r="K31" i="13"/>
  <c r="L74" i="2"/>
  <c r="K74" i="2"/>
  <c r="B77" i="2"/>
  <c r="H75" i="2"/>
  <c r="J75" i="2"/>
  <c r="I75" i="2"/>
  <c r="F39" i="14"/>
  <c r="N39" i="14"/>
  <c r="E39" i="14"/>
  <c r="G39" i="14"/>
  <c r="M39" i="14"/>
  <c r="F34" i="13"/>
  <c r="N34" i="13"/>
  <c r="G34" i="13"/>
  <c r="M34" i="13"/>
  <c r="E34" i="13"/>
  <c r="N77" i="2"/>
  <c r="M77" i="2"/>
  <c r="G77" i="2"/>
  <c r="F77" i="2"/>
  <c r="E77" i="2"/>
  <c r="L37" i="14" l="1"/>
  <c r="J38" i="14"/>
  <c r="H38" i="14"/>
  <c r="I38" i="14"/>
  <c r="C41" i="14"/>
  <c r="B155" i="14"/>
  <c r="K37" i="14"/>
  <c r="K32" i="13"/>
  <c r="H33" i="13"/>
  <c r="J33" i="13"/>
  <c r="I33" i="13"/>
  <c r="C39" i="13"/>
  <c r="L32" i="13"/>
  <c r="B36" i="13"/>
  <c r="L75" i="2"/>
  <c r="B78" i="2"/>
  <c r="H76" i="2"/>
  <c r="J76" i="2"/>
  <c r="I76" i="2"/>
  <c r="K75" i="2"/>
  <c r="G40" i="14"/>
  <c r="N40" i="14"/>
  <c r="E40" i="14"/>
  <c r="M40" i="14"/>
  <c r="F40" i="14"/>
  <c r="G35" i="13"/>
  <c r="M35" i="13"/>
  <c r="E35" i="13"/>
  <c r="N35" i="13"/>
  <c r="F35" i="13"/>
  <c r="N78" i="2"/>
  <c r="M78" i="2"/>
  <c r="G78" i="2"/>
  <c r="F78" i="2"/>
  <c r="E78" i="2"/>
  <c r="L38" i="14" l="1"/>
  <c r="I39" i="14"/>
  <c r="H39" i="14"/>
  <c r="J39" i="14"/>
  <c r="K38" i="14"/>
  <c r="B156" i="14"/>
  <c r="C42" i="14"/>
  <c r="K33" i="13"/>
  <c r="I34" i="13"/>
  <c r="H34" i="13"/>
  <c r="J34" i="13"/>
  <c r="C40" i="13"/>
  <c r="L33" i="13"/>
  <c r="B37" i="13"/>
  <c r="L76" i="2"/>
  <c r="B79" i="2"/>
  <c r="H77" i="2"/>
  <c r="J77" i="2"/>
  <c r="I77" i="2"/>
  <c r="K76" i="2"/>
  <c r="N41" i="14"/>
  <c r="F41" i="14"/>
  <c r="M41" i="14"/>
  <c r="G41" i="14"/>
  <c r="E41" i="14"/>
  <c r="N36" i="13"/>
  <c r="M36" i="13"/>
  <c r="G36" i="13"/>
  <c r="E36" i="13"/>
  <c r="F36" i="13"/>
  <c r="N79" i="2"/>
  <c r="M79" i="2"/>
  <c r="F79" i="2"/>
  <c r="G79" i="2"/>
  <c r="E79" i="2"/>
  <c r="K39" i="14" l="1"/>
  <c r="H40" i="14"/>
  <c r="J40" i="14"/>
  <c r="I40" i="14"/>
  <c r="L40" i="14" s="1"/>
  <c r="B157" i="14"/>
  <c r="C43" i="14"/>
  <c r="L39" i="14"/>
  <c r="L34" i="13"/>
  <c r="I35" i="13"/>
  <c r="H35" i="13"/>
  <c r="J35" i="13"/>
  <c r="B38" i="13"/>
  <c r="C41" i="13"/>
  <c r="K34" i="13"/>
  <c r="L77" i="2"/>
  <c r="K77" i="2"/>
  <c r="B80" i="2"/>
  <c r="H78" i="2"/>
  <c r="J78" i="2"/>
  <c r="I78" i="2"/>
  <c r="M42" i="14"/>
  <c r="G42" i="14"/>
  <c r="N42" i="14"/>
  <c r="F42" i="14"/>
  <c r="E42" i="14"/>
  <c r="F37" i="13"/>
  <c r="M37" i="13"/>
  <c r="G37" i="13"/>
  <c r="E37" i="13"/>
  <c r="N37" i="13"/>
  <c r="N80" i="2"/>
  <c r="M80" i="2"/>
  <c r="G80" i="2"/>
  <c r="F80" i="2"/>
  <c r="E80" i="2"/>
  <c r="H41" i="14" l="1"/>
  <c r="I41" i="14"/>
  <c r="J41" i="14"/>
  <c r="B158" i="14"/>
  <c r="K40" i="14"/>
  <c r="C44" i="14"/>
  <c r="L35" i="13"/>
  <c r="H36" i="13"/>
  <c r="J36" i="13"/>
  <c r="I36" i="13"/>
  <c r="B39" i="13"/>
  <c r="C42" i="13"/>
  <c r="K35" i="13"/>
  <c r="L78" i="2"/>
  <c r="B81" i="2"/>
  <c r="H79" i="2"/>
  <c r="J79" i="2"/>
  <c r="I79" i="2"/>
  <c r="K78" i="2"/>
  <c r="F43" i="14"/>
  <c r="M43" i="14"/>
  <c r="E43" i="14"/>
  <c r="G43" i="14"/>
  <c r="N43" i="14"/>
  <c r="G38" i="13"/>
  <c r="F38" i="13"/>
  <c r="M38" i="13"/>
  <c r="N38" i="13"/>
  <c r="E38" i="13"/>
  <c r="N81" i="2"/>
  <c r="M81" i="2"/>
  <c r="G81" i="2"/>
  <c r="F81" i="2"/>
  <c r="E81" i="2"/>
  <c r="L41" i="14" l="1"/>
  <c r="J42" i="14"/>
  <c r="H42" i="14"/>
  <c r="I42" i="14"/>
  <c r="C45" i="14"/>
  <c r="B159" i="14"/>
  <c r="K41" i="14"/>
  <c r="K36" i="13"/>
  <c r="H37" i="13"/>
  <c r="I37" i="13"/>
  <c r="J37" i="13"/>
  <c r="C43" i="13"/>
  <c r="L36" i="13"/>
  <c r="B40" i="13"/>
  <c r="L79" i="2"/>
  <c r="K79" i="2"/>
  <c r="B82" i="2"/>
  <c r="H80" i="2"/>
  <c r="J80" i="2"/>
  <c r="I80" i="2"/>
  <c r="G44" i="14"/>
  <c r="M44" i="14"/>
  <c r="F44" i="14"/>
  <c r="E44" i="14"/>
  <c r="N44" i="14"/>
  <c r="E39" i="13"/>
  <c r="F39" i="13"/>
  <c r="G39" i="13"/>
  <c r="N39" i="13"/>
  <c r="M39" i="13"/>
  <c r="N82" i="2"/>
  <c r="M82" i="2"/>
  <c r="F82" i="2"/>
  <c r="G82" i="2"/>
  <c r="E82" i="2"/>
  <c r="L42" i="14" l="1"/>
  <c r="H43" i="14"/>
  <c r="I43" i="14"/>
  <c r="J43" i="14"/>
  <c r="C46" i="14"/>
  <c r="B160" i="14"/>
  <c r="K42" i="14"/>
  <c r="K37" i="13"/>
  <c r="J38" i="13"/>
  <c r="I38" i="13"/>
  <c r="H38" i="13"/>
  <c r="C44" i="13"/>
  <c r="B41" i="13"/>
  <c r="L37" i="13"/>
  <c r="L80" i="2"/>
  <c r="K80" i="2"/>
  <c r="B83" i="2"/>
  <c r="H81" i="2"/>
  <c r="J81" i="2"/>
  <c r="I81" i="2"/>
  <c r="E45" i="14"/>
  <c r="N45" i="14"/>
  <c r="G45" i="14"/>
  <c r="M45" i="14"/>
  <c r="F45" i="14"/>
  <c r="N40" i="13"/>
  <c r="F40" i="13"/>
  <c r="M40" i="13"/>
  <c r="G40" i="13"/>
  <c r="E40" i="13"/>
  <c r="N83" i="2"/>
  <c r="M83" i="2"/>
  <c r="G83" i="2"/>
  <c r="F83" i="2"/>
  <c r="E83" i="2"/>
  <c r="L43" i="14" l="1"/>
  <c r="I44" i="14"/>
  <c r="J44" i="14"/>
  <c r="H44" i="14"/>
  <c r="K44" i="14" s="1"/>
  <c r="K43" i="14"/>
  <c r="C47" i="14"/>
  <c r="B161" i="14"/>
  <c r="K38" i="13"/>
  <c r="H39" i="13"/>
  <c r="J39" i="13"/>
  <c r="I39" i="13"/>
  <c r="C45" i="13"/>
  <c r="B42" i="13"/>
  <c r="L38" i="13"/>
  <c r="K81" i="2"/>
  <c r="L81" i="2"/>
  <c r="B84" i="2"/>
  <c r="H82" i="2"/>
  <c r="J82" i="2"/>
  <c r="I82" i="2"/>
  <c r="M46" i="14"/>
  <c r="G46" i="14"/>
  <c r="E46" i="14"/>
  <c r="N46" i="14"/>
  <c r="F46" i="14"/>
  <c r="M41" i="13"/>
  <c r="G41" i="13"/>
  <c r="F41" i="13"/>
  <c r="N41" i="13"/>
  <c r="E41" i="13"/>
  <c r="N84" i="2"/>
  <c r="M84" i="2"/>
  <c r="G84" i="2"/>
  <c r="F84" i="2"/>
  <c r="E84" i="2"/>
  <c r="I45" i="14" l="1"/>
  <c r="H45" i="14"/>
  <c r="J45" i="14"/>
  <c r="B162" i="14"/>
  <c r="C48" i="14"/>
  <c r="L44" i="14"/>
  <c r="K39" i="13"/>
  <c r="H40" i="13"/>
  <c r="I40" i="13"/>
  <c r="J40" i="13"/>
  <c r="B43" i="13"/>
  <c r="C46" i="13"/>
  <c r="L39" i="13"/>
  <c r="L82" i="2"/>
  <c r="K82" i="2"/>
  <c r="B85" i="2"/>
  <c r="H83" i="2"/>
  <c r="J83" i="2"/>
  <c r="I83" i="2"/>
  <c r="N47" i="14"/>
  <c r="F47" i="14"/>
  <c r="E47" i="14"/>
  <c r="G47" i="14"/>
  <c r="M47" i="14"/>
  <c r="G42" i="13"/>
  <c r="M42" i="13"/>
  <c r="E42" i="13"/>
  <c r="F42" i="13"/>
  <c r="N42" i="13"/>
  <c r="N85" i="2"/>
  <c r="M85" i="2"/>
  <c r="F85" i="2"/>
  <c r="G85" i="2"/>
  <c r="E85" i="2"/>
  <c r="K45" i="14" l="1"/>
  <c r="J46" i="14"/>
  <c r="H46" i="14"/>
  <c r="I46" i="14"/>
  <c r="B163" i="14"/>
  <c r="C49" i="14"/>
  <c r="L45" i="14"/>
  <c r="K40" i="13"/>
  <c r="I41" i="13"/>
  <c r="H41" i="13"/>
  <c r="J41" i="13"/>
  <c r="B44" i="13"/>
  <c r="C47" i="13"/>
  <c r="L40" i="13"/>
  <c r="L83" i="2"/>
  <c r="K83" i="2"/>
  <c r="B86" i="2"/>
  <c r="H84" i="2"/>
  <c r="J84" i="2"/>
  <c r="I84" i="2"/>
  <c r="M48" i="14"/>
  <c r="N48" i="14"/>
  <c r="E48" i="14"/>
  <c r="F48" i="14"/>
  <c r="G48" i="14"/>
  <c r="E43" i="13"/>
  <c r="M43" i="13"/>
  <c r="N43" i="13"/>
  <c r="F43" i="13"/>
  <c r="G43" i="13"/>
  <c r="N86" i="2"/>
  <c r="M86" i="2"/>
  <c r="F86" i="2"/>
  <c r="G86" i="2"/>
  <c r="E86" i="2"/>
  <c r="L46" i="14" l="1"/>
  <c r="J47" i="14"/>
  <c r="I47" i="14"/>
  <c r="H47" i="14"/>
  <c r="K47" i="14" s="1"/>
  <c r="B164" i="14"/>
  <c r="K46" i="14"/>
  <c r="C50" i="14"/>
  <c r="L41" i="13"/>
  <c r="J42" i="13"/>
  <c r="I42" i="13"/>
  <c r="H42" i="13"/>
  <c r="B45" i="13"/>
  <c r="C48" i="13"/>
  <c r="K41" i="13"/>
  <c r="L84" i="2"/>
  <c r="B87" i="2"/>
  <c r="H85" i="2"/>
  <c r="J85" i="2"/>
  <c r="I85" i="2"/>
  <c r="K84" i="2"/>
  <c r="G49" i="14"/>
  <c r="N49" i="14"/>
  <c r="F49" i="14"/>
  <c r="M49" i="14"/>
  <c r="E49" i="14"/>
  <c r="N44" i="13"/>
  <c r="G44" i="13"/>
  <c r="F44" i="13"/>
  <c r="E44" i="13"/>
  <c r="M44" i="13"/>
  <c r="N87" i="2"/>
  <c r="M87" i="2"/>
  <c r="G87" i="2"/>
  <c r="F87" i="2"/>
  <c r="E87" i="2"/>
  <c r="K42" i="13" l="1"/>
  <c r="H48" i="14"/>
  <c r="I48" i="14"/>
  <c r="J48" i="14"/>
  <c r="B165" i="14"/>
  <c r="C51" i="14"/>
  <c r="L47" i="14"/>
  <c r="H43" i="13"/>
  <c r="I43" i="13"/>
  <c r="J43" i="13"/>
  <c r="C49" i="13"/>
  <c r="B46" i="13"/>
  <c r="L42" i="13"/>
  <c r="L85" i="2"/>
  <c r="B88" i="2"/>
  <c r="H86" i="2"/>
  <c r="J86" i="2"/>
  <c r="I86" i="2"/>
  <c r="K85" i="2"/>
  <c r="F50" i="14"/>
  <c r="G50" i="14"/>
  <c r="E50" i="14"/>
  <c r="N50" i="14"/>
  <c r="M50" i="14"/>
  <c r="F45" i="13"/>
  <c r="G45" i="13"/>
  <c r="E45" i="13"/>
  <c r="M45" i="13"/>
  <c r="N45" i="13"/>
  <c r="N88" i="2"/>
  <c r="M88" i="2"/>
  <c r="G88" i="2"/>
  <c r="F88" i="2"/>
  <c r="E88" i="2"/>
  <c r="L48" i="14" l="1"/>
  <c r="H49" i="14"/>
  <c r="J49" i="14"/>
  <c r="I49" i="14"/>
  <c r="L49" i="14" s="1"/>
  <c r="B166" i="14"/>
  <c r="C52" i="14"/>
  <c r="K48" i="14"/>
  <c r="K43" i="13"/>
  <c r="H44" i="13"/>
  <c r="J44" i="13"/>
  <c r="I44" i="13"/>
  <c r="C50" i="13"/>
  <c r="B47" i="13"/>
  <c r="L43" i="13"/>
  <c r="L86" i="2"/>
  <c r="B89" i="2"/>
  <c r="H87" i="2"/>
  <c r="J87" i="2"/>
  <c r="I87" i="2"/>
  <c r="K86" i="2"/>
  <c r="N51" i="14"/>
  <c r="F51" i="14"/>
  <c r="E51" i="14"/>
  <c r="G51" i="14"/>
  <c r="M51" i="14"/>
  <c r="G46" i="13"/>
  <c r="N46" i="13"/>
  <c r="M46" i="13"/>
  <c r="E46" i="13"/>
  <c r="F46" i="13"/>
  <c r="N89" i="2"/>
  <c r="M89" i="2"/>
  <c r="G89" i="2"/>
  <c r="F89" i="2"/>
  <c r="E89" i="2"/>
  <c r="J50" i="14" l="1"/>
  <c r="H50" i="14"/>
  <c r="I50" i="14"/>
  <c r="L50" i="14" s="1"/>
  <c r="B167" i="14"/>
  <c r="C53" i="14"/>
  <c r="K49" i="14"/>
  <c r="K44" i="13"/>
  <c r="I45" i="13"/>
  <c r="H45" i="13"/>
  <c r="J45" i="13"/>
  <c r="C51" i="13"/>
  <c r="L44" i="13"/>
  <c r="B48" i="13"/>
  <c r="L87" i="2"/>
  <c r="B90" i="2"/>
  <c r="H88" i="2"/>
  <c r="J88" i="2"/>
  <c r="I88" i="2"/>
  <c r="K87" i="2"/>
  <c r="M52" i="14"/>
  <c r="E52" i="14"/>
  <c r="N52" i="14"/>
  <c r="G52" i="14"/>
  <c r="F52" i="14"/>
  <c r="G47" i="13"/>
  <c r="M47" i="13"/>
  <c r="N47" i="13"/>
  <c r="F47" i="13"/>
  <c r="E47" i="13"/>
  <c r="N90" i="2"/>
  <c r="M90" i="2"/>
  <c r="F90" i="2"/>
  <c r="G90" i="2"/>
  <c r="E90" i="2"/>
  <c r="I51" i="14" l="1"/>
  <c r="J51" i="14"/>
  <c r="H51" i="14"/>
  <c r="B168" i="14"/>
  <c r="K50" i="14"/>
  <c r="C54" i="14"/>
  <c r="L45" i="13"/>
  <c r="H46" i="13"/>
  <c r="I46" i="13"/>
  <c r="J46" i="13"/>
  <c r="B49" i="13"/>
  <c r="C52" i="13"/>
  <c r="K45" i="13"/>
  <c r="L88" i="2"/>
  <c r="B91" i="2"/>
  <c r="H89" i="2"/>
  <c r="J89" i="2"/>
  <c r="I89" i="2"/>
  <c r="K88" i="2"/>
  <c r="G53" i="14"/>
  <c r="N53" i="14"/>
  <c r="F53" i="14"/>
  <c r="M53" i="14"/>
  <c r="E53" i="14"/>
  <c r="G48" i="13"/>
  <c r="E48" i="13"/>
  <c r="F48" i="13"/>
  <c r="M48" i="13"/>
  <c r="N48" i="13"/>
  <c r="N91" i="2"/>
  <c r="M91" i="2"/>
  <c r="F91" i="2"/>
  <c r="G91" i="2"/>
  <c r="E91" i="2"/>
  <c r="K51" i="14" l="1"/>
  <c r="H52" i="14"/>
  <c r="I52" i="14"/>
  <c r="J52" i="14"/>
  <c r="B169" i="14"/>
  <c r="C55" i="14"/>
  <c r="L51" i="14"/>
  <c r="K46" i="13"/>
  <c r="I47" i="13"/>
  <c r="H47" i="13"/>
  <c r="J47" i="13"/>
  <c r="C53" i="13"/>
  <c r="B50" i="13"/>
  <c r="L46" i="13"/>
  <c r="L89" i="2"/>
  <c r="K89" i="2"/>
  <c r="B92" i="2"/>
  <c r="H90" i="2"/>
  <c r="J90" i="2"/>
  <c r="I90" i="2"/>
  <c r="E54" i="14"/>
  <c r="G54" i="14"/>
  <c r="N54" i="14"/>
  <c r="F54" i="14"/>
  <c r="M54" i="14"/>
  <c r="E49" i="13"/>
  <c r="N49" i="13"/>
  <c r="F49" i="13"/>
  <c r="G49" i="13"/>
  <c r="M49" i="13"/>
  <c r="N92" i="2"/>
  <c r="M92" i="2"/>
  <c r="F92" i="2"/>
  <c r="G92" i="2"/>
  <c r="E92" i="2"/>
  <c r="L52" i="14" l="1"/>
  <c r="I53" i="14"/>
  <c r="J53" i="14"/>
  <c r="H53" i="14"/>
  <c r="B170" i="14"/>
  <c r="C56" i="14"/>
  <c r="K52" i="14"/>
  <c r="L47" i="13"/>
  <c r="J48" i="13"/>
  <c r="I48" i="13"/>
  <c r="H48" i="13"/>
  <c r="K48" i="13" s="1"/>
  <c r="C54" i="13"/>
  <c r="B51" i="13"/>
  <c r="K47" i="13"/>
  <c r="L90" i="2"/>
  <c r="B93" i="2"/>
  <c r="H91" i="2"/>
  <c r="J91" i="2"/>
  <c r="I91" i="2"/>
  <c r="K90" i="2"/>
  <c r="N55" i="14"/>
  <c r="M55" i="14"/>
  <c r="E55" i="14"/>
  <c r="F55" i="14"/>
  <c r="G55" i="14"/>
  <c r="M50" i="13"/>
  <c r="F50" i="13"/>
  <c r="G50" i="13"/>
  <c r="N50" i="13"/>
  <c r="E50" i="13"/>
  <c r="N93" i="2"/>
  <c r="M93" i="2"/>
  <c r="G93" i="2"/>
  <c r="F93" i="2"/>
  <c r="E93" i="2"/>
  <c r="K53" i="14" l="1"/>
  <c r="J54" i="14"/>
  <c r="I54" i="14"/>
  <c r="H54" i="14"/>
  <c r="K54" i="14" s="1"/>
  <c r="C57" i="14"/>
  <c r="B171" i="14"/>
  <c r="L53" i="14"/>
  <c r="H49" i="13"/>
  <c r="J49" i="13"/>
  <c r="I49" i="13"/>
  <c r="B52" i="13"/>
  <c r="C55" i="13"/>
  <c r="L48" i="13"/>
  <c r="L91" i="2"/>
  <c r="K91" i="2"/>
  <c r="B94" i="2"/>
  <c r="H92" i="2"/>
  <c r="J92" i="2"/>
  <c r="I92" i="2"/>
  <c r="G56" i="14"/>
  <c r="E56" i="14"/>
  <c r="M56" i="14"/>
  <c r="N56" i="14"/>
  <c r="F56" i="14"/>
  <c r="N51" i="13"/>
  <c r="G51" i="13"/>
  <c r="E51" i="13"/>
  <c r="F51" i="13"/>
  <c r="M51" i="13"/>
  <c r="N94" i="2"/>
  <c r="M94" i="2"/>
  <c r="F94" i="2"/>
  <c r="G94" i="2"/>
  <c r="E94" i="2"/>
  <c r="I55" i="14" l="1"/>
  <c r="H55" i="14"/>
  <c r="J55" i="14"/>
  <c r="B172" i="14"/>
  <c r="L54" i="14"/>
  <c r="C58" i="14"/>
  <c r="K49" i="13"/>
  <c r="I50" i="13"/>
  <c r="H50" i="13"/>
  <c r="J50" i="13"/>
  <c r="C56" i="13"/>
  <c r="L49" i="13"/>
  <c r="B53" i="13"/>
  <c r="K92" i="2"/>
  <c r="L92" i="2"/>
  <c r="B95" i="2"/>
  <c r="H93" i="2"/>
  <c r="I93" i="2"/>
  <c r="J93" i="2"/>
  <c r="G57" i="14"/>
  <c r="N57" i="14"/>
  <c r="M57" i="14"/>
  <c r="F57" i="14"/>
  <c r="E57" i="14"/>
  <c r="F52" i="13"/>
  <c r="E52" i="13"/>
  <c r="G52" i="13"/>
  <c r="N52" i="13"/>
  <c r="M52" i="13"/>
  <c r="N95" i="2"/>
  <c r="M95" i="2"/>
  <c r="G95" i="2"/>
  <c r="F95" i="2"/>
  <c r="E95" i="2"/>
  <c r="L55" i="14" l="1"/>
  <c r="H56" i="14"/>
  <c r="I56" i="14"/>
  <c r="J56" i="14"/>
  <c r="C59" i="14"/>
  <c r="K55" i="14"/>
  <c r="B173" i="14"/>
  <c r="L50" i="13"/>
  <c r="J51" i="13"/>
  <c r="H51" i="13"/>
  <c r="I51" i="13"/>
  <c r="C57" i="13"/>
  <c r="B54" i="13"/>
  <c r="K50" i="13"/>
  <c r="L93" i="2"/>
  <c r="B96" i="2"/>
  <c r="H94" i="2"/>
  <c r="J94" i="2"/>
  <c r="I94" i="2"/>
  <c r="K93" i="2"/>
  <c r="F58" i="14"/>
  <c r="M58" i="14"/>
  <c r="N58" i="14"/>
  <c r="E58" i="14"/>
  <c r="G58" i="14"/>
  <c r="N53" i="13"/>
  <c r="G53" i="13"/>
  <c r="E53" i="13"/>
  <c r="M53" i="13"/>
  <c r="F53" i="13"/>
  <c r="N96" i="2"/>
  <c r="M96" i="2"/>
  <c r="F96" i="2"/>
  <c r="G96" i="2"/>
  <c r="E96" i="2"/>
  <c r="K56" i="14" l="1"/>
  <c r="J57" i="14"/>
  <c r="H57" i="14"/>
  <c r="I57" i="14"/>
  <c r="L57" i="14" s="1"/>
  <c r="C60" i="14"/>
  <c r="B174" i="14"/>
  <c r="L56" i="14"/>
  <c r="K51" i="13"/>
  <c r="I52" i="13"/>
  <c r="H52" i="13"/>
  <c r="J52" i="13"/>
  <c r="C58" i="13"/>
  <c r="L51" i="13"/>
  <c r="B55" i="13"/>
  <c r="L94" i="2"/>
  <c r="B97" i="2"/>
  <c r="H95" i="2"/>
  <c r="J95" i="2"/>
  <c r="I95" i="2"/>
  <c r="K94" i="2"/>
  <c r="F59" i="14"/>
  <c r="M59" i="14"/>
  <c r="N59" i="14"/>
  <c r="G59" i="14"/>
  <c r="E59" i="14"/>
  <c r="F54" i="13"/>
  <c r="E54" i="13"/>
  <c r="N54" i="13"/>
  <c r="M54" i="13"/>
  <c r="G54" i="13"/>
  <c r="N97" i="2"/>
  <c r="M97" i="2"/>
  <c r="F97" i="2"/>
  <c r="G97" i="2"/>
  <c r="E97" i="2"/>
  <c r="H58" i="14" l="1"/>
  <c r="J58" i="14"/>
  <c r="I58" i="14"/>
  <c r="C61" i="14"/>
  <c r="B175" i="14"/>
  <c r="K57" i="14"/>
  <c r="L52" i="13"/>
  <c r="J53" i="13"/>
  <c r="H53" i="13"/>
  <c r="I53" i="13"/>
  <c r="C59" i="13"/>
  <c r="B56" i="13"/>
  <c r="K52" i="13"/>
  <c r="L95" i="2"/>
  <c r="K95" i="2"/>
  <c r="B98" i="2"/>
  <c r="H96" i="2"/>
  <c r="J96" i="2"/>
  <c r="I96" i="2"/>
  <c r="E60" i="14"/>
  <c r="N60" i="14"/>
  <c r="M60" i="14"/>
  <c r="F60" i="14"/>
  <c r="G60" i="14"/>
  <c r="M55" i="13"/>
  <c r="N55" i="13"/>
  <c r="E55" i="13"/>
  <c r="F55" i="13"/>
  <c r="G55" i="13"/>
  <c r="N98" i="2"/>
  <c r="M98" i="2"/>
  <c r="G98" i="2"/>
  <c r="F98" i="2"/>
  <c r="E98" i="2"/>
  <c r="L53" i="13" l="1"/>
  <c r="L58" i="14"/>
  <c r="J59" i="14"/>
  <c r="I59" i="14"/>
  <c r="H59" i="14"/>
  <c r="K59" i="14" s="1"/>
  <c r="B176" i="14"/>
  <c r="C62" i="14"/>
  <c r="K58" i="14"/>
  <c r="K53" i="13"/>
  <c r="J54" i="13"/>
  <c r="I54" i="13"/>
  <c r="H54" i="13"/>
  <c r="C60" i="13"/>
  <c r="B57" i="13"/>
  <c r="L96" i="2"/>
  <c r="K96" i="2"/>
  <c r="B99" i="2"/>
  <c r="H97" i="2"/>
  <c r="J97" i="2"/>
  <c r="I97" i="2"/>
  <c r="E61" i="14"/>
  <c r="N61" i="14"/>
  <c r="F61" i="14"/>
  <c r="M61" i="14"/>
  <c r="G61" i="14"/>
  <c r="E56" i="13"/>
  <c r="F56" i="13"/>
  <c r="M56" i="13"/>
  <c r="G56" i="13"/>
  <c r="N56" i="13"/>
  <c r="N99" i="2"/>
  <c r="M99" i="2"/>
  <c r="F99" i="2"/>
  <c r="G99" i="2"/>
  <c r="E99" i="2"/>
  <c r="J60" i="14" l="1"/>
  <c r="I60" i="14"/>
  <c r="H60" i="14"/>
  <c r="C63" i="14"/>
  <c r="L59" i="14"/>
  <c r="B177" i="14"/>
  <c r="K54" i="13"/>
  <c r="L54" i="13"/>
  <c r="J55" i="13"/>
  <c r="I55" i="13"/>
  <c r="H55" i="13"/>
  <c r="C61" i="13"/>
  <c r="B58" i="13"/>
  <c r="L97" i="2"/>
  <c r="K97" i="2"/>
  <c r="B100" i="2"/>
  <c r="H98" i="2"/>
  <c r="J98" i="2"/>
  <c r="I98" i="2"/>
  <c r="F62" i="14"/>
  <c r="M62" i="14"/>
  <c r="E62" i="14"/>
  <c r="N62" i="14"/>
  <c r="G62" i="14"/>
  <c r="F57" i="13"/>
  <c r="E57" i="13"/>
  <c r="G57" i="13"/>
  <c r="M57" i="13"/>
  <c r="N57" i="13"/>
  <c r="N100" i="2"/>
  <c r="M100" i="2"/>
  <c r="G100" i="2"/>
  <c r="F100" i="2"/>
  <c r="E100" i="2"/>
  <c r="L60" i="14" l="1"/>
  <c r="J61" i="14"/>
  <c r="H61" i="14"/>
  <c r="I61" i="14"/>
  <c r="L61" i="14" s="1"/>
  <c r="K60" i="14"/>
  <c r="B178" i="14"/>
  <c r="C64" i="14"/>
  <c r="L55" i="13"/>
  <c r="J56" i="13"/>
  <c r="H56" i="13"/>
  <c r="I56" i="13"/>
  <c r="C62" i="13"/>
  <c r="K55" i="13"/>
  <c r="B59" i="13"/>
  <c r="L98" i="2"/>
  <c r="B101" i="2"/>
  <c r="H99" i="2"/>
  <c r="J99" i="2"/>
  <c r="I99" i="2"/>
  <c r="K98" i="2"/>
  <c r="F63" i="14"/>
  <c r="N63" i="14"/>
  <c r="M63" i="14"/>
  <c r="G63" i="14"/>
  <c r="E63" i="14"/>
  <c r="M58" i="13"/>
  <c r="F58" i="13"/>
  <c r="N58" i="13"/>
  <c r="E58" i="13"/>
  <c r="G58" i="13"/>
  <c r="N101" i="2"/>
  <c r="M101" i="2"/>
  <c r="F101" i="2"/>
  <c r="G101" i="2"/>
  <c r="E101" i="2"/>
  <c r="H62" i="14" l="1"/>
  <c r="J62" i="14"/>
  <c r="I62" i="14"/>
  <c r="B179" i="14"/>
  <c r="C65" i="14"/>
  <c r="K61" i="14"/>
  <c r="L56" i="13"/>
  <c r="K56" i="13"/>
  <c r="J57" i="13"/>
  <c r="H57" i="13"/>
  <c r="I57" i="13"/>
  <c r="C63" i="13"/>
  <c r="B60" i="13"/>
  <c r="L99" i="2"/>
  <c r="B102" i="2"/>
  <c r="H100" i="2"/>
  <c r="J100" i="2"/>
  <c r="I100" i="2"/>
  <c r="K99" i="2"/>
  <c r="E64" i="14"/>
  <c r="M64" i="14"/>
  <c r="N64" i="14"/>
  <c r="F64" i="14"/>
  <c r="G64" i="14"/>
  <c r="G59" i="13"/>
  <c r="N59" i="13"/>
  <c r="F59" i="13"/>
  <c r="M59" i="13"/>
  <c r="E59" i="13"/>
  <c r="N102" i="2"/>
  <c r="M102" i="2"/>
  <c r="F102" i="2"/>
  <c r="G102" i="2"/>
  <c r="E102" i="2"/>
  <c r="L62" i="14" l="1"/>
  <c r="J63" i="14"/>
  <c r="I63" i="14"/>
  <c r="H63" i="14"/>
  <c r="B180" i="14"/>
  <c r="K62" i="14"/>
  <c r="K57" i="13"/>
  <c r="H58" i="13"/>
  <c r="I58" i="13"/>
  <c r="J58" i="13"/>
  <c r="B61" i="13"/>
  <c r="C64" i="13"/>
  <c r="L57" i="13"/>
  <c r="L100" i="2"/>
  <c r="K100" i="2"/>
  <c r="B103" i="2"/>
  <c r="H101" i="2"/>
  <c r="J101" i="2"/>
  <c r="I101" i="2"/>
  <c r="M60" i="13"/>
  <c r="N60" i="13"/>
  <c r="G60" i="13"/>
  <c r="E60" i="13"/>
  <c r="F60" i="13"/>
  <c r="N103" i="2"/>
  <c r="M103" i="2"/>
  <c r="F103" i="2"/>
  <c r="G103" i="2"/>
  <c r="E103" i="2"/>
  <c r="K63" i="14" l="1"/>
  <c r="J64" i="14"/>
  <c r="C67" i="14"/>
  <c r="L63" i="14"/>
  <c r="B181" i="14"/>
  <c r="K58" i="13"/>
  <c r="I59" i="13"/>
  <c r="H59" i="13"/>
  <c r="J59" i="13"/>
  <c r="C65" i="13"/>
  <c r="B62" i="13"/>
  <c r="L58" i="13"/>
  <c r="L101" i="2"/>
  <c r="K101" i="2"/>
  <c r="B104" i="2"/>
  <c r="H102" i="2"/>
  <c r="J102" i="2"/>
  <c r="I102" i="2"/>
  <c r="G67" i="14"/>
  <c r="N61" i="13"/>
  <c r="F61" i="13"/>
  <c r="G61" i="13"/>
  <c r="E61" i="13"/>
  <c r="M61" i="13"/>
  <c r="N104" i="2"/>
  <c r="N238" i="2" s="1"/>
  <c r="M104" i="2"/>
  <c r="M238" i="2" s="1"/>
  <c r="G104" i="2"/>
  <c r="F104" i="2"/>
  <c r="E104" i="2"/>
  <c r="J66" i="14" l="1"/>
  <c r="B182" i="14"/>
  <c r="C68" i="14"/>
  <c r="K59" i="13"/>
  <c r="H60" i="13"/>
  <c r="J60" i="13"/>
  <c r="I60" i="13"/>
  <c r="B63" i="13"/>
  <c r="C66" i="13"/>
  <c r="L59" i="13"/>
  <c r="L102" i="2"/>
  <c r="K102" i="2"/>
  <c r="B105" i="2"/>
  <c r="H103" i="2"/>
  <c r="J103" i="2"/>
  <c r="I103" i="2"/>
  <c r="F62" i="13"/>
  <c r="E62" i="13"/>
  <c r="M62" i="13"/>
  <c r="G62" i="13"/>
  <c r="N62" i="13"/>
  <c r="N105" i="2"/>
  <c r="N239" i="2" s="1"/>
  <c r="M105" i="2"/>
  <c r="M239" i="2" s="1"/>
  <c r="F105" i="2"/>
  <c r="G105" i="2"/>
  <c r="E105" i="2"/>
  <c r="B183" i="14" l="1"/>
  <c r="C69" i="14"/>
  <c r="K60" i="13"/>
  <c r="J61" i="13"/>
  <c r="H61" i="13"/>
  <c r="I61" i="13"/>
  <c r="B64" i="13"/>
  <c r="C67" i="13"/>
  <c r="L60" i="13"/>
  <c r="L103" i="2"/>
  <c r="K103" i="2"/>
  <c r="B106" i="2"/>
  <c r="H104" i="2"/>
  <c r="J104" i="2"/>
  <c r="I104" i="2"/>
  <c r="G68" i="14"/>
  <c r="N68" i="14"/>
  <c r="E68" i="14"/>
  <c r="M68" i="14"/>
  <c r="F68" i="14"/>
  <c r="M63" i="13"/>
  <c r="F63" i="13"/>
  <c r="N63" i="13"/>
  <c r="E63" i="13"/>
  <c r="G63" i="13"/>
  <c r="G238" i="2"/>
  <c r="E238" i="2"/>
  <c r="F238" i="2"/>
  <c r="N106" i="2"/>
  <c r="N240" i="2" s="1"/>
  <c r="M106" i="2"/>
  <c r="M240" i="2" s="1"/>
  <c r="F106" i="2"/>
  <c r="G106" i="2"/>
  <c r="E106" i="2"/>
  <c r="J67" i="14" l="1"/>
  <c r="B184" i="14"/>
  <c r="C70" i="14"/>
  <c r="L61" i="13"/>
  <c r="J62" i="13"/>
  <c r="H62" i="13"/>
  <c r="I62" i="13"/>
  <c r="B65" i="13"/>
  <c r="C68" i="13"/>
  <c r="K61" i="13"/>
  <c r="L104" i="2"/>
  <c r="K104" i="2"/>
  <c r="B107" i="2"/>
  <c r="H105" i="2"/>
  <c r="J105" i="2"/>
  <c r="I105" i="2"/>
  <c r="E67" i="14"/>
  <c r="F66" i="14"/>
  <c r="M67" i="14"/>
  <c r="F67" i="14"/>
  <c r="E65" i="14"/>
  <c r="E66" i="14"/>
  <c r="N66" i="14"/>
  <c r="F65" i="14"/>
  <c r="N65" i="14"/>
  <c r="M66" i="14"/>
  <c r="M65" i="14"/>
  <c r="N67" i="14"/>
  <c r="G69" i="14"/>
  <c r="E69" i="14"/>
  <c r="M69" i="14"/>
  <c r="N69" i="14"/>
  <c r="F69" i="14"/>
  <c r="E64" i="13"/>
  <c r="M64" i="13"/>
  <c r="G64" i="13"/>
  <c r="N64" i="13"/>
  <c r="F64" i="13"/>
  <c r="F239" i="2"/>
  <c r="E239" i="2"/>
  <c r="G239" i="2"/>
  <c r="N107" i="2"/>
  <c r="N241" i="2" s="1"/>
  <c r="M107" i="2"/>
  <c r="M241" i="2" s="1"/>
  <c r="G107" i="2"/>
  <c r="F107" i="2"/>
  <c r="E107" i="2"/>
  <c r="I64" i="14" l="1"/>
  <c r="H65" i="14"/>
  <c r="H64" i="14"/>
  <c r="I66" i="14"/>
  <c r="I67" i="14"/>
  <c r="I65" i="14"/>
  <c r="L65" i="14" s="1"/>
  <c r="H66" i="14"/>
  <c r="K66" i="14" s="1"/>
  <c r="H67" i="14"/>
  <c r="I68" i="14"/>
  <c r="H68" i="14"/>
  <c r="J68" i="14"/>
  <c r="C71" i="14"/>
  <c r="B185" i="14"/>
  <c r="L62" i="13"/>
  <c r="I63" i="13"/>
  <c r="J63" i="13"/>
  <c r="H63" i="13"/>
  <c r="B66" i="13"/>
  <c r="C69" i="13"/>
  <c r="K62" i="13"/>
  <c r="J238" i="2"/>
  <c r="H238" i="2"/>
  <c r="I238" i="2"/>
  <c r="L105" i="2"/>
  <c r="K105" i="2"/>
  <c r="B108" i="2"/>
  <c r="H106" i="2"/>
  <c r="I106" i="2"/>
  <c r="J106" i="2"/>
  <c r="F70" i="14"/>
  <c r="G70" i="14"/>
  <c r="E70" i="14"/>
  <c r="M70" i="14"/>
  <c r="N70" i="14"/>
  <c r="F65" i="13"/>
  <c r="N65" i="13"/>
  <c r="G65" i="13"/>
  <c r="E65" i="13"/>
  <c r="M65" i="13"/>
  <c r="G240" i="2"/>
  <c r="E240" i="2"/>
  <c r="F240" i="2"/>
  <c r="N108" i="2"/>
  <c r="N242" i="2" s="1"/>
  <c r="M108" i="2"/>
  <c r="M242" i="2" s="1"/>
  <c r="F108" i="2"/>
  <c r="G108" i="2"/>
  <c r="E108" i="2"/>
  <c r="K64" i="14" l="1"/>
  <c r="K67" i="14"/>
  <c r="L67" i="14"/>
  <c r="L66" i="14"/>
  <c r="K65" i="14"/>
  <c r="L64" i="14"/>
  <c r="K68" i="14"/>
  <c r="H69" i="14"/>
  <c r="J69" i="14"/>
  <c r="I69" i="14"/>
  <c r="B186" i="14"/>
  <c r="L68" i="14"/>
  <c r="C72" i="14"/>
  <c r="L238" i="2"/>
  <c r="L63" i="13"/>
  <c r="H64" i="13"/>
  <c r="J64" i="13"/>
  <c r="I64" i="13"/>
  <c r="B67" i="13"/>
  <c r="K63" i="13"/>
  <c r="C70" i="13"/>
  <c r="I239" i="2"/>
  <c r="H239" i="2"/>
  <c r="J239" i="2"/>
  <c r="K238" i="2"/>
  <c r="K106" i="2"/>
  <c r="L106" i="2"/>
  <c r="B109" i="2"/>
  <c r="H107" i="2"/>
  <c r="J107" i="2"/>
  <c r="I107" i="2"/>
  <c r="G71" i="14"/>
  <c r="E71" i="14"/>
  <c r="N71" i="14"/>
  <c r="F71" i="14"/>
  <c r="M71" i="14"/>
  <c r="N66" i="13"/>
  <c r="F66" i="13"/>
  <c r="G66" i="13"/>
  <c r="M66" i="13"/>
  <c r="E66" i="13"/>
  <c r="E241" i="2"/>
  <c r="G241" i="2"/>
  <c r="F241" i="2"/>
  <c r="N109" i="2"/>
  <c r="N243" i="2" s="1"/>
  <c r="M109" i="2"/>
  <c r="M243" i="2" s="1"/>
  <c r="F109" i="2"/>
  <c r="G109" i="2"/>
  <c r="E109" i="2"/>
  <c r="L69" i="14" l="1"/>
  <c r="I70" i="14"/>
  <c r="H70" i="14"/>
  <c r="J70" i="14"/>
  <c r="B187" i="14"/>
  <c r="K69" i="14"/>
  <c r="C73" i="14"/>
  <c r="K64" i="13"/>
  <c r="H65" i="13"/>
  <c r="J65" i="13"/>
  <c r="I65" i="13"/>
  <c r="C71" i="13"/>
  <c r="B68" i="13"/>
  <c r="L64" i="13"/>
  <c r="L239" i="2"/>
  <c r="I240" i="2"/>
  <c r="J240" i="2"/>
  <c r="H240" i="2"/>
  <c r="K239" i="2"/>
  <c r="L107" i="2"/>
  <c r="K107" i="2"/>
  <c r="B110" i="2"/>
  <c r="H108" i="2"/>
  <c r="J108" i="2"/>
  <c r="I108" i="2"/>
  <c r="F72" i="14"/>
  <c r="E72" i="14"/>
  <c r="N72" i="14"/>
  <c r="M72" i="14"/>
  <c r="G72" i="14"/>
  <c r="G67" i="13"/>
  <c r="E67" i="13"/>
  <c r="N67" i="13"/>
  <c r="M67" i="13"/>
  <c r="F67" i="13"/>
  <c r="E242" i="2"/>
  <c r="G242" i="2"/>
  <c r="F242" i="2"/>
  <c r="N110" i="2"/>
  <c r="N244" i="2" s="1"/>
  <c r="M110" i="2"/>
  <c r="M244" i="2" s="1"/>
  <c r="G110" i="2"/>
  <c r="F110" i="2"/>
  <c r="E110" i="2"/>
  <c r="K70" i="14" l="1"/>
  <c r="J71" i="14"/>
  <c r="H71" i="14"/>
  <c r="I71" i="14"/>
  <c r="B188" i="14"/>
  <c r="C74" i="14"/>
  <c r="L70" i="14"/>
  <c r="K65" i="13"/>
  <c r="I66" i="13"/>
  <c r="H66" i="13"/>
  <c r="J66" i="13"/>
  <c r="B69" i="13"/>
  <c r="C72" i="13"/>
  <c r="L65" i="13"/>
  <c r="K240" i="2"/>
  <c r="I241" i="2"/>
  <c r="J241" i="2"/>
  <c r="H241" i="2"/>
  <c r="L240" i="2"/>
  <c r="K108" i="2"/>
  <c r="L108" i="2"/>
  <c r="B111" i="2"/>
  <c r="H109" i="2"/>
  <c r="J109" i="2"/>
  <c r="I109" i="2"/>
  <c r="E73" i="14"/>
  <c r="M73" i="14"/>
  <c r="N73" i="14"/>
  <c r="G73" i="14"/>
  <c r="F73" i="14"/>
  <c r="M68" i="13"/>
  <c r="G68" i="13"/>
  <c r="N68" i="13"/>
  <c r="F68" i="13"/>
  <c r="E68" i="13"/>
  <c r="F243" i="2"/>
  <c r="E243" i="2"/>
  <c r="G243" i="2"/>
  <c r="N111" i="2"/>
  <c r="N245" i="2" s="1"/>
  <c r="M111" i="2"/>
  <c r="M245" i="2" s="1"/>
  <c r="F111" i="2"/>
  <c r="G111" i="2"/>
  <c r="E111" i="2"/>
  <c r="L71" i="14" l="1"/>
  <c r="K71" i="14"/>
  <c r="I72" i="14"/>
  <c r="J72" i="14"/>
  <c r="H72" i="14"/>
  <c r="B189" i="14"/>
  <c r="C75" i="14"/>
  <c r="K66" i="13"/>
  <c r="H67" i="13"/>
  <c r="I67" i="13"/>
  <c r="J67" i="13"/>
  <c r="B70" i="13"/>
  <c r="C73" i="13"/>
  <c r="L66" i="13"/>
  <c r="L241" i="2"/>
  <c r="J242" i="2"/>
  <c r="H242" i="2"/>
  <c r="I242" i="2"/>
  <c r="K241" i="2"/>
  <c r="L109" i="2"/>
  <c r="B112" i="2"/>
  <c r="H110" i="2"/>
  <c r="J110" i="2"/>
  <c r="I110" i="2"/>
  <c r="K109" i="2"/>
  <c r="M74" i="14"/>
  <c r="G74" i="14"/>
  <c r="F74" i="14"/>
  <c r="N74" i="14"/>
  <c r="E74" i="14"/>
  <c r="F69" i="13"/>
  <c r="M69" i="13"/>
  <c r="G69" i="13"/>
  <c r="E69" i="13"/>
  <c r="N69" i="13"/>
  <c r="G244" i="2"/>
  <c r="F244" i="2"/>
  <c r="E244" i="2"/>
  <c r="N112" i="2"/>
  <c r="N246" i="2" s="1"/>
  <c r="M112" i="2"/>
  <c r="M246" i="2" s="1"/>
  <c r="F112" i="2"/>
  <c r="G112" i="2"/>
  <c r="E112" i="2"/>
  <c r="L242" i="2" l="1"/>
  <c r="K72" i="14"/>
  <c r="H73" i="14"/>
  <c r="I73" i="14"/>
  <c r="J73" i="14"/>
  <c r="B190" i="14"/>
  <c r="C76" i="14"/>
  <c r="L72" i="14"/>
  <c r="L67" i="13"/>
  <c r="H68" i="13"/>
  <c r="J68" i="13"/>
  <c r="I68" i="13"/>
  <c r="C74" i="13"/>
  <c r="B71" i="13"/>
  <c r="K67" i="13"/>
  <c r="H243" i="2"/>
  <c r="I243" i="2"/>
  <c r="J243" i="2"/>
  <c r="K242" i="2"/>
  <c r="L110" i="2"/>
  <c r="K110" i="2"/>
  <c r="B113" i="2"/>
  <c r="H111" i="2"/>
  <c r="J111" i="2"/>
  <c r="I111" i="2"/>
  <c r="G75" i="14"/>
  <c r="F75" i="14"/>
  <c r="M75" i="14"/>
  <c r="E75" i="14"/>
  <c r="N75" i="14"/>
  <c r="M70" i="13"/>
  <c r="G70" i="13"/>
  <c r="N70" i="13"/>
  <c r="E70" i="13"/>
  <c r="F70" i="13"/>
  <c r="E245" i="2"/>
  <c r="F245" i="2"/>
  <c r="G245" i="2"/>
  <c r="N113" i="2"/>
  <c r="N247" i="2" s="1"/>
  <c r="M113" i="2"/>
  <c r="M247" i="2" s="1"/>
  <c r="F113" i="2"/>
  <c r="G113" i="2"/>
  <c r="E113" i="2"/>
  <c r="L68" i="13" l="1"/>
  <c r="L73" i="14"/>
  <c r="H74" i="14"/>
  <c r="I74" i="14"/>
  <c r="J74" i="14"/>
  <c r="C77" i="14"/>
  <c r="B191" i="14"/>
  <c r="K73" i="14"/>
  <c r="I69" i="13"/>
  <c r="H69" i="13"/>
  <c r="J69" i="13"/>
  <c r="C75" i="13"/>
  <c r="B72" i="13"/>
  <c r="K68" i="13"/>
  <c r="K243" i="2"/>
  <c r="J244" i="2"/>
  <c r="I244" i="2"/>
  <c r="H244" i="2"/>
  <c r="L243" i="2"/>
  <c r="L111" i="2"/>
  <c r="K111" i="2"/>
  <c r="B114" i="2"/>
  <c r="H112" i="2"/>
  <c r="J112" i="2"/>
  <c r="I112" i="2"/>
  <c r="M76" i="14"/>
  <c r="E76" i="14"/>
  <c r="G76" i="14"/>
  <c r="F76" i="14"/>
  <c r="N76" i="14"/>
  <c r="M71" i="13"/>
  <c r="G71" i="13"/>
  <c r="N71" i="13"/>
  <c r="E71" i="13"/>
  <c r="F71" i="13"/>
  <c r="G246" i="2"/>
  <c r="F246" i="2"/>
  <c r="E246" i="2"/>
  <c r="N114" i="2"/>
  <c r="M114" i="2"/>
  <c r="G114" i="2"/>
  <c r="F114" i="2"/>
  <c r="E114" i="2"/>
  <c r="L74" i="14" l="1"/>
  <c r="I75" i="14"/>
  <c r="J75" i="14"/>
  <c r="H75" i="14"/>
  <c r="K75" i="14" s="1"/>
  <c r="B192" i="14"/>
  <c r="C78" i="14"/>
  <c r="K74" i="14"/>
  <c r="L69" i="13"/>
  <c r="I70" i="13"/>
  <c r="H70" i="13"/>
  <c r="J70" i="13"/>
  <c r="B73" i="13"/>
  <c r="C76" i="13"/>
  <c r="K69" i="13"/>
  <c r="K244" i="2"/>
  <c r="H245" i="2"/>
  <c r="I245" i="2"/>
  <c r="J245" i="2"/>
  <c r="L244" i="2"/>
  <c r="L112" i="2"/>
  <c r="K112" i="2"/>
  <c r="B115" i="2"/>
  <c r="H113" i="2"/>
  <c r="J113" i="2"/>
  <c r="I113" i="2"/>
  <c r="F77" i="14"/>
  <c r="E77" i="14"/>
  <c r="M77" i="14"/>
  <c r="G77" i="14"/>
  <c r="N77" i="14"/>
  <c r="E72" i="13"/>
  <c r="N72" i="13"/>
  <c r="F72" i="13"/>
  <c r="M72" i="13"/>
  <c r="G72" i="13"/>
  <c r="E247" i="2"/>
  <c r="G247" i="2"/>
  <c r="F247" i="2"/>
  <c r="N115" i="2"/>
  <c r="M115" i="2"/>
  <c r="G115" i="2"/>
  <c r="F115" i="2"/>
  <c r="E115" i="2"/>
  <c r="J76" i="14" l="1"/>
  <c r="H76" i="14"/>
  <c r="I76" i="14"/>
  <c r="L76" i="14" s="1"/>
  <c r="B193" i="14"/>
  <c r="L75" i="14"/>
  <c r="C79" i="14"/>
  <c r="L70" i="13"/>
  <c r="J71" i="13"/>
  <c r="I71" i="13"/>
  <c r="H71" i="13"/>
  <c r="C77" i="13"/>
  <c r="B74" i="13"/>
  <c r="K70" i="13"/>
  <c r="K245" i="2"/>
  <c r="I246" i="2"/>
  <c r="I247" i="2"/>
  <c r="J246" i="2"/>
  <c r="J247" i="2"/>
  <c r="H247" i="2"/>
  <c r="H246" i="2"/>
  <c r="L245" i="2"/>
  <c r="L113" i="2"/>
  <c r="K113" i="2"/>
  <c r="B116" i="2"/>
  <c r="H114" i="2"/>
  <c r="J114" i="2"/>
  <c r="I114" i="2"/>
  <c r="G78" i="14"/>
  <c r="F78" i="14"/>
  <c r="N78" i="14"/>
  <c r="M78" i="14"/>
  <c r="E78" i="14"/>
  <c r="E73" i="13"/>
  <c r="F73" i="13"/>
  <c r="G73" i="13"/>
  <c r="M73" i="13"/>
  <c r="N73" i="13"/>
  <c r="N116" i="2"/>
  <c r="M116" i="2"/>
  <c r="F116" i="2"/>
  <c r="G116" i="2"/>
  <c r="E116" i="2"/>
  <c r="K247" i="2" l="1"/>
  <c r="H77" i="14"/>
  <c r="I77" i="14"/>
  <c r="J77" i="14"/>
  <c r="K76" i="14"/>
  <c r="B194" i="14"/>
  <c r="C80" i="14"/>
  <c r="L71" i="13"/>
  <c r="J72" i="13"/>
  <c r="I72" i="13"/>
  <c r="H72" i="13"/>
  <c r="K71" i="13"/>
  <c r="B75" i="13"/>
  <c r="C78" i="13"/>
  <c r="L246" i="2"/>
  <c r="K246" i="2"/>
  <c r="L247" i="2"/>
  <c r="L114" i="2"/>
  <c r="K114" i="2"/>
  <c r="B117" i="2"/>
  <c r="H115" i="2"/>
  <c r="J115" i="2"/>
  <c r="I115" i="2"/>
  <c r="G79" i="14"/>
  <c r="M79" i="14"/>
  <c r="E79" i="14"/>
  <c r="N79" i="14"/>
  <c r="F79" i="14"/>
  <c r="G74" i="13"/>
  <c r="F74" i="13"/>
  <c r="M74" i="13"/>
  <c r="E74" i="13"/>
  <c r="N74" i="13"/>
  <c r="N117" i="2"/>
  <c r="M117" i="2"/>
  <c r="F117" i="2"/>
  <c r="G117" i="2"/>
  <c r="E117" i="2"/>
  <c r="K72" i="13" l="1"/>
  <c r="L77" i="14"/>
  <c r="I78" i="14"/>
  <c r="H78" i="14"/>
  <c r="J78" i="14"/>
  <c r="B195" i="14"/>
  <c r="C81" i="14"/>
  <c r="K77" i="14"/>
  <c r="H73" i="13"/>
  <c r="I73" i="13"/>
  <c r="J73" i="13"/>
  <c r="B76" i="13"/>
  <c r="L72" i="13"/>
  <c r="C79" i="13"/>
  <c r="L115" i="2"/>
  <c r="B118" i="2"/>
  <c r="H116" i="2"/>
  <c r="J116" i="2"/>
  <c r="I116" i="2"/>
  <c r="K115" i="2"/>
  <c r="E80" i="14"/>
  <c r="G80" i="14"/>
  <c r="F80" i="14"/>
  <c r="N80" i="14"/>
  <c r="M80" i="14"/>
  <c r="F75" i="13"/>
  <c r="G75" i="13"/>
  <c r="E75" i="13"/>
  <c r="M75" i="13"/>
  <c r="N75" i="13"/>
  <c r="N118" i="2"/>
  <c r="M118" i="2"/>
  <c r="G118" i="2"/>
  <c r="F118" i="2"/>
  <c r="E118" i="2"/>
  <c r="K78" i="14" l="1"/>
  <c r="I79" i="14"/>
  <c r="J79" i="14"/>
  <c r="H79" i="14"/>
  <c r="K79" i="14" s="1"/>
  <c r="B196" i="14"/>
  <c r="C82" i="14"/>
  <c r="L78" i="14"/>
  <c r="L73" i="13"/>
  <c r="H74" i="13"/>
  <c r="J74" i="13"/>
  <c r="I74" i="13"/>
  <c r="B77" i="13"/>
  <c r="C80" i="13"/>
  <c r="K73" i="13"/>
  <c r="L116" i="2"/>
  <c r="K116" i="2"/>
  <c r="B119" i="2"/>
  <c r="H117" i="2"/>
  <c r="J117" i="2"/>
  <c r="I117" i="2"/>
  <c r="M81" i="14"/>
  <c r="F81" i="14"/>
  <c r="E81" i="14"/>
  <c r="N81" i="14"/>
  <c r="G81" i="14"/>
  <c r="E76" i="13"/>
  <c r="N76" i="13"/>
  <c r="F76" i="13"/>
  <c r="G76" i="13"/>
  <c r="M76" i="13"/>
  <c r="N119" i="2"/>
  <c r="M119" i="2"/>
  <c r="F119" i="2"/>
  <c r="G119" i="2"/>
  <c r="E119" i="2"/>
  <c r="J80" i="14" l="1"/>
  <c r="H80" i="14"/>
  <c r="I80" i="14"/>
  <c r="L80" i="14" s="1"/>
  <c r="B197" i="14"/>
  <c r="L79" i="14"/>
  <c r="C83" i="14"/>
  <c r="K74" i="13"/>
  <c r="J75" i="13"/>
  <c r="I75" i="13"/>
  <c r="H75" i="13"/>
  <c r="C81" i="13"/>
  <c r="L74" i="13"/>
  <c r="B78" i="13"/>
  <c r="L117" i="2"/>
  <c r="K117" i="2"/>
  <c r="B120" i="2"/>
  <c r="H118" i="2"/>
  <c r="J118" i="2"/>
  <c r="I118" i="2"/>
  <c r="E82" i="14"/>
  <c r="G82" i="14"/>
  <c r="N82" i="14"/>
  <c r="F82" i="14"/>
  <c r="M82" i="14"/>
  <c r="G77" i="13"/>
  <c r="N77" i="13"/>
  <c r="M77" i="13"/>
  <c r="F77" i="13"/>
  <c r="E77" i="13"/>
  <c r="N120" i="2"/>
  <c r="M120" i="2"/>
  <c r="G120" i="2"/>
  <c r="F120" i="2"/>
  <c r="E120" i="2"/>
  <c r="I81" i="14" l="1"/>
  <c r="J81" i="14"/>
  <c r="H81" i="14"/>
  <c r="B198" i="14"/>
  <c r="K80" i="14"/>
  <c r="C84" i="14"/>
  <c r="K75" i="13"/>
  <c r="H76" i="13"/>
  <c r="I76" i="13"/>
  <c r="J76" i="13"/>
  <c r="C82" i="13"/>
  <c r="B79" i="13"/>
  <c r="L75" i="13"/>
  <c r="L118" i="2"/>
  <c r="K118" i="2"/>
  <c r="B121" i="2"/>
  <c r="H119" i="2"/>
  <c r="J119" i="2"/>
  <c r="I119" i="2"/>
  <c r="M83" i="14"/>
  <c r="E83" i="14"/>
  <c r="F83" i="14"/>
  <c r="N83" i="14"/>
  <c r="G83" i="14"/>
  <c r="F78" i="13"/>
  <c r="M78" i="13"/>
  <c r="N78" i="13"/>
  <c r="E78" i="13"/>
  <c r="G78" i="13"/>
  <c r="N121" i="2"/>
  <c r="M121" i="2"/>
  <c r="F121" i="2"/>
  <c r="G121" i="2"/>
  <c r="E121" i="2"/>
  <c r="K81" i="14" l="1"/>
  <c r="J82" i="14"/>
  <c r="I82" i="14"/>
  <c r="H82" i="14"/>
  <c r="C85" i="14"/>
  <c r="B199" i="14"/>
  <c r="L81" i="14"/>
  <c r="L76" i="13"/>
  <c r="J77" i="13"/>
  <c r="H77" i="13"/>
  <c r="I77" i="13"/>
  <c r="C83" i="13"/>
  <c r="B80" i="13"/>
  <c r="K76" i="13"/>
  <c r="L119" i="2"/>
  <c r="K119" i="2"/>
  <c r="B122" i="2"/>
  <c r="H120" i="2"/>
  <c r="J120" i="2"/>
  <c r="I120" i="2"/>
  <c r="M84" i="14"/>
  <c r="E84" i="14"/>
  <c r="G84" i="14"/>
  <c r="N84" i="14"/>
  <c r="F84" i="14"/>
  <c r="G79" i="13"/>
  <c r="F79" i="13"/>
  <c r="N79" i="13"/>
  <c r="M79" i="13"/>
  <c r="E79" i="13"/>
  <c r="N122" i="2"/>
  <c r="M122" i="2"/>
  <c r="F122" i="2"/>
  <c r="G122" i="2"/>
  <c r="E122" i="2"/>
  <c r="K82" i="14" l="1"/>
  <c r="I83" i="14"/>
  <c r="J83" i="14"/>
  <c r="H83" i="14"/>
  <c r="B200" i="14"/>
  <c r="L82" i="14"/>
  <c r="C86" i="14"/>
  <c r="L77" i="13"/>
  <c r="H78" i="13"/>
  <c r="I78" i="13"/>
  <c r="J78" i="13"/>
  <c r="B81" i="13"/>
  <c r="C84" i="13"/>
  <c r="K77" i="13"/>
  <c r="L120" i="2"/>
  <c r="K120" i="2"/>
  <c r="B123" i="2"/>
  <c r="H121" i="2"/>
  <c r="J121" i="2"/>
  <c r="I121" i="2"/>
  <c r="G85" i="14"/>
  <c r="N85" i="14"/>
  <c r="F85" i="14"/>
  <c r="E85" i="14"/>
  <c r="M85" i="14"/>
  <c r="M80" i="13"/>
  <c r="G80" i="13"/>
  <c r="N80" i="13"/>
  <c r="F80" i="13"/>
  <c r="E80" i="13"/>
  <c r="N123" i="2"/>
  <c r="M123" i="2"/>
  <c r="F123" i="2"/>
  <c r="G123" i="2"/>
  <c r="E123" i="2"/>
  <c r="K83" i="14" l="1"/>
  <c r="H84" i="14"/>
  <c r="I84" i="14"/>
  <c r="J84" i="14"/>
  <c r="B201" i="14"/>
  <c r="C87" i="14"/>
  <c r="L83" i="14"/>
  <c r="L78" i="13"/>
  <c r="H79" i="13"/>
  <c r="I79" i="13"/>
  <c r="J79" i="13"/>
  <c r="C85" i="13"/>
  <c r="B82" i="13"/>
  <c r="K78" i="13"/>
  <c r="L121" i="2"/>
  <c r="K121" i="2"/>
  <c r="B124" i="2"/>
  <c r="H122" i="2"/>
  <c r="J122" i="2"/>
  <c r="I122" i="2"/>
  <c r="F86" i="14"/>
  <c r="M86" i="14"/>
  <c r="G86" i="14"/>
  <c r="E86" i="14"/>
  <c r="N86" i="14"/>
  <c r="F81" i="13"/>
  <c r="N81" i="13"/>
  <c r="E81" i="13"/>
  <c r="G81" i="13"/>
  <c r="M81" i="13"/>
  <c r="N124" i="2"/>
  <c r="M124" i="2"/>
  <c r="F124" i="2"/>
  <c r="G124" i="2"/>
  <c r="E124" i="2"/>
  <c r="L84" i="14" l="1"/>
  <c r="K84" i="14"/>
  <c r="H85" i="14"/>
  <c r="J85" i="14"/>
  <c r="I85" i="14"/>
  <c r="B202" i="14"/>
  <c r="C88" i="14"/>
  <c r="L79" i="13"/>
  <c r="J80" i="13"/>
  <c r="H80" i="13"/>
  <c r="I80" i="13"/>
  <c r="B83" i="13"/>
  <c r="C86" i="13"/>
  <c r="K79" i="13"/>
  <c r="L122" i="2"/>
  <c r="K122" i="2"/>
  <c r="B125" i="2"/>
  <c r="H123" i="2"/>
  <c r="J123" i="2"/>
  <c r="I123" i="2"/>
  <c r="F87" i="14"/>
  <c r="N87" i="14"/>
  <c r="G87" i="14"/>
  <c r="E87" i="14"/>
  <c r="M87" i="14"/>
  <c r="E82" i="13"/>
  <c r="F82" i="13"/>
  <c r="N82" i="13"/>
  <c r="G82" i="13"/>
  <c r="M82" i="13"/>
  <c r="N125" i="2"/>
  <c r="M125" i="2"/>
  <c r="G125" i="2"/>
  <c r="F125" i="2"/>
  <c r="E125" i="2"/>
  <c r="L80" i="13" l="1"/>
  <c r="L85" i="14"/>
  <c r="H86" i="14"/>
  <c r="J86" i="14"/>
  <c r="I86" i="14"/>
  <c r="L86" i="14" s="1"/>
  <c r="C89" i="14"/>
  <c r="K85" i="14"/>
  <c r="B203" i="14"/>
  <c r="K80" i="13"/>
  <c r="J81" i="13"/>
  <c r="I81" i="13"/>
  <c r="H81" i="13"/>
  <c r="B84" i="13"/>
  <c r="C87" i="13"/>
  <c r="L123" i="2"/>
  <c r="B126" i="2"/>
  <c r="H124" i="2"/>
  <c r="J124" i="2"/>
  <c r="I124" i="2"/>
  <c r="K123" i="2"/>
  <c r="M88" i="14"/>
  <c r="E88" i="14"/>
  <c r="N88" i="14"/>
  <c r="G88" i="14"/>
  <c r="F88" i="14"/>
  <c r="G83" i="13"/>
  <c r="M83" i="13"/>
  <c r="E83" i="13"/>
  <c r="F83" i="13"/>
  <c r="N83" i="13"/>
  <c r="N126" i="2"/>
  <c r="M126" i="2"/>
  <c r="G126" i="2"/>
  <c r="F126" i="2"/>
  <c r="E126" i="2"/>
  <c r="K81" i="13" l="1"/>
  <c r="I87" i="14"/>
  <c r="J87" i="14"/>
  <c r="H87" i="14"/>
  <c r="K87" i="14" s="1"/>
  <c r="B204" i="14"/>
  <c r="C90" i="14"/>
  <c r="K86" i="14"/>
  <c r="L81" i="13"/>
  <c r="I82" i="13"/>
  <c r="H82" i="13"/>
  <c r="J82" i="13"/>
  <c r="B85" i="13"/>
  <c r="C88" i="13"/>
  <c r="L124" i="2"/>
  <c r="K124" i="2"/>
  <c r="B127" i="2"/>
  <c r="H125" i="2"/>
  <c r="J125" i="2"/>
  <c r="I125" i="2"/>
  <c r="G89" i="14"/>
  <c r="E89" i="14"/>
  <c r="F89" i="14"/>
  <c r="N89" i="14"/>
  <c r="M89" i="14"/>
  <c r="E84" i="13"/>
  <c r="M84" i="13"/>
  <c r="F84" i="13"/>
  <c r="G84" i="13"/>
  <c r="N84" i="13"/>
  <c r="N127" i="2"/>
  <c r="M127" i="2"/>
  <c r="G127" i="2"/>
  <c r="F127" i="2"/>
  <c r="E127" i="2"/>
  <c r="I88" i="14" l="1"/>
  <c r="H88" i="14"/>
  <c r="J88" i="14"/>
  <c r="B205" i="14"/>
  <c r="C91" i="14"/>
  <c r="L87" i="14"/>
  <c r="K82" i="13"/>
  <c r="J83" i="13"/>
  <c r="I83" i="13"/>
  <c r="H83" i="13"/>
  <c r="B86" i="13"/>
  <c r="C89" i="13"/>
  <c r="L82" i="13"/>
  <c r="L125" i="2"/>
  <c r="K125" i="2"/>
  <c r="B128" i="2"/>
  <c r="H126" i="2"/>
  <c r="J126" i="2"/>
  <c r="I126" i="2"/>
  <c r="F90" i="14"/>
  <c r="M90" i="14"/>
  <c r="E90" i="14"/>
  <c r="N90" i="14"/>
  <c r="G90" i="14"/>
  <c r="N85" i="13"/>
  <c r="F85" i="13"/>
  <c r="E85" i="13"/>
  <c r="M85" i="13"/>
  <c r="G85" i="13"/>
  <c r="N128" i="2"/>
  <c r="M128" i="2"/>
  <c r="G128" i="2"/>
  <c r="F128" i="2"/>
  <c r="E128" i="2"/>
  <c r="K83" i="13" l="1"/>
  <c r="K88" i="14"/>
  <c r="J89" i="14"/>
  <c r="H89" i="14"/>
  <c r="I89" i="14"/>
  <c r="L89" i="14" s="1"/>
  <c r="L88" i="14"/>
  <c r="B206" i="14"/>
  <c r="C92" i="14"/>
  <c r="J84" i="13"/>
  <c r="H84" i="13"/>
  <c r="I84" i="13"/>
  <c r="B87" i="13"/>
  <c r="L83" i="13"/>
  <c r="C90" i="13"/>
  <c r="L126" i="2"/>
  <c r="K126" i="2"/>
  <c r="B129" i="2"/>
  <c r="H127" i="2"/>
  <c r="J127" i="2"/>
  <c r="I127" i="2"/>
  <c r="M91" i="14"/>
  <c r="E91" i="14"/>
  <c r="F91" i="14"/>
  <c r="N91" i="14"/>
  <c r="G91" i="14"/>
  <c r="G86" i="13"/>
  <c r="F86" i="13"/>
  <c r="E86" i="13"/>
  <c r="M86" i="13"/>
  <c r="N86" i="13"/>
  <c r="N129" i="2"/>
  <c r="M129" i="2"/>
  <c r="F129" i="2"/>
  <c r="G129" i="2"/>
  <c r="E129" i="2"/>
  <c r="J90" i="14" l="1"/>
  <c r="I90" i="14"/>
  <c r="H90" i="14"/>
  <c r="K90" i="14" s="1"/>
  <c r="B207" i="14"/>
  <c r="K89" i="14"/>
  <c r="C93" i="14"/>
  <c r="L84" i="13"/>
  <c r="K84" i="13"/>
  <c r="H85" i="13"/>
  <c r="I85" i="13"/>
  <c r="J85" i="13"/>
  <c r="C91" i="13"/>
  <c r="B88" i="13"/>
  <c r="L127" i="2"/>
  <c r="K127" i="2"/>
  <c r="B130" i="2"/>
  <c r="H128" i="2"/>
  <c r="J128" i="2"/>
  <c r="I128" i="2"/>
  <c r="G92" i="14"/>
  <c r="E92" i="14"/>
  <c r="F92" i="14"/>
  <c r="N92" i="14"/>
  <c r="M92" i="14"/>
  <c r="M87" i="13"/>
  <c r="N87" i="13"/>
  <c r="G87" i="13"/>
  <c r="E87" i="13"/>
  <c r="F87" i="13"/>
  <c r="N130" i="2"/>
  <c r="M130" i="2"/>
  <c r="F130" i="2"/>
  <c r="G130" i="2"/>
  <c r="E130" i="2"/>
  <c r="I91" i="14" l="1"/>
  <c r="H91" i="14"/>
  <c r="J91" i="14"/>
  <c r="C94" i="14"/>
  <c r="L90" i="14"/>
  <c r="B208" i="14"/>
  <c r="K85" i="13"/>
  <c r="I86" i="13"/>
  <c r="H86" i="13"/>
  <c r="J86" i="13"/>
  <c r="B89" i="13"/>
  <c r="C92" i="13"/>
  <c r="L85" i="13"/>
  <c r="K128" i="2"/>
  <c r="L128" i="2"/>
  <c r="B131" i="2"/>
  <c r="H129" i="2"/>
  <c r="J129" i="2"/>
  <c r="I129" i="2"/>
  <c r="E93" i="14"/>
  <c r="G93" i="14"/>
  <c r="M93" i="14"/>
  <c r="N93" i="14"/>
  <c r="F93" i="14"/>
  <c r="G88" i="13"/>
  <c r="N88" i="13"/>
  <c r="E88" i="13"/>
  <c r="M88" i="13"/>
  <c r="F88" i="13"/>
  <c r="N131" i="2"/>
  <c r="M131" i="2"/>
  <c r="F131" i="2"/>
  <c r="G131" i="2"/>
  <c r="E131" i="2"/>
  <c r="K91" i="14" l="1"/>
  <c r="I92" i="14"/>
  <c r="J92" i="14"/>
  <c r="H92" i="14"/>
  <c r="K92" i="14" s="1"/>
  <c r="B209" i="14"/>
  <c r="C95" i="14"/>
  <c r="L91" i="14"/>
  <c r="K86" i="13"/>
  <c r="I87" i="13"/>
  <c r="H87" i="13"/>
  <c r="J87" i="13"/>
  <c r="C93" i="13"/>
  <c r="B90" i="13"/>
  <c r="L86" i="13"/>
  <c r="L129" i="2"/>
  <c r="K129" i="2"/>
  <c r="B132" i="2"/>
  <c r="H130" i="2"/>
  <c r="J130" i="2"/>
  <c r="I130" i="2"/>
  <c r="F94" i="14"/>
  <c r="N94" i="14"/>
  <c r="M94" i="14"/>
  <c r="G94" i="14"/>
  <c r="E94" i="14"/>
  <c r="F89" i="13"/>
  <c r="N89" i="13"/>
  <c r="E89" i="13"/>
  <c r="G89" i="13"/>
  <c r="M89" i="13"/>
  <c r="N132" i="2"/>
  <c r="M132" i="2"/>
  <c r="F132" i="2"/>
  <c r="G132" i="2"/>
  <c r="E132" i="2"/>
  <c r="H93" i="14" l="1"/>
  <c r="J93" i="14"/>
  <c r="I93" i="14"/>
  <c r="B210" i="14"/>
  <c r="C96" i="14"/>
  <c r="L92" i="14"/>
  <c r="K87" i="13"/>
  <c r="J88" i="13"/>
  <c r="H88" i="13"/>
  <c r="I88" i="13"/>
  <c r="B91" i="13"/>
  <c r="C94" i="13"/>
  <c r="L87" i="13"/>
  <c r="L130" i="2"/>
  <c r="K130" i="2"/>
  <c r="B133" i="2"/>
  <c r="H131" i="2"/>
  <c r="I131" i="2"/>
  <c r="J131" i="2"/>
  <c r="M95" i="14"/>
  <c r="N95" i="14"/>
  <c r="G95" i="14"/>
  <c r="F95" i="14"/>
  <c r="E95" i="14"/>
  <c r="F90" i="13"/>
  <c r="E90" i="13"/>
  <c r="M90" i="13"/>
  <c r="N90" i="13"/>
  <c r="G90" i="13"/>
  <c r="N133" i="2"/>
  <c r="M133" i="2"/>
  <c r="F133" i="2"/>
  <c r="G133" i="2"/>
  <c r="E133" i="2"/>
  <c r="L93" i="14" l="1"/>
  <c r="H94" i="14"/>
  <c r="I94" i="14"/>
  <c r="J94" i="14"/>
  <c r="C97" i="14"/>
  <c r="B211" i="14"/>
  <c r="K93" i="14"/>
  <c r="L88" i="13"/>
  <c r="J89" i="13"/>
  <c r="H89" i="13"/>
  <c r="I89" i="13"/>
  <c r="C95" i="13"/>
  <c r="B92" i="13"/>
  <c r="K88" i="13"/>
  <c r="L131" i="2"/>
  <c r="B134" i="2"/>
  <c r="H132" i="2"/>
  <c r="J132" i="2"/>
  <c r="I132" i="2"/>
  <c r="K131" i="2"/>
  <c r="M96" i="14"/>
  <c r="F96" i="14"/>
  <c r="E96" i="14"/>
  <c r="G96" i="14"/>
  <c r="N96" i="14"/>
  <c r="N91" i="13"/>
  <c r="M91" i="13"/>
  <c r="G91" i="13"/>
  <c r="F91" i="13"/>
  <c r="E91" i="13"/>
  <c r="N134" i="2"/>
  <c r="M134" i="2"/>
  <c r="F134" i="2"/>
  <c r="G134" i="2"/>
  <c r="E134" i="2"/>
  <c r="L94" i="14" l="1"/>
  <c r="J95" i="14"/>
  <c r="H95" i="14"/>
  <c r="I95" i="14"/>
  <c r="L89" i="13"/>
  <c r="B212" i="14"/>
  <c r="C98" i="14"/>
  <c r="K94" i="14"/>
  <c r="H90" i="13"/>
  <c r="I90" i="13"/>
  <c r="J90" i="13"/>
  <c r="B93" i="13"/>
  <c r="C96" i="13"/>
  <c r="K89" i="13"/>
  <c r="L132" i="2"/>
  <c r="B135" i="2"/>
  <c r="H133" i="2"/>
  <c r="J133" i="2"/>
  <c r="I133" i="2"/>
  <c r="K132" i="2"/>
  <c r="F97" i="14"/>
  <c r="M97" i="14"/>
  <c r="E97" i="14"/>
  <c r="G97" i="14"/>
  <c r="N97" i="14"/>
  <c r="M92" i="13"/>
  <c r="E92" i="13"/>
  <c r="N92" i="13"/>
  <c r="G92" i="13"/>
  <c r="F92" i="13"/>
  <c r="N135" i="2"/>
  <c r="M135" i="2"/>
  <c r="F135" i="2"/>
  <c r="G135" i="2"/>
  <c r="E135" i="2"/>
  <c r="L95" i="14" l="1"/>
  <c r="J96" i="14"/>
  <c r="H96" i="14"/>
  <c r="I96" i="14"/>
  <c r="L96" i="14" s="1"/>
  <c r="C99" i="14"/>
  <c r="B213" i="14"/>
  <c r="K95" i="14"/>
  <c r="L90" i="13"/>
  <c r="K90" i="13"/>
  <c r="I91" i="13"/>
  <c r="J91" i="13"/>
  <c r="H91" i="13"/>
  <c r="B94" i="13"/>
  <c r="C97" i="13"/>
  <c r="L133" i="2"/>
  <c r="K133" i="2"/>
  <c r="B136" i="2"/>
  <c r="H134" i="2"/>
  <c r="J134" i="2"/>
  <c r="I134" i="2"/>
  <c r="N98" i="14"/>
  <c r="F98" i="14"/>
  <c r="M98" i="14"/>
  <c r="E98" i="14"/>
  <c r="G98" i="14"/>
  <c r="G93" i="13"/>
  <c r="E93" i="13"/>
  <c r="N93" i="13"/>
  <c r="F93" i="13"/>
  <c r="M93" i="13"/>
  <c r="N136" i="2"/>
  <c r="M136" i="2"/>
  <c r="F136" i="2"/>
  <c r="G136" i="2"/>
  <c r="E136" i="2"/>
  <c r="J97" i="14" l="1"/>
  <c r="H97" i="14"/>
  <c r="I97" i="14"/>
  <c r="L97" i="14" s="1"/>
  <c r="C100" i="14"/>
  <c r="K96" i="14"/>
  <c r="B214" i="14"/>
  <c r="K91" i="13"/>
  <c r="I92" i="13"/>
  <c r="H92" i="13"/>
  <c r="J92" i="13"/>
  <c r="C98" i="13"/>
  <c r="B95" i="13"/>
  <c r="L91" i="13"/>
  <c r="L134" i="2"/>
  <c r="K134" i="2"/>
  <c r="B137" i="2"/>
  <c r="H135" i="2"/>
  <c r="I135" i="2"/>
  <c r="J135" i="2"/>
  <c r="M99" i="14"/>
  <c r="F99" i="14"/>
  <c r="E99" i="14"/>
  <c r="N99" i="14"/>
  <c r="G99" i="14"/>
  <c r="N94" i="13"/>
  <c r="F94" i="13"/>
  <c r="M94" i="13"/>
  <c r="E94" i="13"/>
  <c r="G94" i="13"/>
  <c r="G137" i="2"/>
  <c r="J98" i="14" l="1"/>
  <c r="H98" i="14"/>
  <c r="I98" i="14"/>
  <c r="C101" i="14"/>
  <c r="B215" i="14"/>
  <c r="K97" i="14"/>
  <c r="L92" i="13"/>
  <c r="J93" i="13"/>
  <c r="H93" i="13"/>
  <c r="I93" i="13"/>
  <c r="C99" i="13"/>
  <c r="B96" i="13"/>
  <c r="K92" i="13"/>
  <c r="L135" i="2"/>
  <c r="K135" i="2"/>
  <c r="B138" i="2"/>
  <c r="B139" i="2" s="1"/>
  <c r="J136" i="2"/>
  <c r="M100" i="14"/>
  <c r="E100" i="14"/>
  <c r="N100" i="14"/>
  <c r="G100" i="14"/>
  <c r="F100" i="14"/>
  <c r="G95" i="13"/>
  <c r="F95" i="13"/>
  <c r="N95" i="13"/>
  <c r="M95" i="13"/>
  <c r="E95" i="13"/>
  <c r="G138" i="2"/>
  <c r="L98" i="14" l="1"/>
  <c r="I99" i="14"/>
  <c r="J99" i="14"/>
  <c r="H99" i="14"/>
  <c r="B216" i="14"/>
  <c r="K98" i="14"/>
  <c r="C102" i="14"/>
  <c r="L93" i="13"/>
  <c r="H94" i="13"/>
  <c r="I94" i="13"/>
  <c r="J94" i="13"/>
  <c r="B97" i="13"/>
  <c r="C100" i="13"/>
  <c r="K93" i="13"/>
  <c r="J137" i="2"/>
  <c r="B140" i="2"/>
  <c r="B141" i="2" s="1"/>
  <c r="E101" i="14"/>
  <c r="G101" i="14"/>
  <c r="N101" i="14"/>
  <c r="F101" i="14"/>
  <c r="M101" i="14"/>
  <c r="E96" i="13"/>
  <c r="F96" i="13"/>
  <c r="G96" i="13"/>
  <c r="N96" i="13"/>
  <c r="M96" i="13"/>
  <c r="F141" i="2"/>
  <c r="G141" i="2"/>
  <c r="E141" i="2"/>
  <c r="M141" i="2"/>
  <c r="N141" i="2"/>
  <c r="K99" i="14" l="1"/>
  <c r="I100" i="14"/>
  <c r="J100" i="14"/>
  <c r="H100" i="14"/>
  <c r="K100" i="14" s="1"/>
  <c r="B217" i="14"/>
  <c r="C103" i="14"/>
  <c r="L99" i="14"/>
  <c r="L94" i="13"/>
  <c r="J95" i="13"/>
  <c r="I95" i="13"/>
  <c r="H95" i="13"/>
  <c r="B98" i="13"/>
  <c r="C101" i="13"/>
  <c r="K94" i="13"/>
  <c r="B142" i="2"/>
  <c r="E102" i="14"/>
  <c r="N102" i="14"/>
  <c r="F102" i="14"/>
  <c r="M102" i="14"/>
  <c r="G102" i="14"/>
  <c r="G97" i="13"/>
  <c r="N97" i="13"/>
  <c r="F97" i="13"/>
  <c r="E97" i="13"/>
  <c r="M97" i="13"/>
  <c r="E142" i="2"/>
  <c r="F142" i="2"/>
  <c r="G142" i="2"/>
  <c r="M142" i="2"/>
  <c r="N142" i="2"/>
  <c r="J101" i="14" l="1"/>
  <c r="I101" i="14"/>
  <c r="H101" i="14"/>
  <c r="K101" i="14" s="1"/>
  <c r="B218" i="14"/>
  <c r="C104" i="14"/>
  <c r="L100" i="14"/>
  <c r="K95" i="13"/>
  <c r="H96" i="13"/>
  <c r="I96" i="13"/>
  <c r="J96" i="13"/>
  <c r="L95" i="13"/>
  <c r="C102" i="13"/>
  <c r="B99" i="13"/>
  <c r="J141" i="2"/>
  <c r="I141" i="2"/>
  <c r="H141" i="2"/>
  <c r="B143" i="2"/>
  <c r="N103" i="14"/>
  <c r="M103" i="14"/>
  <c r="F103" i="14"/>
  <c r="G103" i="14"/>
  <c r="E103" i="14"/>
  <c r="M98" i="13"/>
  <c r="E98" i="13"/>
  <c r="N98" i="13"/>
  <c r="F98" i="13"/>
  <c r="G98" i="13"/>
  <c r="F143" i="2"/>
  <c r="G143" i="2"/>
  <c r="E143" i="2"/>
  <c r="M143" i="2"/>
  <c r="N143" i="2"/>
  <c r="H102" i="14" l="1"/>
  <c r="J102" i="14"/>
  <c r="I102" i="14"/>
  <c r="B219" i="14"/>
  <c r="C105" i="14"/>
  <c r="L101" i="14"/>
  <c r="L96" i="13"/>
  <c r="J97" i="13"/>
  <c r="I97" i="13"/>
  <c r="H97" i="13"/>
  <c r="C103" i="13"/>
  <c r="K141" i="2"/>
  <c r="B100" i="13"/>
  <c r="K96" i="13"/>
  <c r="H142" i="2"/>
  <c r="J142" i="2"/>
  <c r="I142" i="2"/>
  <c r="L141" i="2"/>
  <c r="B144" i="2"/>
  <c r="G104" i="14"/>
  <c r="N104" i="14"/>
  <c r="E104" i="14"/>
  <c r="M104" i="14"/>
  <c r="F104" i="14"/>
  <c r="M99" i="13"/>
  <c r="G99" i="13"/>
  <c r="E99" i="13"/>
  <c r="F99" i="13"/>
  <c r="N99" i="13"/>
  <c r="F144" i="2"/>
  <c r="E144" i="2"/>
  <c r="G144" i="2"/>
  <c r="N144" i="2"/>
  <c r="M144" i="2"/>
  <c r="K97" i="13" l="1"/>
  <c r="L102" i="14"/>
  <c r="I103" i="14"/>
  <c r="H103" i="14"/>
  <c r="J103" i="14"/>
  <c r="B220" i="14"/>
  <c r="K102" i="14"/>
  <c r="C106" i="14"/>
  <c r="I98" i="13"/>
  <c r="H98" i="13"/>
  <c r="J98" i="13"/>
  <c r="C104" i="13"/>
  <c r="L97" i="13"/>
  <c r="B101" i="13"/>
  <c r="K142" i="2"/>
  <c r="J143" i="2"/>
  <c r="H143" i="2"/>
  <c r="I143" i="2"/>
  <c r="L142" i="2"/>
  <c r="B145" i="2"/>
  <c r="G105" i="14"/>
  <c r="F105" i="14"/>
  <c r="E105" i="14"/>
  <c r="N105" i="14"/>
  <c r="M105" i="14"/>
  <c r="N100" i="13"/>
  <c r="F100" i="13"/>
  <c r="E100" i="13"/>
  <c r="M100" i="13"/>
  <c r="G100" i="13"/>
  <c r="E145" i="2"/>
  <c r="F145" i="2"/>
  <c r="G145" i="2"/>
  <c r="M145" i="2"/>
  <c r="N145" i="2"/>
  <c r="K103" i="14" l="1"/>
  <c r="H104" i="14"/>
  <c r="I104" i="14"/>
  <c r="J104" i="14"/>
  <c r="B221" i="14"/>
  <c r="C107" i="14"/>
  <c r="L103" i="14"/>
  <c r="K98" i="13"/>
  <c r="J99" i="13"/>
  <c r="H99" i="13"/>
  <c r="I99" i="13"/>
  <c r="C105" i="13"/>
  <c r="B102" i="13"/>
  <c r="L98" i="13"/>
  <c r="L143" i="2"/>
  <c r="J144" i="2"/>
  <c r="I144" i="2"/>
  <c r="H144" i="2"/>
  <c r="K143" i="2"/>
  <c r="B146" i="2"/>
  <c r="E106" i="14"/>
  <c r="M106" i="14"/>
  <c r="G106" i="14"/>
  <c r="N106" i="14"/>
  <c r="F106" i="14"/>
  <c r="E101" i="13"/>
  <c r="F101" i="13"/>
  <c r="G101" i="13"/>
  <c r="N101" i="13"/>
  <c r="M101" i="13"/>
  <c r="E146" i="2"/>
  <c r="F146" i="2"/>
  <c r="G146" i="2"/>
  <c r="M146" i="2"/>
  <c r="N146" i="2"/>
  <c r="L99" i="13" l="1"/>
  <c r="L104" i="14"/>
  <c r="I105" i="14"/>
  <c r="J105" i="14"/>
  <c r="H105" i="14"/>
  <c r="K105" i="14" s="1"/>
  <c r="B222" i="14"/>
  <c r="C108" i="14"/>
  <c r="K104" i="14"/>
  <c r="J100" i="13"/>
  <c r="I100" i="13"/>
  <c r="H100" i="13"/>
  <c r="B103" i="13"/>
  <c r="K99" i="13"/>
  <c r="C106" i="13"/>
  <c r="K144" i="2"/>
  <c r="J145" i="2"/>
  <c r="I145" i="2"/>
  <c r="H145" i="2"/>
  <c r="L144" i="2"/>
  <c r="B147" i="2"/>
  <c r="N107" i="14"/>
  <c r="G107" i="14"/>
  <c r="F107" i="14"/>
  <c r="M107" i="14"/>
  <c r="E107" i="14"/>
  <c r="M102" i="13"/>
  <c r="N102" i="13"/>
  <c r="E102" i="13"/>
  <c r="F102" i="13"/>
  <c r="G102" i="13"/>
  <c r="E147" i="2"/>
  <c r="G147" i="2"/>
  <c r="F147" i="2"/>
  <c r="N147" i="2"/>
  <c r="M147" i="2"/>
  <c r="H106" i="14" l="1"/>
  <c r="I106" i="14"/>
  <c r="J106" i="14"/>
  <c r="C109" i="14"/>
  <c r="B223" i="14"/>
  <c r="L105" i="14"/>
  <c r="K100" i="13"/>
  <c r="L100" i="13"/>
  <c r="J101" i="13"/>
  <c r="I101" i="13"/>
  <c r="H101" i="13"/>
  <c r="B104" i="13"/>
  <c r="C107" i="13"/>
  <c r="K145" i="2"/>
  <c r="I146" i="2"/>
  <c r="J146" i="2"/>
  <c r="H146" i="2"/>
  <c r="L145" i="2"/>
  <c r="B148" i="2"/>
  <c r="M108" i="14"/>
  <c r="E108" i="14"/>
  <c r="F108" i="14"/>
  <c r="G108" i="14"/>
  <c r="N108" i="14"/>
  <c r="N103" i="13"/>
  <c r="M103" i="13"/>
  <c r="F103" i="13"/>
  <c r="G103" i="13"/>
  <c r="E103" i="13"/>
  <c r="F148" i="2"/>
  <c r="E148" i="2"/>
  <c r="G148" i="2"/>
  <c r="M148" i="2"/>
  <c r="N148" i="2"/>
  <c r="L106" i="14" l="1"/>
  <c r="K106" i="14"/>
  <c r="J107" i="14"/>
  <c r="I107" i="14"/>
  <c r="H107" i="14"/>
  <c r="B224" i="14"/>
  <c r="C110" i="14"/>
  <c r="K101" i="13"/>
  <c r="H102" i="13"/>
  <c r="J102" i="13"/>
  <c r="I102" i="13"/>
  <c r="C108" i="13"/>
  <c r="B105" i="13"/>
  <c r="L101" i="13"/>
  <c r="L146" i="2"/>
  <c r="J147" i="2"/>
  <c r="H147" i="2"/>
  <c r="I147" i="2"/>
  <c r="K146" i="2"/>
  <c r="B149" i="2"/>
  <c r="E109" i="14"/>
  <c r="N109" i="14"/>
  <c r="M109" i="14"/>
  <c r="G109" i="14"/>
  <c r="F109" i="14"/>
  <c r="M104" i="13"/>
  <c r="G104" i="13"/>
  <c r="F104" i="13"/>
  <c r="N104" i="13"/>
  <c r="E104" i="13"/>
  <c r="F149" i="2"/>
  <c r="E149" i="2"/>
  <c r="G149" i="2"/>
  <c r="N149" i="2"/>
  <c r="M149" i="2"/>
  <c r="K107" i="14" l="1"/>
  <c r="I108" i="14"/>
  <c r="J108" i="14"/>
  <c r="H108" i="14"/>
  <c r="K108" i="14" s="1"/>
  <c r="L107" i="14"/>
  <c r="B225" i="14"/>
  <c r="C111" i="14"/>
  <c r="L102" i="13"/>
  <c r="H103" i="13"/>
  <c r="I103" i="13"/>
  <c r="J103" i="13"/>
  <c r="B106" i="13"/>
  <c r="C109" i="13"/>
  <c r="K102" i="13"/>
  <c r="L147" i="2"/>
  <c r="J148" i="2"/>
  <c r="H148" i="2"/>
  <c r="I148" i="2"/>
  <c r="K147" i="2"/>
  <c r="B150" i="2"/>
  <c r="E110" i="14"/>
  <c r="G110" i="14"/>
  <c r="F110" i="14"/>
  <c r="M110" i="14"/>
  <c r="N110" i="14"/>
  <c r="F105" i="13"/>
  <c r="G105" i="13"/>
  <c r="M105" i="13"/>
  <c r="N105" i="13"/>
  <c r="E105" i="13"/>
  <c r="E150" i="2"/>
  <c r="F150" i="2"/>
  <c r="G150" i="2"/>
  <c r="M150" i="2"/>
  <c r="N150" i="2"/>
  <c r="I109" i="14" l="1"/>
  <c r="J109" i="14"/>
  <c r="H109" i="14"/>
  <c r="B226" i="14"/>
  <c r="C112" i="14"/>
  <c r="L108" i="14"/>
  <c r="L103" i="13"/>
  <c r="H104" i="13"/>
  <c r="J104" i="13"/>
  <c r="I104" i="13"/>
  <c r="B107" i="13"/>
  <c r="C110" i="13"/>
  <c r="K103" i="13"/>
  <c r="L148" i="2"/>
  <c r="J149" i="2"/>
  <c r="I149" i="2"/>
  <c r="H149" i="2"/>
  <c r="K148" i="2"/>
  <c r="B151" i="2"/>
  <c r="M111" i="14"/>
  <c r="N111" i="14"/>
  <c r="E111" i="14"/>
  <c r="G111" i="14"/>
  <c r="F111" i="14"/>
  <c r="F106" i="13"/>
  <c r="G106" i="13"/>
  <c r="M106" i="13"/>
  <c r="N106" i="13"/>
  <c r="E106" i="13"/>
  <c r="F151" i="2"/>
  <c r="E151" i="2"/>
  <c r="G151" i="2"/>
  <c r="M151" i="2"/>
  <c r="N151" i="2"/>
  <c r="K109" i="14" l="1"/>
  <c r="I110" i="14"/>
  <c r="J110" i="14"/>
  <c r="H110" i="14"/>
  <c r="B227" i="14"/>
  <c r="C113" i="14"/>
  <c r="L109" i="14"/>
  <c r="L104" i="13"/>
  <c r="H105" i="13"/>
  <c r="J105" i="13"/>
  <c r="I105" i="13"/>
  <c r="B108" i="13"/>
  <c r="C111" i="13"/>
  <c r="K104" i="13"/>
  <c r="K149" i="2"/>
  <c r="J150" i="2"/>
  <c r="H150" i="2"/>
  <c r="I150" i="2"/>
  <c r="L149" i="2"/>
  <c r="B152" i="2"/>
  <c r="G112" i="14"/>
  <c r="N112" i="14"/>
  <c r="F112" i="14"/>
  <c r="M112" i="14"/>
  <c r="E112" i="14"/>
  <c r="N107" i="13"/>
  <c r="F107" i="13"/>
  <c r="E107" i="13"/>
  <c r="G107" i="13"/>
  <c r="M107" i="13"/>
  <c r="E152" i="2"/>
  <c r="G152" i="2"/>
  <c r="F152" i="2"/>
  <c r="N152" i="2"/>
  <c r="M152" i="2"/>
  <c r="K110" i="14" l="1"/>
  <c r="H111" i="14"/>
  <c r="I111" i="14"/>
  <c r="L111" i="14" s="1"/>
  <c r="J111" i="14"/>
  <c r="C114" i="14"/>
  <c r="B228" i="14"/>
  <c r="L110" i="14"/>
  <c r="L105" i="13"/>
  <c r="J106" i="13"/>
  <c r="H106" i="13"/>
  <c r="I106" i="13"/>
  <c r="C112" i="13"/>
  <c r="B109" i="13"/>
  <c r="K105" i="13"/>
  <c r="L150" i="2"/>
  <c r="I151" i="2"/>
  <c r="J151" i="2"/>
  <c r="H151" i="2"/>
  <c r="K150" i="2"/>
  <c r="B153" i="2"/>
  <c r="F113" i="14"/>
  <c r="N113" i="14"/>
  <c r="M113" i="14"/>
  <c r="E113" i="14"/>
  <c r="G113" i="14"/>
  <c r="G108" i="13"/>
  <c r="E108" i="13"/>
  <c r="F108" i="13"/>
  <c r="N108" i="13"/>
  <c r="M108" i="13"/>
  <c r="G153" i="2"/>
  <c r="F153" i="2"/>
  <c r="E153" i="2"/>
  <c r="M153" i="2"/>
  <c r="N153" i="2"/>
  <c r="L106" i="13" l="1"/>
  <c r="J112" i="14"/>
  <c r="H112" i="14"/>
  <c r="I112" i="14"/>
  <c r="L112" i="14" s="1"/>
  <c r="B229" i="14"/>
  <c r="K111" i="14"/>
  <c r="C115" i="14"/>
  <c r="I107" i="13"/>
  <c r="H107" i="13"/>
  <c r="J107" i="13"/>
  <c r="C113" i="13"/>
  <c r="K106" i="13"/>
  <c r="B110" i="13"/>
  <c r="L151" i="2"/>
  <c r="H152" i="2"/>
  <c r="I152" i="2"/>
  <c r="J152" i="2"/>
  <c r="K151" i="2"/>
  <c r="B154" i="2"/>
  <c r="M114" i="14"/>
  <c r="E114" i="14"/>
  <c r="G114" i="14"/>
  <c r="F114" i="14"/>
  <c r="N114" i="14"/>
  <c r="M109" i="13"/>
  <c r="G109" i="13"/>
  <c r="F109" i="13"/>
  <c r="E109" i="13"/>
  <c r="N109" i="13"/>
  <c r="E154" i="2"/>
  <c r="F154" i="2"/>
  <c r="G154" i="2"/>
  <c r="N154" i="2"/>
  <c r="M154" i="2"/>
  <c r="I113" i="14" l="1"/>
  <c r="J113" i="14"/>
  <c r="H113" i="14"/>
  <c r="B230" i="14"/>
  <c r="C116" i="14"/>
  <c r="K112" i="14"/>
  <c r="K107" i="13"/>
  <c r="H108" i="13"/>
  <c r="I108" i="13"/>
  <c r="J108" i="13"/>
  <c r="C114" i="13"/>
  <c r="L152" i="2"/>
  <c r="B111" i="13"/>
  <c r="L107" i="13"/>
  <c r="J153" i="2"/>
  <c r="I153" i="2"/>
  <c r="H153" i="2"/>
  <c r="K152" i="2"/>
  <c r="B155" i="2"/>
  <c r="N115" i="14"/>
  <c r="F115" i="14"/>
  <c r="G115" i="14"/>
  <c r="E115" i="14"/>
  <c r="M115" i="14"/>
  <c r="G110" i="13"/>
  <c r="F110" i="13"/>
  <c r="M110" i="13"/>
  <c r="N110" i="13"/>
  <c r="E110" i="13"/>
  <c r="E155" i="2"/>
  <c r="F155" i="2"/>
  <c r="G155" i="2"/>
  <c r="N155" i="2"/>
  <c r="M155" i="2"/>
  <c r="K113" i="14" l="1"/>
  <c r="H114" i="14"/>
  <c r="J114" i="14"/>
  <c r="I114" i="14"/>
  <c r="B231" i="14"/>
  <c r="C117" i="14"/>
  <c r="L113" i="14"/>
  <c r="L108" i="13"/>
  <c r="H109" i="13"/>
  <c r="I109" i="13"/>
  <c r="J109" i="13"/>
  <c r="C115" i="13"/>
  <c r="B112" i="13"/>
  <c r="K108" i="13"/>
  <c r="K153" i="2"/>
  <c r="J154" i="2"/>
  <c r="I154" i="2"/>
  <c r="H154" i="2"/>
  <c r="L153" i="2"/>
  <c r="B156" i="2"/>
  <c r="G116" i="14"/>
  <c r="N116" i="14"/>
  <c r="F116" i="14"/>
  <c r="M116" i="14"/>
  <c r="E116" i="14"/>
  <c r="G111" i="13"/>
  <c r="E111" i="13"/>
  <c r="M111" i="13"/>
  <c r="N111" i="13"/>
  <c r="F111" i="13"/>
  <c r="N156" i="2"/>
  <c r="M156" i="2"/>
  <c r="E156" i="2"/>
  <c r="G156" i="2"/>
  <c r="F156" i="2"/>
  <c r="G140" i="2"/>
  <c r="E140" i="2"/>
  <c r="M140" i="2"/>
  <c r="N140" i="2"/>
  <c r="L114" i="14" l="1"/>
  <c r="H115" i="14"/>
  <c r="I115" i="14"/>
  <c r="L115" i="14" s="1"/>
  <c r="J115" i="14"/>
  <c r="C118" i="14"/>
  <c r="B232" i="14"/>
  <c r="K114" i="14"/>
  <c r="L109" i="13"/>
  <c r="K154" i="2"/>
  <c r="I110" i="13"/>
  <c r="H110" i="13"/>
  <c r="J110" i="13"/>
  <c r="B113" i="13"/>
  <c r="C116" i="13"/>
  <c r="K109" i="13"/>
  <c r="H140" i="2"/>
  <c r="J140" i="2"/>
  <c r="I155" i="2"/>
  <c r="J155" i="2"/>
  <c r="H155" i="2"/>
  <c r="L154" i="2"/>
  <c r="B157" i="2"/>
  <c r="N117" i="14"/>
  <c r="F117" i="14"/>
  <c r="M117" i="14"/>
  <c r="E117" i="14"/>
  <c r="G117" i="14"/>
  <c r="M112" i="13"/>
  <c r="G112" i="13"/>
  <c r="E112" i="13"/>
  <c r="N112" i="13"/>
  <c r="F112" i="13"/>
  <c r="N139" i="2"/>
  <c r="M139" i="2"/>
  <c r="E139" i="2"/>
  <c r="N138" i="2"/>
  <c r="M138" i="2"/>
  <c r="E138" i="2"/>
  <c r="N137" i="2"/>
  <c r="M137" i="2"/>
  <c r="E137" i="2"/>
  <c r="G157" i="2"/>
  <c r="N157" i="2"/>
  <c r="F157" i="2"/>
  <c r="M157" i="2"/>
  <c r="E157" i="2"/>
  <c r="J116" i="14" l="1"/>
  <c r="H116" i="14"/>
  <c r="I116" i="14"/>
  <c r="L116" i="14" s="1"/>
  <c r="C119" i="14"/>
  <c r="B233" i="14"/>
  <c r="K115" i="14"/>
  <c r="L110" i="13"/>
  <c r="I111" i="13"/>
  <c r="H111" i="13"/>
  <c r="J111" i="13"/>
  <c r="C117" i="13"/>
  <c r="B114" i="13"/>
  <c r="K155" i="2"/>
  <c r="K110" i="13"/>
  <c r="H156" i="2"/>
  <c r="I156" i="2"/>
  <c r="J156" i="2"/>
  <c r="H137" i="2"/>
  <c r="H138" i="2"/>
  <c r="H139" i="2"/>
  <c r="L155" i="2"/>
  <c r="H136" i="2"/>
  <c r="B158" i="2"/>
  <c r="N118" i="14"/>
  <c r="F118" i="14"/>
  <c r="M118" i="14"/>
  <c r="E118" i="14"/>
  <c r="G118" i="14"/>
  <c r="M113" i="13"/>
  <c r="E113" i="13"/>
  <c r="F113" i="13"/>
  <c r="N113" i="13"/>
  <c r="G113" i="13"/>
  <c r="G158" i="2"/>
  <c r="E158" i="2"/>
  <c r="N158" i="2"/>
  <c r="F158" i="2"/>
  <c r="M158" i="2"/>
  <c r="J117" i="14" l="1"/>
  <c r="H117" i="14"/>
  <c r="I117" i="14"/>
  <c r="L117" i="14" s="1"/>
  <c r="C120" i="14"/>
  <c r="B234" i="14"/>
  <c r="K116" i="14"/>
  <c r="K111" i="13"/>
  <c r="J112" i="13"/>
  <c r="I112" i="13"/>
  <c r="H112" i="13"/>
  <c r="B115" i="13"/>
  <c r="C118" i="13"/>
  <c r="L111" i="13"/>
  <c r="L156" i="2"/>
  <c r="I157" i="2"/>
  <c r="H157" i="2"/>
  <c r="J157" i="2"/>
  <c r="K156" i="2"/>
  <c r="B159" i="2"/>
  <c r="N119" i="14"/>
  <c r="F119" i="14"/>
  <c r="G119" i="14"/>
  <c r="E119" i="14"/>
  <c r="M119" i="14"/>
  <c r="E114" i="13"/>
  <c r="F114" i="13"/>
  <c r="N114" i="13"/>
  <c r="M114" i="13"/>
  <c r="G114" i="13"/>
  <c r="F159" i="2"/>
  <c r="E159" i="2"/>
  <c r="N159" i="2"/>
  <c r="M159" i="2"/>
  <c r="G159" i="2"/>
  <c r="K112" i="13" l="1"/>
  <c r="H118" i="14"/>
  <c r="J118" i="14"/>
  <c r="I118" i="14"/>
  <c r="L118" i="14" s="1"/>
  <c r="B235" i="14"/>
  <c r="K117" i="14"/>
  <c r="C121" i="14"/>
  <c r="K157" i="2"/>
  <c r="J113" i="13"/>
  <c r="I113" i="13"/>
  <c r="H113" i="13"/>
  <c r="B116" i="13"/>
  <c r="L112" i="13"/>
  <c r="C119" i="13"/>
  <c r="J158" i="2"/>
  <c r="H158" i="2"/>
  <c r="I158" i="2"/>
  <c r="L157" i="2"/>
  <c r="B160" i="2"/>
  <c r="F120" i="14"/>
  <c r="N120" i="14"/>
  <c r="M120" i="14"/>
  <c r="G120" i="14"/>
  <c r="E120" i="14"/>
  <c r="E115" i="13"/>
  <c r="N115" i="13"/>
  <c r="M115" i="13"/>
  <c r="F115" i="13"/>
  <c r="G115" i="13"/>
  <c r="E160" i="2"/>
  <c r="G160" i="2"/>
  <c r="F160" i="2"/>
  <c r="M160" i="2"/>
  <c r="N160" i="2"/>
  <c r="H119" i="14" l="1"/>
  <c r="J119" i="14"/>
  <c r="I119" i="14"/>
  <c r="B236" i="14"/>
  <c r="K118" i="14"/>
  <c r="C122" i="14"/>
  <c r="L113" i="13"/>
  <c r="J114" i="13"/>
  <c r="I114" i="13"/>
  <c r="H114" i="13"/>
  <c r="C120" i="13"/>
  <c r="L158" i="2"/>
  <c r="K113" i="13"/>
  <c r="B117" i="13"/>
  <c r="I159" i="2"/>
  <c r="J159" i="2"/>
  <c r="H159" i="2"/>
  <c r="K158" i="2"/>
  <c r="B161" i="2"/>
  <c r="E121" i="14"/>
  <c r="G121" i="14"/>
  <c r="N121" i="14"/>
  <c r="M121" i="14"/>
  <c r="F121" i="14"/>
  <c r="N116" i="13"/>
  <c r="F116" i="13"/>
  <c r="E116" i="13"/>
  <c r="M116" i="13"/>
  <c r="G116" i="13"/>
  <c r="F161" i="2"/>
  <c r="G161" i="2"/>
  <c r="E161" i="2"/>
  <c r="N161" i="2"/>
  <c r="M161" i="2"/>
  <c r="K119" i="14" l="1"/>
  <c r="I120" i="14"/>
  <c r="J120" i="14"/>
  <c r="H120" i="14"/>
  <c r="K120" i="14" s="1"/>
  <c r="L119" i="14"/>
  <c r="C123" i="14"/>
  <c r="B237" i="14"/>
  <c r="K114" i="13"/>
  <c r="J115" i="13"/>
  <c r="H115" i="13"/>
  <c r="I115" i="13"/>
  <c r="B118" i="13"/>
  <c r="C121" i="13"/>
  <c r="L114" i="13"/>
  <c r="K159" i="2"/>
  <c r="H160" i="2"/>
  <c r="J160" i="2"/>
  <c r="I160" i="2"/>
  <c r="L159" i="2"/>
  <c r="B162" i="2"/>
  <c r="G122" i="14"/>
  <c r="E122" i="14"/>
  <c r="N122" i="14"/>
  <c r="F122" i="14"/>
  <c r="M122" i="14"/>
  <c r="M117" i="13"/>
  <c r="G117" i="13"/>
  <c r="F117" i="13"/>
  <c r="N117" i="13"/>
  <c r="E117" i="13"/>
  <c r="E162" i="2"/>
  <c r="F162" i="2"/>
  <c r="G162" i="2"/>
  <c r="M162" i="2"/>
  <c r="N162" i="2"/>
  <c r="I121" i="14" l="1"/>
  <c r="H121" i="14"/>
  <c r="J121" i="14"/>
  <c r="C124" i="14"/>
  <c r="B238" i="14"/>
  <c r="L120" i="14"/>
  <c r="L115" i="13"/>
  <c r="L160" i="2"/>
  <c r="H116" i="13"/>
  <c r="I116" i="13"/>
  <c r="L116" i="13" s="1"/>
  <c r="J116" i="13"/>
  <c r="C122" i="13"/>
  <c r="B119" i="13"/>
  <c r="K115" i="13"/>
  <c r="J161" i="2"/>
  <c r="I161" i="2"/>
  <c r="H161" i="2"/>
  <c r="K160" i="2"/>
  <c r="B163" i="2"/>
  <c r="G124" i="14"/>
  <c r="N124" i="14"/>
  <c r="F124" i="14"/>
  <c r="M124" i="14"/>
  <c r="E124" i="14"/>
  <c r="F123" i="14"/>
  <c r="M123" i="14"/>
  <c r="N123" i="14"/>
  <c r="E123" i="14"/>
  <c r="G123" i="14"/>
  <c r="N118" i="13"/>
  <c r="E118" i="13"/>
  <c r="G118" i="13"/>
  <c r="F118" i="13"/>
  <c r="M118" i="13"/>
  <c r="E163" i="2"/>
  <c r="G163" i="2"/>
  <c r="F163" i="2"/>
  <c r="N163" i="2"/>
  <c r="M163" i="2"/>
  <c r="K121" i="14" l="1"/>
  <c r="L121" i="14"/>
  <c r="J122" i="14"/>
  <c r="H122" i="14"/>
  <c r="I122" i="14"/>
  <c r="B239" i="14"/>
  <c r="C125" i="14"/>
  <c r="K161" i="2"/>
  <c r="I117" i="13"/>
  <c r="J117" i="13"/>
  <c r="H117" i="13"/>
  <c r="C123" i="13"/>
  <c r="B120" i="13"/>
  <c r="K116" i="13"/>
  <c r="I162" i="2"/>
  <c r="J162" i="2"/>
  <c r="H162" i="2"/>
  <c r="L161" i="2"/>
  <c r="B164" i="2"/>
  <c r="G125" i="14"/>
  <c r="N125" i="14"/>
  <c r="F125" i="14"/>
  <c r="M125" i="14"/>
  <c r="E125" i="14"/>
  <c r="F119" i="13"/>
  <c r="M119" i="13"/>
  <c r="E119" i="13"/>
  <c r="G119" i="13"/>
  <c r="N119" i="13"/>
  <c r="F164" i="2"/>
  <c r="G164" i="2"/>
  <c r="E164" i="2"/>
  <c r="M164" i="2"/>
  <c r="N164" i="2"/>
  <c r="H124" i="14" l="1"/>
  <c r="I124" i="14"/>
  <c r="J124" i="14"/>
  <c r="C126" i="14"/>
  <c r="L122" i="14"/>
  <c r="H123" i="14"/>
  <c r="J123" i="14"/>
  <c r="I123" i="14"/>
  <c r="K122" i="14"/>
  <c r="B240" i="14"/>
  <c r="K117" i="13"/>
  <c r="J118" i="13"/>
  <c r="H118" i="13"/>
  <c r="I118" i="13"/>
  <c r="C124" i="13"/>
  <c r="B121" i="13"/>
  <c r="L117" i="13"/>
  <c r="K162" i="2"/>
  <c r="H163" i="2"/>
  <c r="J163" i="2"/>
  <c r="I163" i="2"/>
  <c r="L162" i="2"/>
  <c r="B165" i="2"/>
  <c r="G126" i="14"/>
  <c r="N126" i="14"/>
  <c r="F126" i="14"/>
  <c r="M126" i="14"/>
  <c r="E126" i="14"/>
  <c r="E120" i="13"/>
  <c r="F120" i="13"/>
  <c r="N120" i="13"/>
  <c r="M120" i="13"/>
  <c r="G120" i="13"/>
  <c r="E165" i="2"/>
  <c r="F165" i="2"/>
  <c r="G165" i="2"/>
  <c r="M165" i="2"/>
  <c r="N165" i="2"/>
  <c r="K124" i="14" l="1"/>
  <c r="H125" i="14"/>
  <c r="I125" i="14"/>
  <c r="L125" i="14" s="1"/>
  <c r="J125" i="14"/>
  <c r="C127" i="14"/>
  <c r="L124" i="14"/>
  <c r="L123" i="14"/>
  <c r="B241" i="14"/>
  <c r="K123" i="14"/>
  <c r="L118" i="13"/>
  <c r="J119" i="13"/>
  <c r="I119" i="13"/>
  <c r="H119" i="13"/>
  <c r="C125" i="13"/>
  <c r="B122" i="13"/>
  <c r="K118" i="13"/>
  <c r="L163" i="2"/>
  <c r="J164" i="2"/>
  <c r="I164" i="2"/>
  <c r="H164" i="2"/>
  <c r="K163" i="2"/>
  <c r="B166" i="2"/>
  <c r="N127" i="14"/>
  <c r="F127" i="14"/>
  <c r="M127" i="14"/>
  <c r="E127" i="14"/>
  <c r="G127" i="14"/>
  <c r="F121" i="13"/>
  <c r="G121" i="13"/>
  <c r="M121" i="13"/>
  <c r="E121" i="13"/>
  <c r="N121" i="13"/>
  <c r="E166" i="2"/>
  <c r="F166" i="2"/>
  <c r="G166" i="2"/>
  <c r="M166" i="2"/>
  <c r="N166" i="2"/>
  <c r="J126" i="14" l="1"/>
  <c r="H126" i="14"/>
  <c r="I126" i="14"/>
  <c r="L126" i="14" s="1"/>
  <c r="C128" i="14"/>
  <c r="K125" i="14"/>
  <c r="B242" i="14"/>
  <c r="K119" i="13"/>
  <c r="H120" i="13"/>
  <c r="J120" i="13"/>
  <c r="I120" i="13"/>
  <c r="B123" i="13"/>
  <c r="L119" i="13"/>
  <c r="K164" i="2"/>
  <c r="J165" i="2"/>
  <c r="I165" i="2"/>
  <c r="H165" i="2"/>
  <c r="L164" i="2"/>
  <c r="B167" i="2"/>
  <c r="G128" i="14"/>
  <c r="N128" i="14"/>
  <c r="F128" i="14"/>
  <c r="M128" i="14"/>
  <c r="E128" i="14"/>
  <c r="E122" i="13"/>
  <c r="F122" i="13"/>
  <c r="N122" i="13"/>
  <c r="G122" i="13"/>
  <c r="M122" i="13"/>
  <c r="F167" i="2"/>
  <c r="G167" i="2"/>
  <c r="E167" i="2"/>
  <c r="N167" i="2"/>
  <c r="M167" i="2"/>
  <c r="H127" i="14" l="1"/>
  <c r="I127" i="14"/>
  <c r="J127" i="14"/>
  <c r="C129" i="14"/>
  <c r="K126" i="14"/>
  <c r="B243" i="14"/>
  <c r="L120" i="13"/>
  <c r="J121" i="13"/>
  <c r="I121" i="13"/>
  <c r="H121" i="13"/>
  <c r="C127" i="13"/>
  <c r="B124" i="13"/>
  <c r="K120" i="13"/>
  <c r="K165" i="2"/>
  <c r="H166" i="2"/>
  <c r="J166" i="2"/>
  <c r="I166" i="2"/>
  <c r="L165" i="2"/>
  <c r="B168" i="2"/>
  <c r="G129" i="14"/>
  <c r="N129" i="14"/>
  <c r="F129" i="14"/>
  <c r="M129" i="14"/>
  <c r="E129" i="14"/>
  <c r="G127" i="13"/>
  <c r="G123" i="13"/>
  <c r="M123" i="13"/>
  <c r="N123" i="13"/>
  <c r="E123" i="13"/>
  <c r="F123" i="13"/>
  <c r="E168" i="2"/>
  <c r="F168" i="2"/>
  <c r="G168" i="2"/>
  <c r="M168" i="2"/>
  <c r="N168" i="2"/>
  <c r="L127" i="14" l="1"/>
  <c r="H128" i="14"/>
  <c r="I128" i="14"/>
  <c r="J128" i="14"/>
  <c r="C130" i="14"/>
  <c r="K127" i="14"/>
  <c r="B244" i="14"/>
  <c r="J126" i="13"/>
  <c r="K121" i="13"/>
  <c r="I122" i="13"/>
  <c r="H122" i="13"/>
  <c r="J122" i="13"/>
  <c r="B125" i="13"/>
  <c r="L121" i="13"/>
  <c r="C128" i="13"/>
  <c r="L166" i="2"/>
  <c r="J167" i="2"/>
  <c r="I167" i="2"/>
  <c r="H167" i="2"/>
  <c r="K166" i="2"/>
  <c r="B169" i="2"/>
  <c r="N130" i="14"/>
  <c r="F130" i="14"/>
  <c r="M130" i="14"/>
  <c r="E130" i="14"/>
  <c r="G130" i="14"/>
  <c r="N124" i="13"/>
  <c r="G124" i="13"/>
  <c r="E124" i="13"/>
  <c r="F124" i="13"/>
  <c r="M124" i="13"/>
  <c r="E169" i="2"/>
  <c r="F169" i="2"/>
  <c r="G169" i="2"/>
  <c r="M169" i="2"/>
  <c r="N169" i="2"/>
  <c r="L128" i="14" l="1"/>
  <c r="J129" i="14"/>
  <c r="H129" i="14"/>
  <c r="I129" i="14"/>
  <c r="L129" i="14" s="1"/>
  <c r="C131" i="14"/>
  <c r="K128" i="14"/>
  <c r="B245" i="14"/>
  <c r="K122" i="13"/>
  <c r="I123" i="13"/>
  <c r="H123" i="13"/>
  <c r="J123" i="13"/>
  <c r="C129" i="13"/>
  <c r="B126" i="13"/>
  <c r="L122" i="13"/>
  <c r="K167" i="2"/>
  <c r="J168" i="2"/>
  <c r="I168" i="2"/>
  <c r="H168" i="2"/>
  <c r="L167" i="2"/>
  <c r="B170" i="2"/>
  <c r="E131" i="14"/>
  <c r="M131" i="14"/>
  <c r="N131" i="14"/>
  <c r="F131" i="14"/>
  <c r="G131" i="14"/>
  <c r="E170" i="2"/>
  <c r="G170" i="2"/>
  <c r="F170" i="2"/>
  <c r="M170" i="2"/>
  <c r="N170" i="2"/>
  <c r="J130" i="14" l="1"/>
  <c r="I130" i="14"/>
  <c r="H130" i="14"/>
  <c r="C132" i="14"/>
  <c r="K129" i="14"/>
  <c r="K123" i="13"/>
  <c r="B246" i="14"/>
  <c r="J124" i="13"/>
  <c r="C130" i="13"/>
  <c r="B127" i="13"/>
  <c r="L123" i="13"/>
  <c r="K168" i="2"/>
  <c r="I169" i="2"/>
  <c r="J169" i="2"/>
  <c r="H169" i="2"/>
  <c r="L168" i="2"/>
  <c r="B171" i="2"/>
  <c r="M132" i="14"/>
  <c r="E132" i="14"/>
  <c r="N132" i="14"/>
  <c r="G132" i="14"/>
  <c r="F132" i="14"/>
  <c r="G171" i="2"/>
  <c r="E171" i="2"/>
  <c r="F171" i="2"/>
  <c r="M171" i="2"/>
  <c r="N171" i="2"/>
  <c r="K130" i="14" l="1"/>
  <c r="I131" i="14"/>
  <c r="J131" i="14"/>
  <c r="H131" i="14"/>
  <c r="K131" i="14" s="1"/>
  <c r="C133" i="14"/>
  <c r="L130" i="14"/>
  <c r="B247" i="14"/>
  <c r="C131" i="13"/>
  <c r="B128" i="13"/>
  <c r="L169" i="2"/>
  <c r="I170" i="2"/>
  <c r="H170" i="2"/>
  <c r="J170" i="2"/>
  <c r="K169" i="2"/>
  <c r="B172" i="2"/>
  <c r="F133" i="14"/>
  <c r="N133" i="14"/>
  <c r="M133" i="14"/>
  <c r="G133" i="14"/>
  <c r="E133" i="14"/>
  <c r="F172" i="2"/>
  <c r="E172" i="2"/>
  <c r="G172" i="2"/>
  <c r="M172" i="2"/>
  <c r="N172" i="2"/>
  <c r="H132" i="14" l="1"/>
  <c r="J132" i="14"/>
  <c r="I132" i="14"/>
  <c r="C134" i="14"/>
  <c r="L131" i="14"/>
  <c r="B129" i="13"/>
  <c r="C132" i="13"/>
  <c r="K170" i="2"/>
  <c r="J171" i="2"/>
  <c r="H171" i="2"/>
  <c r="I171" i="2"/>
  <c r="L170" i="2"/>
  <c r="B173" i="2"/>
  <c r="M134" i="14"/>
  <c r="E134" i="14"/>
  <c r="N134" i="14"/>
  <c r="F134" i="14"/>
  <c r="G134" i="14"/>
  <c r="G128" i="13"/>
  <c r="E128" i="13"/>
  <c r="N128" i="13"/>
  <c r="F128" i="13"/>
  <c r="M128" i="13"/>
  <c r="G173" i="2"/>
  <c r="F173" i="2"/>
  <c r="E173" i="2"/>
  <c r="N173" i="2"/>
  <c r="M173" i="2"/>
  <c r="K132" i="14" l="1"/>
  <c r="J133" i="14"/>
  <c r="I133" i="14"/>
  <c r="H133" i="14"/>
  <c r="K133" i="14" s="1"/>
  <c r="C135" i="14"/>
  <c r="L132" i="14"/>
  <c r="J127" i="13"/>
  <c r="C133" i="13"/>
  <c r="B130" i="13"/>
  <c r="L171" i="2"/>
  <c r="K171" i="2"/>
  <c r="H172" i="2"/>
  <c r="I172" i="2"/>
  <c r="J172" i="2"/>
  <c r="B174" i="2"/>
  <c r="M135" i="14"/>
  <c r="F135" i="14"/>
  <c r="G135" i="14"/>
  <c r="N135" i="14"/>
  <c r="E135" i="14"/>
  <c r="M127" i="13"/>
  <c r="N126" i="13"/>
  <c r="N125" i="13"/>
  <c r="M126" i="13"/>
  <c r="F127" i="13"/>
  <c r="E126" i="13"/>
  <c r="M125" i="13"/>
  <c r="E127" i="13"/>
  <c r="F125" i="13"/>
  <c r="E125" i="13"/>
  <c r="F126" i="13"/>
  <c r="N127" i="13"/>
  <c r="M129" i="13"/>
  <c r="E129" i="13"/>
  <c r="F129" i="13"/>
  <c r="N129" i="13"/>
  <c r="G129" i="13"/>
  <c r="F174" i="2"/>
  <c r="E174" i="2"/>
  <c r="G174" i="2"/>
  <c r="N174" i="2"/>
  <c r="M174" i="2"/>
  <c r="H134" i="14" l="1"/>
  <c r="J134" i="14"/>
  <c r="I134" i="14"/>
  <c r="L134" i="14" s="1"/>
  <c r="C136" i="14"/>
  <c r="L133" i="14"/>
  <c r="I125" i="13"/>
  <c r="H124" i="13"/>
  <c r="I124" i="13"/>
  <c r="H126" i="13"/>
  <c r="H127" i="13"/>
  <c r="H125" i="13"/>
  <c r="I126" i="13"/>
  <c r="I127" i="13"/>
  <c r="J128" i="13"/>
  <c r="I128" i="13"/>
  <c r="H128" i="13"/>
  <c r="C134" i="13"/>
  <c r="B131" i="13"/>
  <c r="L172" i="2"/>
  <c r="J173" i="2"/>
  <c r="H173" i="2"/>
  <c r="I173" i="2"/>
  <c r="K172" i="2"/>
  <c r="B175" i="2"/>
  <c r="G136" i="14"/>
  <c r="F136" i="14"/>
  <c r="N136" i="14"/>
  <c r="E136" i="14"/>
  <c r="M136" i="14"/>
  <c r="F130" i="13"/>
  <c r="N130" i="13"/>
  <c r="G130" i="13"/>
  <c r="M130" i="13"/>
  <c r="E130" i="13"/>
  <c r="G175" i="2"/>
  <c r="E175" i="2"/>
  <c r="F175" i="2"/>
  <c r="N175" i="2"/>
  <c r="M175" i="2"/>
  <c r="H135" i="14" l="1"/>
  <c r="I135" i="14"/>
  <c r="L135" i="14" s="1"/>
  <c r="J135" i="14"/>
  <c r="C137" i="14"/>
  <c r="K134" i="14"/>
  <c r="K125" i="13"/>
  <c r="L127" i="13"/>
  <c r="L126" i="13"/>
  <c r="K128" i="13"/>
  <c r="L124" i="13"/>
  <c r="L125" i="13"/>
  <c r="K127" i="13"/>
  <c r="K126" i="13"/>
  <c r="K124" i="13"/>
  <c r="H129" i="13"/>
  <c r="J129" i="13"/>
  <c r="I129" i="13"/>
  <c r="C135" i="13"/>
  <c r="B132" i="13"/>
  <c r="L128" i="13"/>
  <c r="L173" i="2"/>
  <c r="I174" i="2"/>
  <c r="H174" i="2"/>
  <c r="J174" i="2"/>
  <c r="K173" i="2"/>
  <c r="B176" i="2"/>
  <c r="N137" i="14"/>
  <c r="G137" i="14"/>
  <c r="M137" i="14"/>
  <c r="E137" i="14"/>
  <c r="F137" i="14"/>
  <c r="G131" i="13"/>
  <c r="N131" i="13"/>
  <c r="F131" i="13"/>
  <c r="M131" i="13"/>
  <c r="E131" i="13"/>
  <c r="F176" i="2"/>
  <c r="G176" i="2"/>
  <c r="E176" i="2"/>
  <c r="N176" i="2"/>
  <c r="M176" i="2"/>
  <c r="I136" i="14" l="1"/>
  <c r="H136" i="14"/>
  <c r="K136" i="14" s="1"/>
  <c r="J136" i="14"/>
  <c r="C138" i="14"/>
  <c r="K135" i="14"/>
  <c r="L129" i="13"/>
  <c r="H130" i="13"/>
  <c r="I130" i="13"/>
  <c r="J130" i="13"/>
  <c r="B133" i="13"/>
  <c r="C136" i="13"/>
  <c r="K129" i="13"/>
  <c r="L174" i="2"/>
  <c r="H175" i="2"/>
  <c r="J175" i="2"/>
  <c r="I175" i="2"/>
  <c r="K174" i="2"/>
  <c r="B177" i="2"/>
  <c r="N138" i="14"/>
  <c r="E138" i="14"/>
  <c r="M138" i="14"/>
  <c r="G138" i="14"/>
  <c r="F138" i="14"/>
  <c r="G132" i="13"/>
  <c r="E132" i="13"/>
  <c r="M132" i="13"/>
  <c r="N132" i="13"/>
  <c r="F132" i="13"/>
  <c r="G177" i="2"/>
  <c r="N177" i="2"/>
  <c r="F177" i="2"/>
  <c r="M177" i="2"/>
  <c r="E177" i="2"/>
  <c r="I137" i="14" l="1"/>
  <c r="J137" i="14"/>
  <c r="H137" i="14"/>
  <c r="K137" i="14" s="1"/>
  <c r="C139" i="14"/>
  <c r="L136" i="14"/>
  <c r="L175" i="2"/>
  <c r="K130" i="13"/>
  <c r="I131" i="13"/>
  <c r="H131" i="13"/>
  <c r="J131" i="13"/>
  <c r="C137" i="13"/>
  <c r="C138" i="13" s="1"/>
  <c r="C139" i="13" s="1"/>
  <c r="C140" i="13" s="1"/>
  <c r="C141" i="13" s="1"/>
  <c r="C142" i="13" s="1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C176" i="13" s="1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C246" i="13" s="1"/>
  <c r="C247" i="13" s="1"/>
  <c r="B134" i="13"/>
  <c r="L130" i="13"/>
  <c r="H176" i="2"/>
  <c r="I176" i="2"/>
  <c r="J176" i="2"/>
  <c r="K175" i="2"/>
  <c r="B178" i="2"/>
  <c r="E139" i="14"/>
  <c r="M139" i="14"/>
  <c r="F139" i="14"/>
  <c r="N139" i="14"/>
  <c r="G139" i="14"/>
  <c r="N133" i="13"/>
  <c r="F133" i="13"/>
  <c r="M133" i="13"/>
  <c r="E133" i="13"/>
  <c r="G133" i="13"/>
  <c r="G178" i="2"/>
  <c r="N178" i="2"/>
  <c r="F178" i="2"/>
  <c r="M178" i="2"/>
  <c r="E178" i="2"/>
  <c r="J138" i="14" l="1"/>
  <c r="I138" i="14"/>
  <c r="H138" i="14"/>
  <c r="C140" i="14"/>
  <c r="L137" i="14"/>
  <c r="K131" i="13"/>
  <c r="J132" i="13"/>
  <c r="H132" i="13"/>
  <c r="I132" i="13"/>
  <c r="B135" i="13"/>
  <c r="L131" i="13"/>
  <c r="K176" i="2"/>
  <c r="H177" i="2"/>
  <c r="I177" i="2"/>
  <c r="J177" i="2"/>
  <c r="L176" i="2"/>
  <c r="B179" i="2"/>
  <c r="N140" i="14"/>
  <c r="E140" i="14"/>
  <c r="M140" i="14"/>
  <c r="G140" i="14"/>
  <c r="F140" i="14"/>
  <c r="M134" i="13"/>
  <c r="E134" i="13"/>
  <c r="G134" i="13"/>
  <c r="N134" i="13"/>
  <c r="F134" i="13"/>
  <c r="N179" i="2"/>
  <c r="F179" i="2"/>
  <c r="M179" i="2"/>
  <c r="E179" i="2"/>
  <c r="G179" i="2"/>
  <c r="K138" i="14" l="1"/>
  <c r="L138" i="14"/>
  <c r="I139" i="14"/>
  <c r="J139" i="14"/>
  <c r="H139" i="14"/>
  <c r="K139" i="14" s="1"/>
  <c r="C141" i="14"/>
  <c r="L132" i="13"/>
  <c r="I133" i="13"/>
  <c r="J133" i="13"/>
  <c r="H133" i="13"/>
  <c r="B136" i="13"/>
  <c r="K132" i="13"/>
  <c r="L177" i="2"/>
  <c r="J178" i="2"/>
  <c r="H178" i="2"/>
  <c r="I178" i="2"/>
  <c r="K177" i="2"/>
  <c r="B180" i="2"/>
  <c r="G141" i="14"/>
  <c r="E141" i="14"/>
  <c r="M141" i="14"/>
  <c r="F141" i="14"/>
  <c r="N141" i="14"/>
  <c r="E135" i="13"/>
  <c r="N135" i="13"/>
  <c r="M135" i="13"/>
  <c r="F135" i="13"/>
  <c r="G135" i="13"/>
  <c r="M180" i="2"/>
  <c r="G180" i="2"/>
  <c r="N180" i="2"/>
  <c r="F180" i="2"/>
  <c r="E180" i="2"/>
  <c r="I140" i="14" l="1"/>
  <c r="H140" i="14"/>
  <c r="J140" i="14"/>
  <c r="C142" i="14"/>
  <c r="L139" i="14"/>
  <c r="K133" i="13"/>
  <c r="J134" i="13"/>
  <c r="I134" i="13"/>
  <c r="H134" i="13"/>
  <c r="B137" i="13"/>
  <c r="L133" i="13"/>
  <c r="L178" i="2"/>
  <c r="H179" i="2"/>
  <c r="I179" i="2"/>
  <c r="J179" i="2"/>
  <c r="K178" i="2"/>
  <c r="B181" i="2"/>
  <c r="M142" i="14"/>
  <c r="E142" i="14"/>
  <c r="F142" i="14"/>
  <c r="G142" i="14"/>
  <c r="N142" i="14"/>
  <c r="N181" i="2"/>
  <c r="G181" i="2"/>
  <c r="F181" i="2"/>
  <c r="M181" i="2"/>
  <c r="E181" i="2"/>
  <c r="K140" i="14" l="1"/>
  <c r="J141" i="14"/>
  <c r="I141" i="14"/>
  <c r="H141" i="14"/>
  <c r="K141" i="14" s="1"/>
  <c r="C143" i="14"/>
  <c r="L140" i="14"/>
  <c r="K134" i="13"/>
  <c r="I135" i="13"/>
  <c r="J135" i="13"/>
  <c r="H135" i="13"/>
  <c r="B138" i="13"/>
  <c r="L134" i="13"/>
  <c r="K179" i="2"/>
  <c r="H180" i="2"/>
  <c r="I180" i="2"/>
  <c r="J180" i="2"/>
  <c r="L179" i="2"/>
  <c r="B182" i="2"/>
  <c r="E143" i="14"/>
  <c r="N143" i="14"/>
  <c r="M143" i="14"/>
  <c r="F143" i="14"/>
  <c r="G143" i="14"/>
  <c r="E182" i="2"/>
  <c r="G182" i="2"/>
  <c r="N182" i="2"/>
  <c r="F182" i="2"/>
  <c r="M182" i="2"/>
  <c r="J142" i="14" l="1"/>
  <c r="I142" i="14"/>
  <c r="H142" i="14"/>
  <c r="K142" i="14" s="1"/>
  <c r="C144" i="14"/>
  <c r="L141" i="14"/>
  <c r="L180" i="2"/>
  <c r="K135" i="13"/>
  <c r="B139" i="13"/>
  <c r="L135" i="13"/>
  <c r="I181" i="2"/>
  <c r="J181" i="2"/>
  <c r="H181" i="2"/>
  <c r="K180" i="2"/>
  <c r="B183" i="2"/>
  <c r="G144" i="14"/>
  <c r="N144" i="14"/>
  <c r="F144" i="14"/>
  <c r="E144" i="14"/>
  <c r="M144" i="14"/>
  <c r="F183" i="2"/>
  <c r="M183" i="2"/>
  <c r="N183" i="2"/>
  <c r="E183" i="2"/>
  <c r="G183" i="2"/>
  <c r="H143" i="14" l="1"/>
  <c r="I143" i="14"/>
  <c r="L143" i="14" s="1"/>
  <c r="J143" i="14"/>
  <c r="C145" i="14"/>
  <c r="L142" i="14"/>
  <c r="B140" i="13"/>
  <c r="L181" i="2"/>
  <c r="J182" i="2"/>
  <c r="H182" i="2"/>
  <c r="I182" i="2"/>
  <c r="K181" i="2"/>
  <c r="B184" i="2"/>
  <c r="M145" i="14"/>
  <c r="N145" i="14"/>
  <c r="F145" i="14"/>
  <c r="E145" i="14"/>
  <c r="G145" i="14"/>
  <c r="M184" i="2"/>
  <c r="N184" i="2"/>
  <c r="E184" i="2"/>
  <c r="G184" i="2"/>
  <c r="F184" i="2"/>
  <c r="J144" i="14" l="1"/>
  <c r="H144" i="14"/>
  <c r="I144" i="14"/>
  <c r="L144" i="14" s="1"/>
  <c r="C146" i="14"/>
  <c r="K143" i="14"/>
  <c r="L182" i="2"/>
  <c r="B141" i="13"/>
  <c r="I183" i="2"/>
  <c r="J183" i="2"/>
  <c r="H183" i="2"/>
  <c r="K182" i="2"/>
  <c r="B185" i="2"/>
  <c r="F146" i="14"/>
  <c r="E146" i="14"/>
  <c r="N146" i="14"/>
  <c r="M146" i="14"/>
  <c r="G146" i="14"/>
  <c r="N185" i="2"/>
  <c r="G185" i="2"/>
  <c r="M185" i="2"/>
  <c r="F185" i="2"/>
  <c r="E185" i="2"/>
  <c r="J145" i="14" l="1"/>
  <c r="H145" i="14"/>
  <c r="I145" i="14"/>
  <c r="L145" i="14" s="1"/>
  <c r="C147" i="14"/>
  <c r="K144" i="14"/>
  <c r="B142" i="13"/>
  <c r="L183" i="2"/>
  <c r="H184" i="2"/>
  <c r="I184" i="2"/>
  <c r="J184" i="2"/>
  <c r="K183" i="2"/>
  <c r="B186" i="2"/>
  <c r="G147" i="14"/>
  <c r="M147" i="14"/>
  <c r="E147" i="14"/>
  <c r="N147" i="14"/>
  <c r="F147" i="14"/>
  <c r="N141" i="13"/>
  <c r="G141" i="13"/>
  <c r="F141" i="13"/>
  <c r="E141" i="13"/>
  <c r="M141" i="13"/>
  <c r="N186" i="2"/>
  <c r="F186" i="2"/>
  <c r="E186" i="2"/>
  <c r="G186" i="2"/>
  <c r="M186" i="2"/>
  <c r="I146" i="14" l="1"/>
  <c r="H146" i="14"/>
  <c r="J146" i="14"/>
  <c r="C148" i="14"/>
  <c r="K145" i="14"/>
  <c r="H140" i="13"/>
  <c r="I140" i="13"/>
  <c r="J140" i="13"/>
  <c r="B143" i="13"/>
  <c r="K184" i="2"/>
  <c r="J185" i="2"/>
  <c r="H185" i="2"/>
  <c r="I185" i="2"/>
  <c r="L184" i="2"/>
  <c r="B187" i="2"/>
  <c r="N148" i="14"/>
  <c r="G148" i="14"/>
  <c r="F148" i="14"/>
  <c r="E148" i="14"/>
  <c r="M148" i="14"/>
  <c r="E142" i="13"/>
  <c r="M142" i="13"/>
  <c r="G142" i="13"/>
  <c r="N142" i="13"/>
  <c r="F142" i="13"/>
  <c r="N187" i="2"/>
  <c r="F187" i="2"/>
  <c r="M187" i="2"/>
  <c r="E187" i="2"/>
  <c r="G187" i="2"/>
  <c r="L146" i="14" l="1"/>
  <c r="H147" i="14"/>
  <c r="I147" i="14"/>
  <c r="J147" i="14"/>
  <c r="C149" i="14"/>
  <c r="K146" i="14"/>
  <c r="L140" i="13"/>
  <c r="K140" i="13"/>
  <c r="I141" i="13"/>
  <c r="J141" i="13"/>
  <c r="H141" i="13"/>
  <c r="B144" i="13"/>
  <c r="L185" i="2"/>
  <c r="J186" i="2"/>
  <c r="H186" i="2"/>
  <c r="I186" i="2"/>
  <c r="K185" i="2"/>
  <c r="B188" i="2"/>
  <c r="F149" i="14"/>
  <c r="N149" i="14"/>
  <c r="G149" i="14"/>
  <c r="E149" i="14"/>
  <c r="M149" i="14"/>
  <c r="E143" i="13"/>
  <c r="G143" i="13"/>
  <c r="M143" i="13"/>
  <c r="F143" i="13"/>
  <c r="N143" i="13"/>
  <c r="M188" i="2"/>
  <c r="E188" i="2"/>
  <c r="N188" i="2"/>
  <c r="G188" i="2"/>
  <c r="F188" i="2"/>
  <c r="K147" i="14" l="1"/>
  <c r="H148" i="14"/>
  <c r="J148" i="14"/>
  <c r="I148" i="14"/>
  <c r="C150" i="14"/>
  <c r="K141" i="13"/>
  <c r="L147" i="14"/>
  <c r="L186" i="2"/>
  <c r="I142" i="13"/>
  <c r="J142" i="13"/>
  <c r="H142" i="13"/>
  <c r="B145" i="13"/>
  <c r="L141" i="13"/>
  <c r="I187" i="2"/>
  <c r="J187" i="2"/>
  <c r="H187" i="2"/>
  <c r="K186" i="2"/>
  <c r="B189" i="2"/>
  <c r="N150" i="14"/>
  <c r="G150" i="14"/>
  <c r="E150" i="14"/>
  <c r="F150" i="14"/>
  <c r="M150" i="14"/>
  <c r="E144" i="13"/>
  <c r="M144" i="13"/>
  <c r="G144" i="13"/>
  <c r="N144" i="13"/>
  <c r="F144" i="13"/>
  <c r="M189" i="2"/>
  <c r="F189" i="2"/>
  <c r="E189" i="2"/>
  <c r="N189" i="2"/>
  <c r="G189" i="2"/>
  <c r="K148" i="14" l="1"/>
  <c r="I149" i="14"/>
  <c r="H149" i="14"/>
  <c r="K149" i="14" s="1"/>
  <c r="J149" i="14"/>
  <c r="C151" i="14"/>
  <c r="L148" i="14"/>
  <c r="K142" i="13"/>
  <c r="I143" i="13"/>
  <c r="J143" i="13"/>
  <c r="H143" i="13"/>
  <c r="B146" i="13"/>
  <c r="L142" i="13"/>
  <c r="L187" i="2"/>
  <c r="J188" i="2"/>
  <c r="H188" i="2"/>
  <c r="I188" i="2"/>
  <c r="K187" i="2"/>
  <c r="B190" i="2"/>
  <c r="E151" i="14"/>
  <c r="N151" i="14"/>
  <c r="M151" i="14"/>
  <c r="G151" i="14"/>
  <c r="F151" i="14"/>
  <c r="G145" i="13"/>
  <c r="N145" i="13"/>
  <c r="F145" i="13"/>
  <c r="E145" i="13"/>
  <c r="M145" i="13"/>
  <c r="E190" i="2"/>
  <c r="G190" i="2"/>
  <c r="M190" i="2"/>
  <c r="N190" i="2"/>
  <c r="F190" i="2"/>
  <c r="I150" i="14" l="1"/>
  <c r="J150" i="14"/>
  <c r="H150" i="14"/>
  <c r="C152" i="14"/>
  <c r="L149" i="14"/>
  <c r="K143" i="13"/>
  <c r="L188" i="2"/>
  <c r="H144" i="13"/>
  <c r="I144" i="13"/>
  <c r="J144" i="13"/>
  <c r="B147" i="13"/>
  <c r="L143" i="13"/>
  <c r="I189" i="2"/>
  <c r="J189" i="2"/>
  <c r="H189" i="2"/>
  <c r="K188" i="2"/>
  <c r="B191" i="2"/>
  <c r="M152" i="14"/>
  <c r="E152" i="14"/>
  <c r="G152" i="14"/>
  <c r="F152" i="14"/>
  <c r="N152" i="14"/>
  <c r="M146" i="13"/>
  <c r="G146" i="13"/>
  <c r="E146" i="13"/>
  <c r="N146" i="13"/>
  <c r="F146" i="13"/>
  <c r="G191" i="2"/>
  <c r="F191" i="2"/>
  <c r="E191" i="2"/>
  <c r="M191" i="2"/>
  <c r="N191" i="2"/>
  <c r="L150" i="14" l="1"/>
  <c r="I151" i="14"/>
  <c r="J151" i="14"/>
  <c r="H151" i="14"/>
  <c r="K151" i="14" s="1"/>
  <c r="C153" i="14"/>
  <c r="K150" i="14"/>
  <c r="L144" i="13"/>
  <c r="I145" i="13"/>
  <c r="H145" i="13"/>
  <c r="J145" i="13"/>
  <c r="B148" i="13"/>
  <c r="K144" i="13"/>
  <c r="L189" i="2"/>
  <c r="H190" i="2"/>
  <c r="I190" i="2"/>
  <c r="J190" i="2"/>
  <c r="K189" i="2"/>
  <c r="B192" i="2"/>
  <c r="G153" i="14"/>
  <c r="E153" i="14"/>
  <c r="N153" i="14"/>
  <c r="F153" i="14"/>
  <c r="M153" i="14"/>
  <c r="E147" i="13"/>
  <c r="G147" i="13"/>
  <c r="N147" i="13"/>
  <c r="M147" i="13"/>
  <c r="F147" i="13"/>
  <c r="E192" i="2"/>
  <c r="N192" i="2"/>
  <c r="F192" i="2"/>
  <c r="M192" i="2"/>
  <c r="G192" i="2"/>
  <c r="I152" i="14" l="1"/>
  <c r="H152" i="14"/>
  <c r="J152" i="14"/>
  <c r="C154" i="14"/>
  <c r="L151" i="14"/>
  <c r="K145" i="13"/>
  <c r="I146" i="13"/>
  <c r="J146" i="13"/>
  <c r="H146" i="13"/>
  <c r="B149" i="13"/>
  <c r="L145" i="13"/>
  <c r="K190" i="2"/>
  <c r="J191" i="2"/>
  <c r="I191" i="2"/>
  <c r="H191" i="2"/>
  <c r="L190" i="2"/>
  <c r="B193" i="2"/>
  <c r="M154" i="14"/>
  <c r="G154" i="14"/>
  <c r="E154" i="14"/>
  <c r="F154" i="14"/>
  <c r="N154" i="14"/>
  <c r="F148" i="13"/>
  <c r="G148" i="13"/>
  <c r="N148" i="13"/>
  <c r="M148" i="13"/>
  <c r="E148" i="13"/>
  <c r="G193" i="2"/>
  <c r="F193" i="2"/>
  <c r="N193" i="2"/>
  <c r="E193" i="2"/>
  <c r="M193" i="2"/>
  <c r="K146" i="13" l="1"/>
  <c r="L152" i="14"/>
  <c r="I153" i="14"/>
  <c r="H153" i="14"/>
  <c r="J153" i="14"/>
  <c r="C155" i="14"/>
  <c r="K152" i="14"/>
  <c r="H147" i="13"/>
  <c r="J147" i="13"/>
  <c r="I147" i="13"/>
  <c r="B150" i="13"/>
  <c r="L146" i="13"/>
  <c r="K191" i="2"/>
  <c r="H192" i="2"/>
  <c r="I192" i="2"/>
  <c r="J192" i="2"/>
  <c r="L191" i="2"/>
  <c r="B194" i="2"/>
  <c r="E155" i="14"/>
  <c r="N155" i="14"/>
  <c r="M155" i="14"/>
  <c r="G155" i="14"/>
  <c r="F155" i="14"/>
  <c r="M149" i="13"/>
  <c r="N149" i="13"/>
  <c r="G149" i="13"/>
  <c r="F149" i="13"/>
  <c r="E149" i="13"/>
  <c r="F194" i="2"/>
  <c r="G194" i="2"/>
  <c r="E194" i="2"/>
  <c r="M194" i="2"/>
  <c r="N194" i="2"/>
  <c r="K153" i="14" l="1"/>
  <c r="I154" i="14"/>
  <c r="J154" i="14"/>
  <c r="H154" i="14"/>
  <c r="L153" i="14"/>
  <c r="C156" i="14"/>
  <c r="L147" i="13"/>
  <c r="H148" i="13"/>
  <c r="I148" i="13"/>
  <c r="J148" i="13"/>
  <c r="B151" i="13"/>
  <c r="K147" i="13"/>
  <c r="K192" i="2"/>
  <c r="H193" i="2"/>
  <c r="J193" i="2"/>
  <c r="I193" i="2"/>
  <c r="L192" i="2"/>
  <c r="B195" i="2"/>
  <c r="N156" i="14"/>
  <c r="E156" i="14"/>
  <c r="G156" i="14"/>
  <c r="M156" i="14"/>
  <c r="F156" i="14"/>
  <c r="E150" i="13"/>
  <c r="N150" i="13"/>
  <c r="F150" i="13"/>
  <c r="G150" i="13"/>
  <c r="M150" i="13"/>
  <c r="F195" i="2"/>
  <c r="G195" i="2"/>
  <c r="E195" i="2"/>
  <c r="M195" i="2"/>
  <c r="N195" i="2"/>
  <c r="L154" i="14" l="1"/>
  <c r="I155" i="14"/>
  <c r="J155" i="14"/>
  <c r="H155" i="14"/>
  <c r="K155" i="14" s="1"/>
  <c r="C157" i="14"/>
  <c r="K154" i="14"/>
  <c r="L148" i="13"/>
  <c r="L193" i="2"/>
  <c r="J149" i="13"/>
  <c r="I149" i="13"/>
  <c r="H149" i="13"/>
  <c r="B152" i="13"/>
  <c r="K148" i="13"/>
  <c r="H194" i="2"/>
  <c r="J194" i="2"/>
  <c r="I194" i="2"/>
  <c r="K193" i="2"/>
  <c r="B196" i="2"/>
  <c r="G157" i="14"/>
  <c r="E157" i="14"/>
  <c r="N157" i="14"/>
  <c r="M157" i="14"/>
  <c r="F157" i="14"/>
  <c r="G151" i="13"/>
  <c r="N151" i="13"/>
  <c r="F151" i="13"/>
  <c r="E151" i="13"/>
  <c r="M151" i="13"/>
  <c r="F196" i="2"/>
  <c r="E196" i="2"/>
  <c r="G196" i="2"/>
  <c r="M196" i="2"/>
  <c r="N196" i="2"/>
  <c r="I156" i="14" l="1"/>
  <c r="H156" i="14"/>
  <c r="J156" i="14"/>
  <c r="C158" i="14"/>
  <c r="L155" i="14"/>
  <c r="K149" i="13"/>
  <c r="H150" i="13"/>
  <c r="I150" i="13"/>
  <c r="J150" i="13"/>
  <c r="B153" i="13"/>
  <c r="L149" i="13"/>
  <c r="L194" i="2"/>
  <c r="J195" i="2"/>
  <c r="H195" i="2"/>
  <c r="I195" i="2"/>
  <c r="K194" i="2"/>
  <c r="B197" i="2"/>
  <c r="M158" i="14"/>
  <c r="E158" i="14"/>
  <c r="F158" i="14"/>
  <c r="G158" i="14"/>
  <c r="N158" i="14"/>
  <c r="N152" i="13"/>
  <c r="M152" i="13"/>
  <c r="G152" i="13"/>
  <c r="F152" i="13"/>
  <c r="E152" i="13"/>
  <c r="G197" i="2"/>
  <c r="E197" i="2"/>
  <c r="F197" i="2"/>
  <c r="M197" i="2"/>
  <c r="N197" i="2"/>
  <c r="L156" i="14" l="1"/>
  <c r="J157" i="14"/>
  <c r="I157" i="14"/>
  <c r="H157" i="14"/>
  <c r="K157" i="14" s="1"/>
  <c r="C159" i="14"/>
  <c r="K156" i="14"/>
  <c r="L150" i="13"/>
  <c r="H151" i="13"/>
  <c r="I151" i="13"/>
  <c r="J151" i="13"/>
  <c r="B154" i="13"/>
  <c r="K150" i="13"/>
  <c r="K195" i="2"/>
  <c r="I196" i="2"/>
  <c r="H196" i="2"/>
  <c r="J196" i="2"/>
  <c r="L195" i="2"/>
  <c r="B198" i="2"/>
  <c r="F159" i="14"/>
  <c r="M159" i="14"/>
  <c r="G159" i="14"/>
  <c r="E159" i="14"/>
  <c r="N159" i="14"/>
  <c r="G153" i="13"/>
  <c r="N153" i="13"/>
  <c r="M153" i="13"/>
  <c r="E153" i="13"/>
  <c r="F153" i="13"/>
  <c r="G198" i="2"/>
  <c r="F198" i="2"/>
  <c r="E198" i="2"/>
  <c r="M198" i="2"/>
  <c r="N198" i="2"/>
  <c r="H158" i="14" l="1"/>
  <c r="J158" i="14"/>
  <c r="I158" i="14"/>
  <c r="C160" i="14"/>
  <c r="L157" i="14"/>
  <c r="L151" i="13"/>
  <c r="I152" i="13"/>
  <c r="H152" i="13"/>
  <c r="J152" i="13"/>
  <c r="B155" i="13"/>
  <c r="K151" i="13"/>
  <c r="L196" i="2"/>
  <c r="H197" i="2"/>
  <c r="I197" i="2"/>
  <c r="J197" i="2"/>
  <c r="K196" i="2"/>
  <c r="B199" i="2"/>
  <c r="M160" i="14"/>
  <c r="N160" i="14"/>
  <c r="E160" i="14"/>
  <c r="F160" i="14"/>
  <c r="G160" i="14"/>
  <c r="E154" i="13"/>
  <c r="M154" i="13"/>
  <c r="N154" i="13"/>
  <c r="G154" i="13"/>
  <c r="F154" i="13"/>
  <c r="F199" i="2"/>
  <c r="G199" i="2"/>
  <c r="E199" i="2"/>
  <c r="M199" i="2"/>
  <c r="N199" i="2"/>
  <c r="K158" i="14" l="1"/>
  <c r="J159" i="14"/>
  <c r="I159" i="14"/>
  <c r="H159" i="14"/>
  <c r="C161" i="14"/>
  <c r="L158" i="14"/>
  <c r="K152" i="13"/>
  <c r="I153" i="13"/>
  <c r="J153" i="13"/>
  <c r="H153" i="13"/>
  <c r="B156" i="13"/>
  <c r="L152" i="13"/>
  <c r="K197" i="2"/>
  <c r="H198" i="2"/>
  <c r="J198" i="2"/>
  <c r="I198" i="2"/>
  <c r="L197" i="2"/>
  <c r="B200" i="2"/>
  <c r="N161" i="14"/>
  <c r="E161" i="14"/>
  <c r="G161" i="14"/>
  <c r="M161" i="14"/>
  <c r="F161" i="14"/>
  <c r="E155" i="13"/>
  <c r="F155" i="13"/>
  <c r="N155" i="13"/>
  <c r="G155" i="13"/>
  <c r="M155" i="13"/>
  <c r="E200" i="2"/>
  <c r="F200" i="2"/>
  <c r="G200" i="2"/>
  <c r="M200" i="2"/>
  <c r="N200" i="2"/>
  <c r="K159" i="14" l="1"/>
  <c r="I160" i="14"/>
  <c r="J160" i="14"/>
  <c r="H160" i="14"/>
  <c r="C162" i="14"/>
  <c r="L159" i="14"/>
  <c r="K153" i="13"/>
  <c r="J154" i="13"/>
  <c r="I154" i="13"/>
  <c r="H154" i="13"/>
  <c r="B157" i="13"/>
  <c r="L153" i="13"/>
  <c r="K198" i="2"/>
  <c r="J199" i="2"/>
  <c r="I199" i="2"/>
  <c r="H199" i="2"/>
  <c r="L198" i="2"/>
  <c r="B201" i="2"/>
  <c r="E162" i="14"/>
  <c r="M162" i="14"/>
  <c r="G162" i="14"/>
  <c r="F162" i="14"/>
  <c r="N162" i="14"/>
  <c r="F156" i="13"/>
  <c r="G156" i="13"/>
  <c r="E156" i="13"/>
  <c r="N156" i="13"/>
  <c r="M156" i="13"/>
  <c r="E201" i="2"/>
  <c r="G201" i="2"/>
  <c r="F201" i="2"/>
  <c r="M201" i="2"/>
  <c r="N201" i="2"/>
  <c r="L160" i="14" l="1"/>
  <c r="I161" i="14"/>
  <c r="J161" i="14"/>
  <c r="H161" i="14"/>
  <c r="K161" i="14" s="1"/>
  <c r="C163" i="14"/>
  <c r="K160" i="14"/>
  <c r="K154" i="13"/>
  <c r="K199" i="2"/>
  <c r="H155" i="13"/>
  <c r="J155" i="13"/>
  <c r="I155" i="13"/>
  <c r="B158" i="13"/>
  <c r="L154" i="13"/>
  <c r="I200" i="2"/>
  <c r="J200" i="2"/>
  <c r="H200" i="2"/>
  <c r="L199" i="2"/>
  <c r="B202" i="2"/>
  <c r="M163" i="14"/>
  <c r="G163" i="14"/>
  <c r="E163" i="14"/>
  <c r="F163" i="14"/>
  <c r="N163" i="14"/>
  <c r="E157" i="13"/>
  <c r="N157" i="13"/>
  <c r="M157" i="13"/>
  <c r="G157" i="13"/>
  <c r="F157" i="13"/>
  <c r="E202" i="2"/>
  <c r="F202" i="2"/>
  <c r="G202" i="2"/>
  <c r="M202" i="2"/>
  <c r="N202" i="2"/>
  <c r="I162" i="14" l="1"/>
  <c r="H162" i="14"/>
  <c r="K162" i="14" s="1"/>
  <c r="J162" i="14"/>
  <c r="C164" i="14"/>
  <c r="L161" i="14"/>
  <c r="L155" i="13"/>
  <c r="I156" i="13"/>
  <c r="J156" i="13"/>
  <c r="H156" i="13"/>
  <c r="B159" i="13"/>
  <c r="K155" i="13"/>
  <c r="L200" i="2"/>
  <c r="J201" i="2"/>
  <c r="I201" i="2"/>
  <c r="H201" i="2"/>
  <c r="K200" i="2"/>
  <c r="B203" i="2"/>
  <c r="F164" i="14"/>
  <c r="M164" i="14"/>
  <c r="E164" i="14"/>
  <c r="N164" i="14"/>
  <c r="G164" i="14"/>
  <c r="E158" i="13"/>
  <c r="M158" i="13"/>
  <c r="N158" i="13"/>
  <c r="F158" i="13"/>
  <c r="G158" i="13"/>
  <c r="E203" i="2"/>
  <c r="G203" i="2"/>
  <c r="F203" i="2"/>
  <c r="M203" i="2"/>
  <c r="N203" i="2"/>
  <c r="J163" i="14" l="1"/>
  <c r="H163" i="14"/>
  <c r="I163" i="14"/>
  <c r="C165" i="14"/>
  <c r="L162" i="14"/>
  <c r="K156" i="13"/>
  <c r="J157" i="13"/>
  <c r="I157" i="13"/>
  <c r="H157" i="13"/>
  <c r="B160" i="13"/>
  <c r="L156" i="13"/>
  <c r="K201" i="2"/>
  <c r="I202" i="2"/>
  <c r="J202" i="2"/>
  <c r="H202" i="2"/>
  <c r="L201" i="2"/>
  <c r="B204" i="2"/>
  <c r="E165" i="14"/>
  <c r="M165" i="14"/>
  <c r="G165" i="14"/>
  <c r="F165" i="14"/>
  <c r="N165" i="14"/>
  <c r="M159" i="13"/>
  <c r="F159" i="13"/>
  <c r="E159" i="13"/>
  <c r="N159" i="13"/>
  <c r="G159" i="13"/>
  <c r="F204" i="2"/>
  <c r="G204" i="2"/>
  <c r="E204" i="2"/>
  <c r="M204" i="2"/>
  <c r="N204" i="2"/>
  <c r="K163" i="14" l="1"/>
  <c r="I164" i="14"/>
  <c r="J164" i="14"/>
  <c r="H164" i="14"/>
  <c r="C166" i="14"/>
  <c r="L163" i="14"/>
  <c r="K157" i="13"/>
  <c r="J158" i="13"/>
  <c r="H158" i="13"/>
  <c r="I158" i="13"/>
  <c r="B161" i="13"/>
  <c r="L157" i="13"/>
  <c r="L202" i="2"/>
  <c r="H203" i="2"/>
  <c r="J203" i="2"/>
  <c r="I203" i="2"/>
  <c r="K202" i="2"/>
  <c r="B205" i="2"/>
  <c r="N166" i="14"/>
  <c r="E166" i="14"/>
  <c r="F166" i="14"/>
  <c r="G166" i="14"/>
  <c r="M166" i="14"/>
  <c r="E160" i="13"/>
  <c r="N160" i="13"/>
  <c r="M160" i="13"/>
  <c r="F160" i="13"/>
  <c r="G160" i="13"/>
  <c r="G205" i="2"/>
  <c r="E205" i="2"/>
  <c r="F205" i="2"/>
  <c r="M205" i="2"/>
  <c r="N205" i="2"/>
  <c r="L164" i="14" l="1"/>
  <c r="J165" i="14"/>
  <c r="I165" i="14"/>
  <c r="H165" i="14"/>
  <c r="C167" i="14"/>
  <c r="K164" i="14"/>
  <c r="L158" i="13"/>
  <c r="J159" i="13"/>
  <c r="I159" i="13"/>
  <c r="H159" i="13"/>
  <c r="B162" i="13"/>
  <c r="K158" i="13"/>
  <c r="K203" i="2"/>
  <c r="I204" i="2"/>
  <c r="H204" i="2"/>
  <c r="J204" i="2"/>
  <c r="L203" i="2"/>
  <c r="B206" i="2"/>
  <c r="F167" i="14"/>
  <c r="N167" i="14"/>
  <c r="G167" i="14"/>
  <c r="M167" i="14"/>
  <c r="E167" i="14"/>
  <c r="E161" i="13"/>
  <c r="F161" i="13"/>
  <c r="G161" i="13"/>
  <c r="N161" i="13"/>
  <c r="M161" i="13"/>
  <c r="E206" i="2"/>
  <c r="G206" i="2"/>
  <c r="F206" i="2"/>
  <c r="M206" i="2"/>
  <c r="N206" i="2"/>
  <c r="L165" i="14" l="1"/>
  <c r="H166" i="14"/>
  <c r="J166" i="14"/>
  <c r="I166" i="14"/>
  <c r="C168" i="14"/>
  <c r="K165" i="14"/>
  <c r="K159" i="13"/>
  <c r="J160" i="13"/>
  <c r="I160" i="13"/>
  <c r="H160" i="13"/>
  <c r="L159" i="13"/>
  <c r="B163" i="13"/>
  <c r="L204" i="2"/>
  <c r="I205" i="2"/>
  <c r="J205" i="2"/>
  <c r="H205" i="2"/>
  <c r="K204" i="2"/>
  <c r="B207" i="2"/>
  <c r="F168" i="14"/>
  <c r="N168" i="14"/>
  <c r="M168" i="14"/>
  <c r="G168" i="14"/>
  <c r="E168" i="14"/>
  <c r="E162" i="13"/>
  <c r="F162" i="13"/>
  <c r="N162" i="13"/>
  <c r="G162" i="13"/>
  <c r="M162" i="13"/>
  <c r="F207" i="2"/>
  <c r="G207" i="2"/>
  <c r="E207" i="2"/>
  <c r="M207" i="2"/>
  <c r="N207" i="2"/>
  <c r="K166" i="14" l="1"/>
  <c r="H167" i="14"/>
  <c r="J167" i="14"/>
  <c r="I167" i="14"/>
  <c r="C169" i="14"/>
  <c r="L166" i="14"/>
  <c r="K160" i="13"/>
  <c r="K205" i="2"/>
  <c r="J161" i="13"/>
  <c r="I161" i="13"/>
  <c r="H161" i="13"/>
  <c r="L160" i="13"/>
  <c r="B164" i="13"/>
  <c r="H206" i="2"/>
  <c r="J206" i="2"/>
  <c r="I206" i="2"/>
  <c r="L205" i="2"/>
  <c r="B208" i="2"/>
  <c r="F169" i="14"/>
  <c r="E169" i="14"/>
  <c r="N169" i="14"/>
  <c r="M169" i="14"/>
  <c r="G169" i="14"/>
  <c r="M163" i="13"/>
  <c r="F163" i="13"/>
  <c r="G163" i="13"/>
  <c r="N163" i="13"/>
  <c r="E163" i="13"/>
  <c r="F208" i="2"/>
  <c r="G208" i="2"/>
  <c r="E208" i="2"/>
  <c r="M208" i="2"/>
  <c r="N208" i="2"/>
  <c r="L167" i="14" l="1"/>
  <c r="J168" i="14"/>
  <c r="H168" i="14"/>
  <c r="I168" i="14"/>
  <c r="L168" i="14" s="1"/>
  <c r="K167" i="14"/>
  <c r="C170" i="14"/>
  <c r="K161" i="13"/>
  <c r="H162" i="13"/>
  <c r="J162" i="13"/>
  <c r="I162" i="13"/>
  <c r="B165" i="13"/>
  <c r="L161" i="13"/>
  <c r="L206" i="2"/>
  <c r="H207" i="2"/>
  <c r="J207" i="2"/>
  <c r="I207" i="2"/>
  <c r="K206" i="2"/>
  <c r="B209" i="2"/>
  <c r="N170" i="14"/>
  <c r="G170" i="14"/>
  <c r="F170" i="14"/>
  <c r="E170" i="14"/>
  <c r="M170" i="14"/>
  <c r="N164" i="13"/>
  <c r="E164" i="13"/>
  <c r="F164" i="13"/>
  <c r="M164" i="13"/>
  <c r="G164" i="13"/>
  <c r="G209" i="2"/>
  <c r="E209" i="2"/>
  <c r="F209" i="2"/>
  <c r="M209" i="2"/>
  <c r="N209" i="2"/>
  <c r="H169" i="14" l="1"/>
  <c r="I169" i="14"/>
  <c r="J169" i="14"/>
  <c r="C171" i="14"/>
  <c r="K168" i="14"/>
  <c r="L162" i="13"/>
  <c r="J163" i="13"/>
  <c r="I163" i="13"/>
  <c r="H163" i="13"/>
  <c r="B166" i="13"/>
  <c r="K162" i="13"/>
  <c r="K207" i="2"/>
  <c r="I208" i="2"/>
  <c r="H208" i="2"/>
  <c r="J208" i="2"/>
  <c r="L207" i="2"/>
  <c r="B210" i="2"/>
  <c r="N171" i="14"/>
  <c r="G171" i="14"/>
  <c r="F171" i="14"/>
  <c r="E171" i="14"/>
  <c r="M171" i="14"/>
  <c r="M165" i="13"/>
  <c r="G165" i="13"/>
  <c r="F165" i="13"/>
  <c r="E165" i="13"/>
  <c r="N165" i="13"/>
  <c r="F210" i="2"/>
  <c r="G210" i="2"/>
  <c r="E210" i="2"/>
  <c r="M210" i="2"/>
  <c r="N210" i="2"/>
  <c r="L169" i="14" l="1"/>
  <c r="H170" i="14"/>
  <c r="I170" i="14"/>
  <c r="J170" i="14"/>
  <c r="C172" i="14"/>
  <c r="K169" i="14"/>
  <c r="K163" i="13"/>
  <c r="H164" i="13"/>
  <c r="I164" i="13"/>
  <c r="J164" i="13"/>
  <c r="B167" i="13"/>
  <c r="L163" i="13"/>
  <c r="L208" i="2"/>
  <c r="H209" i="2"/>
  <c r="J209" i="2"/>
  <c r="I209" i="2"/>
  <c r="K208" i="2"/>
  <c r="B211" i="2"/>
  <c r="I6" i="2"/>
  <c r="F172" i="14"/>
  <c r="N172" i="14"/>
  <c r="M172" i="14"/>
  <c r="E172" i="14"/>
  <c r="G172" i="14"/>
  <c r="G166" i="13"/>
  <c r="N166" i="13"/>
  <c r="F166" i="13"/>
  <c r="E166" i="13"/>
  <c r="M166" i="13"/>
  <c r="F211" i="2"/>
  <c r="G211" i="2"/>
  <c r="E211" i="2"/>
  <c r="M211" i="2"/>
  <c r="N211" i="2"/>
  <c r="F140" i="2"/>
  <c r="L170" i="14" l="1"/>
  <c r="J171" i="14"/>
  <c r="H171" i="14"/>
  <c r="I171" i="14"/>
  <c r="C173" i="14"/>
  <c r="K170" i="14"/>
  <c r="L164" i="13"/>
  <c r="L209" i="2"/>
  <c r="H165" i="13"/>
  <c r="I165" i="13"/>
  <c r="J165" i="13"/>
  <c r="B168" i="13"/>
  <c r="K164" i="13"/>
  <c r="K209" i="2"/>
  <c r="H210" i="2"/>
  <c r="J210" i="2"/>
  <c r="I210" i="2"/>
  <c r="I140" i="2"/>
  <c r="B212" i="2"/>
  <c r="L6" i="2"/>
  <c r="K6" i="2"/>
  <c r="G173" i="14"/>
  <c r="E173" i="14"/>
  <c r="F173" i="14"/>
  <c r="N173" i="14"/>
  <c r="M173" i="14"/>
  <c r="E167" i="13"/>
  <c r="G167" i="13"/>
  <c r="N167" i="13"/>
  <c r="F167" i="13"/>
  <c r="M167" i="13"/>
  <c r="F139" i="2"/>
  <c r="F138" i="2"/>
  <c r="F137" i="2"/>
  <c r="F212" i="2"/>
  <c r="G212" i="2"/>
  <c r="E212" i="2"/>
  <c r="M212" i="2"/>
  <c r="N212" i="2"/>
  <c r="L171" i="14" l="1"/>
  <c r="I172" i="14"/>
  <c r="H172" i="14"/>
  <c r="J172" i="14"/>
  <c r="C174" i="14"/>
  <c r="K171" i="14"/>
  <c r="L165" i="13"/>
  <c r="L210" i="2"/>
  <c r="I166" i="13"/>
  <c r="J166" i="13"/>
  <c r="H166" i="13"/>
  <c r="B169" i="13"/>
  <c r="K165" i="13"/>
  <c r="H211" i="2"/>
  <c r="J211" i="2"/>
  <c r="I211" i="2"/>
  <c r="K210" i="2"/>
  <c r="I137" i="2"/>
  <c r="I138" i="2"/>
  <c r="I139" i="2"/>
  <c r="L140" i="2"/>
  <c r="K140" i="2"/>
  <c r="I136" i="2"/>
  <c r="B213" i="2"/>
  <c r="E174" i="14"/>
  <c r="G174" i="14"/>
  <c r="M174" i="14"/>
  <c r="N174" i="14"/>
  <c r="F174" i="14"/>
  <c r="N168" i="13"/>
  <c r="E168" i="13"/>
  <c r="F168" i="13"/>
  <c r="G168" i="13"/>
  <c r="M168" i="13"/>
  <c r="F213" i="2"/>
  <c r="G213" i="2"/>
  <c r="E213" i="2"/>
  <c r="M213" i="2"/>
  <c r="N213" i="2"/>
  <c r="L172" i="14" l="1"/>
  <c r="I173" i="14"/>
  <c r="J173" i="14"/>
  <c r="H173" i="14"/>
  <c r="K173" i="14" s="1"/>
  <c r="C175" i="14"/>
  <c r="K166" i="13"/>
  <c r="K172" i="14"/>
  <c r="J167" i="13"/>
  <c r="I167" i="13"/>
  <c r="H167" i="13"/>
  <c r="B170" i="13"/>
  <c r="L166" i="13"/>
  <c r="L211" i="2"/>
  <c r="H212" i="2"/>
  <c r="J212" i="2"/>
  <c r="I212" i="2"/>
  <c r="K211" i="2"/>
  <c r="L139" i="2"/>
  <c r="K139" i="2"/>
  <c r="L138" i="2"/>
  <c r="K138" i="2"/>
  <c r="L137" i="2"/>
  <c r="K137" i="2"/>
  <c r="K136" i="2"/>
  <c r="L136" i="2"/>
  <c r="B214" i="2"/>
  <c r="N175" i="14"/>
  <c r="E175" i="14"/>
  <c r="F175" i="14"/>
  <c r="M175" i="14"/>
  <c r="G175" i="14"/>
  <c r="E169" i="13"/>
  <c r="M169" i="13"/>
  <c r="N169" i="13"/>
  <c r="F169" i="13"/>
  <c r="G169" i="13"/>
  <c r="F214" i="2"/>
  <c r="E214" i="2"/>
  <c r="G214" i="2"/>
  <c r="M214" i="2"/>
  <c r="N214" i="2"/>
  <c r="J174" i="14" l="1"/>
  <c r="I174" i="14"/>
  <c r="H174" i="14"/>
  <c r="C176" i="14"/>
  <c r="L173" i="14"/>
  <c r="K167" i="13"/>
  <c r="L212" i="2"/>
  <c r="J168" i="13"/>
  <c r="I168" i="13"/>
  <c r="H168" i="13"/>
  <c r="B171" i="13"/>
  <c r="L167" i="13"/>
  <c r="J213" i="2"/>
  <c r="H213" i="2"/>
  <c r="I213" i="2"/>
  <c r="K212" i="2"/>
  <c r="B215" i="2"/>
  <c r="E176" i="14"/>
  <c r="M176" i="14"/>
  <c r="F176" i="14"/>
  <c r="G176" i="14"/>
  <c r="N176" i="14"/>
  <c r="F170" i="13"/>
  <c r="N170" i="13"/>
  <c r="E170" i="13"/>
  <c r="M170" i="13"/>
  <c r="G170" i="13"/>
  <c r="G215" i="2"/>
  <c r="E215" i="2"/>
  <c r="F215" i="2"/>
  <c r="M215" i="2"/>
  <c r="N215" i="2"/>
  <c r="K174" i="14" l="1"/>
  <c r="J175" i="14"/>
  <c r="I175" i="14"/>
  <c r="H175" i="14"/>
  <c r="K175" i="14" s="1"/>
  <c r="C177" i="14"/>
  <c r="L174" i="14"/>
  <c r="K168" i="13"/>
  <c r="L213" i="2"/>
  <c r="J169" i="13"/>
  <c r="H169" i="13"/>
  <c r="I169" i="13"/>
  <c r="B172" i="13"/>
  <c r="L168" i="13"/>
  <c r="I214" i="2"/>
  <c r="H214" i="2"/>
  <c r="J214" i="2"/>
  <c r="K213" i="2"/>
  <c r="B216" i="2"/>
  <c r="N177" i="14"/>
  <c r="E177" i="14"/>
  <c r="F177" i="14"/>
  <c r="G177" i="14"/>
  <c r="M177" i="14"/>
  <c r="M171" i="13"/>
  <c r="G171" i="13"/>
  <c r="E171" i="13"/>
  <c r="N171" i="13"/>
  <c r="F171" i="13"/>
  <c r="G216" i="2"/>
  <c r="F216" i="2"/>
  <c r="E216" i="2"/>
  <c r="M216" i="2"/>
  <c r="N216" i="2"/>
  <c r="J176" i="14" l="1"/>
  <c r="I176" i="14"/>
  <c r="H176" i="14"/>
  <c r="K176" i="14" s="1"/>
  <c r="C178" i="14"/>
  <c r="L175" i="14"/>
  <c r="L169" i="13"/>
  <c r="I170" i="13"/>
  <c r="H170" i="13"/>
  <c r="J170" i="13"/>
  <c r="K169" i="13"/>
  <c r="B173" i="13"/>
  <c r="K214" i="2"/>
  <c r="H215" i="2"/>
  <c r="I215" i="2"/>
  <c r="J215" i="2"/>
  <c r="L214" i="2"/>
  <c r="B217" i="2"/>
  <c r="M178" i="14"/>
  <c r="F178" i="14"/>
  <c r="N178" i="14"/>
  <c r="E178" i="14"/>
  <c r="G178" i="14"/>
  <c r="N172" i="13"/>
  <c r="E172" i="13"/>
  <c r="G172" i="13"/>
  <c r="F172" i="13"/>
  <c r="M172" i="13"/>
  <c r="G217" i="2"/>
  <c r="E217" i="2"/>
  <c r="F217" i="2"/>
  <c r="M217" i="2"/>
  <c r="N217" i="2"/>
  <c r="J177" i="14" l="1"/>
  <c r="H177" i="14"/>
  <c r="I177" i="14"/>
  <c r="C179" i="14"/>
  <c r="L176" i="14"/>
  <c r="K170" i="13"/>
  <c r="I171" i="13"/>
  <c r="J171" i="13"/>
  <c r="H171" i="13"/>
  <c r="B174" i="13"/>
  <c r="L170" i="13"/>
  <c r="L215" i="2"/>
  <c r="I216" i="2"/>
  <c r="H216" i="2"/>
  <c r="J216" i="2"/>
  <c r="K215" i="2"/>
  <c r="B218" i="2"/>
  <c r="N179" i="14"/>
  <c r="M179" i="14"/>
  <c r="F179" i="14"/>
  <c r="E179" i="14"/>
  <c r="G179" i="14"/>
  <c r="M173" i="13"/>
  <c r="F173" i="13"/>
  <c r="N173" i="13"/>
  <c r="E173" i="13"/>
  <c r="G173" i="13"/>
  <c r="F218" i="2"/>
  <c r="G218" i="2"/>
  <c r="E218" i="2"/>
  <c r="M218" i="2"/>
  <c r="N218" i="2"/>
  <c r="L177" i="14" l="1"/>
  <c r="J178" i="14"/>
  <c r="H178" i="14"/>
  <c r="I178" i="14"/>
  <c r="C180" i="14"/>
  <c r="K177" i="14"/>
  <c r="K171" i="13"/>
  <c r="J172" i="13"/>
  <c r="H172" i="13"/>
  <c r="I172" i="13"/>
  <c r="B175" i="13"/>
  <c r="L171" i="13"/>
  <c r="K216" i="2"/>
  <c r="H217" i="2"/>
  <c r="J217" i="2"/>
  <c r="I217" i="2"/>
  <c r="L216" i="2"/>
  <c r="B219" i="2"/>
  <c r="E180" i="14"/>
  <c r="M180" i="14"/>
  <c r="N180" i="14"/>
  <c r="G180" i="14"/>
  <c r="F180" i="14"/>
  <c r="M174" i="13"/>
  <c r="E174" i="13"/>
  <c r="G174" i="13"/>
  <c r="F174" i="13"/>
  <c r="N174" i="13"/>
  <c r="F219" i="2"/>
  <c r="G219" i="2"/>
  <c r="E219" i="2"/>
  <c r="M219" i="2"/>
  <c r="N219" i="2"/>
  <c r="L178" i="14" l="1"/>
  <c r="I179" i="14"/>
  <c r="J179" i="14"/>
  <c r="H179" i="14"/>
  <c r="K179" i="14" s="1"/>
  <c r="C181" i="14"/>
  <c r="K178" i="14"/>
  <c r="L172" i="13"/>
  <c r="I173" i="13"/>
  <c r="J173" i="13"/>
  <c r="H173" i="13"/>
  <c r="K172" i="13"/>
  <c r="B176" i="13"/>
  <c r="L217" i="2"/>
  <c r="H218" i="2"/>
  <c r="J218" i="2"/>
  <c r="I218" i="2"/>
  <c r="K217" i="2"/>
  <c r="B220" i="2"/>
  <c r="F181" i="14"/>
  <c r="G181" i="14"/>
  <c r="E181" i="14"/>
  <c r="N181" i="14"/>
  <c r="M181" i="14"/>
  <c r="N175" i="13"/>
  <c r="F175" i="13"/>
  <c r="G175" i="13"/>
  <c r="M175" i="13"/>
  <c r="E175" i="13"/>
  <c r="F220" i="2"/>
  <c r="E220" i="2"/>
  <c r="G220" i="2"/>
  <c r="M220" i="2"/>
  <c r="N220" i="2"/>
  <c r="H180" i="14" l="1"/>
  <c r="J180" i="14"/>
  <c r="I180" i="14"/>
  <c r="C182" i="14"/>
  <c r="L179" i="14"/>
  <c r="K173" i="13"/>
  <c r="L218" i="2"/>
  <c r="H174" i="13"/>
  <c r="J174" i="13"/>
  <c r="I174" i="13"/>
  <c r="B177" i="13"/>
  <c r="L173" i="13"/>
  <c r="J219" i="2"/>
  <c r="H219" i="2"/>
  <c r="I219" i="2"/>
  <c r="K218" i="2"/>
  <c r="B221" i="2"/>
  <c r="E182" i="14"/>
  <c r="F182" i="14"/>
  <c r="M182" i="14"/>
  <c r="G182" i="14"/>
  <c r="N182" i="14"/>
  <c r="N176" i="13"/>
  <c r="G176" i="13"/>
  <c r="E176" i="13"/>
  <c r="M176" i="13"/>
  <c r="F176" i="13"/>
  <c r="F221" i="2"/>
  <c r="G221" i="2"/>
  <c r="E221" i="2"/>
  <c r="M221" i="2"/>
  <c r="N221" i="2"/>
  <c r="L180" i="14" l="1"/>
  <c r="J181" i="14"/>
  <c r="I181" i="14"/>
  <c r="H181" i="14"/>
  <c r="C183" i="14"/>
  <c r="L174" i="13"/>
  <c r="K180" i="14"/>
  <c r="I175" i="13"/>
  <c r="H175" i="13"/>
  <c r="J175" i="13"/>
  <c r="B178" i="13"/>
  <c r="K174" i="13"/>
  <c r="L219" i="2"/>
  <c r="H220" i="2"/>
  <c r="J220" i="2"/>
  <c r="I220" i="2"/>
  <c r="K219" i="2"/>
  <c r="B222" i="2"/>
  <c r="F183" i="14"/>
  <c r="N183" i="14"/>
  <c r="G183" i="14"/>
  <c r="E183" i="14"/>
  <c r="M183" i="14"/>
  <c r="E177" i="13"/>
  <c r="G177" i="13"/>
  <c r="F177" i="13"/>
  <c r="M177" i="13"/>
  <c r="N177" i="13"/>
  <c r="G139" i="2"/>
  <c r="G222" i="2"/>
  <c r="F222" i="2"/>
  <c r="E222" i="2"/>
  <c r="M222" i="2"/>
  <c r="N222" i="2"/>
  <c r="K181" i="14" l="1"/>
  <c r="H182" i="14"/>
  <c r="J182" i="14"/>
  <c r="I182" i="14"/>
  <c r="L182" i="14" s="1"/>
  <c r="C184" i="14"/>
  <c r="L181" i="14"/>
  <c r="K175" i="13"/>
  <c r="I176" i="13"/>
  <c r="J176" i="13"/>
  <c r="H176" i="13"/>
  <c r="B179" i="13"/>
  <c r="L175" i="13"/>
  <c r="K220" i="2"/>
  <c r="H221" i="2"/>
  <c r="I221" i="2"/>
  <c r="J221" i="2"/>
  <c r="L220" i="2"/>
  <c r="J138" i="2"/>
  <c r="J139" i="2"/>
  <c r="B223" i="2"/>
  <c r="G184" i="14"/>
  <c r="F184" i="14"/>
  <c r="M184" i="14"/>
  <c r="E184" i="14"/>
  <c r="N184" i="14"/>
  <c r="E178" i="13"/>
  <c r="G178" i="13"/>
  <c r="M178" i="13"/>
  <c r="N178" i="13"/>
  <c r="F178" i="13"/>
  <c r="G223" i="2"/>
  <c r="F223" i="2"/>
  <c r="E223" i="2"/>
  <c r="M223" i="2"/>
  <c r="N223" i="2"/>
  <c r="H183" i="14" l="1"/>
  <c r="I183" i="14"/>
  <c r="J183" i="14"/>
  <c r="C185" i="14"/>
  <c r="K182" i="14"/>
  <c r="L221" i="2"/>
  <c r="K176" i="13"/>
  <c r="I177" i="13"/>
  <c r="J177" i="13"/>
  <c r="H177" i="13"/>
  <c r="B180" i="13"/>
  <c r="L176" i="13"/>
  <c r="H222" i="2"/>
  <c r="I222" i="2"/>
  <c r="J222" i="2"/>
  <c r="K221" i="2"/>
  <c r="B224" i="2"/>
  <c r="N185" i="14"/>
  <c r="G185" i="14"/>
  <c r="F185" i="14"/>
  <c r="M185" i="14"/>
  <c r="E185" i="14"/>
  <c r="N179" i="13"/>
  <c r="E179" i="13"/>
  <c r="G179" i="13"/>
  <c r="M179" i="13"/>
  <c r="F179" i="13"/>
  <c r="E224" i="2"/>
  <c r="F224" i="2"/>
  <c r="G224" i="2"/>
  <c r="M224" i="2"/>
  <c r="N224" i="2"/>
  <c r="L183" i="14" l="1"/>
  <c r="H184" i="14"/>
  <c r="I184" i="14"/>
  <c r="L184" i="14" s="1"/>
  <c r="J184" i="14"/>
  <c r="C186" i="14"/>
  <c r="K183" i="14"/>
  <c r="K177" i="13"/>
  <c r="I178" i="13"/>
  <c r="J178" i="13"/>
  <c r="H178" i="13"/>
  <c r="B181" i="13"/>
  <c r="L177" i="13"/>
  <c r="K222" i="2"/>
  <c r="J223" i="2"/>
  <c r="I223" i="2"/>
  <c r="H223" i="2"/>
  <c r="L222" i="2"/>
  <c r="B225" i="2"/>
  <c r="F186" i="14"/>
  <c r="N186" i="14"/>
  <c r="G186" i="14"/>
  <c r="E186" i="14"/>
  <c r="M186" i="14"/>
  <c r="N180" i="13"/>
  <c r="E180" i="13"/>
  <c r="F180" i="13"/>
  <c r="G180" i="13"/>
  <c r="M180" i="13"/>
  <c r="F225" i="2"/>
  <c r="E225" i="2"/>
  <c r="G225" i="2"/>
  <c r="M225" i="2"/>
  <c r="N225" i="2"/>
  <c r="H185" i="14" l="1"/>
  <c r="J185" i="14"/>
  <c r="I185" i="14"/>
  <c r="L185" i="14" s="1"/>
  <c r="K184" i="14"/>
  <c r="C187" i="14"/>
  <c r="K178" i="13"/>
  <c r="J179" i="13"/>
  <c r="I179" i="13"/>
  <c r="H179" i="13"/>
  <c r="B182" i="13"/>
  <c r="L178" i="13"/>
  <c r="K223" i="2"/>
  <c r="J224" i="2"/>
  <c r="H224" i="2"/>
  <c r="I224" i="2"/>
  <c r="L223" i="2"/>
  <c r="B226" i="2"/>
  <c r="E187" i="14"/>
  <c r="G187" i="14"/>
  <c r="M187" i="14"/>
  <c r="F187" i="14"/>
  <c r="N187" i="14"/>
  <c r="M181" i="13"/>
  <c r="E181" i="13"/>
  <c r="F181" i="13"/>
  <c r="N181" i="13"/>
  <c r="G181" i="13"/>
  <c r="F226" i="2"/>
  <c r="E226" i="2"/>
  <c r="G226" i="2"/>
  <c r="M226" i="2"/>
  <c r="N226" i="2"/>
  <c r="I186" i="14" l="1"/>
  <c r="J186" i="14"/>
  <c r="H186" i="14"/>
  <c r="C188" i="14"/>
  <c r="K179" i="13"/>
  <c r="K185" i="14"/>
  <c r="L224" i="2"/>
  <c r="J180" i="13"/>
  <c r="I180" i="13"/>
  <c r="H180" i="13"/>
  <c r="B183" i="13"/>
  <c r="L179" i="13"/>
  <c r="J225" i="2"/>
  <c r="H225" i="2"/>
  <c r="I225" i="2"/>
  <c r="K224" i="2"/>
  <c r="B227" i="2"/>
  <c r="E188" i="14"/>
  <c r="F188" i="14"/>
  <c r="M188" i="14"/>
  <c r="G188" i="14"/>
  <c r="N188" i="14"/>
  <c r="G182" i="13"/>
  <c r="M182" i="13"/>
  <c r="E182" i="13"/>
  <c r="N182" i="13"/>
  <c r="F182" i="13"/>
  <c r="G227" i="2"/>
  <c r="F227" i="2"/>
  <c r="E227" i="2"/>
  <c r="M227" i="2"/>
  <c r="N227" i="2"/>
  <c r="L186" i="14" l="1"/>
  <c r="J187" i="14"/>
  <c r="I187" i="14"/>
  <c r="H187" i="14"/>
  <c r="K187" i="14" s="1"/>
  <c r="C189" i="14"/>
  <c r="K186" i="14"/>
  <c r="L180" i="13"/>
  <c r="I181" i="13"/>
  <c r="H181" i="13"/>
  <c r="J181" i="13"/>
  <c r="B184" i="13"/>
  <c r="K180" i="13"/>
  <c r="K225" i="2"/>
  <c r="H226" i="2"/>
  <c r="I226" i="2"/>
  <c r="J226" i="2"/>
  <c r="L225" i="2"/>
  <c r="B228" i="2"/>
  <c r="G189" i="14"/>
  <c r="N189" i="14"/>
  <c r="F189" i="14"/>
  <c r="E189" i="14"/>
  <c r="M189" i="14"/>
  <c r="N183" i="13"/>
  <c r="F183" i="13"/>
  <c r="G183" i="13"/>
  <c r="E183" i="13"/>
  <c r="M183" i="13"/>
  <c r="E228" i="2"/>
  <c r="F228" i="2"/>
  <c r="G228" i="2"/>
  <c r="M228" i="2"/>
  <c r="N228" i="2"/>
  <c r="H188" i="14" l="1"/>
  <c r="I188" i="14"/>
  <c r="L188" i="14" s="1"/>
  <c r="J188" i="14"/>
  <c r="C190" i="14"/>
  <c r="L187" i="14"/>
  <c r="K181" i="13"/>
  <c r="H182" i="13"/>
  <c r="J182" i="13"/>
  <c r="I182" i="13"/>
  <c r="B185" i="13"/>
  <c r="L181" i="13"/>
  <c r="K226" i="2"/>
  <c r="J227" i="2"/>
  <c r="I227" i="2"/>
  <c r="H227" i="2"/>
  <c r="L226" i="2"/>
  <c r="B229" i="2"/>
  <c r="E190" i="14"/>
  <c r="G190" i="14"/>
  <c r="N190" i="14"/>
  <c r="M190" i="14"/>
  <c r="F190" i="14"/>
  <c r="F184" i="13"/>
  <c r="N184" i="13"/>
  <c r="E184" i="13"/>
  <c r="G184" i="13"/>
  <c r="M184" i="13"/>
  <c r="E229" i="2"/>
  <c r="F229" i="2"/>
  <c r="G229" i="2"/>
  <c r="M229" i="2"/>
  <c r="N229" i="2"/>
  <c r="I189" i="14" l="1"/>
  <c r="J189" i="14"/>
  <c r="H189" i="14"/>
  <c r="K189" i="14" s="1"/>
  <c r="C191" i="14"/>
  <c r="K188" i="14"/>
  <c r="L182" i="13"/>
  <c r="J183" i="13"/>
  <c r="H183" i="13"/>
  <c r="I183" i="13"/>
  <c r="B186" i="13"/>
  <c r="K182" i="13"/>
  <c r="K227" i="2"/>
  <c r="J228" i="2"/>
  <c r="I228" i="2"/>
  <c r="H228" i="2"/>
  <c r="L227" i="2"/>
  <c r="B230" i="2"/>
  <c r="F191" i="14"/>
  <c r="N191" i="14"/>
  <c r="G191" i="14"/>
  <c r="E191" i="14"/>
  <c r="M191" i="14"/>
  <c r="M185" i="13"/>
  <c r="F185" i="13"/>
  <c r="E185" i="13"/>
  <c r="G185" i="13"/>
  <c r="N185" i="13"/>
  <c r="F230" i="2"/>
  <c r="E230" i="2"/>
  <c r="G230" i="2"/>
  <c r="M230" i="2"/>
  <c r="N230" i="2"/>
  <c r="H190" i="14" l="1"/>
  <c r="J190" i="14"/>
  <c r="I190" i="14"/>
  <c r="L190" i="14" s="1"/>
  <c r="C192" i="14"/>
  <c r="L189" i="14"/>
  <c r="L183" i="13"/>
  <c r="K183" i="13"/>
  <c r="K228" i="2"/>
  <c r="J184" i="13"/>
  <c r="H184" i="13"/>
  <c r="I184" i="13"/>
  <c r="B187" i="13"/>
  <c r="J229" i="2"/>
  <c r="H229" i="2"/>
  <c r="I229" i="2"/>
  <c r="L228" i="2"/>
  <c r="B231" i="2"/>
  <c r="N192" i="14"/>
  <c r="G192" i="14"/>
  <c r="M192" i="14"/>
  <c r="E192" i="14"/>
  <c r="F192" i="14"/>
  <c r="G186" i="13"/>
  <c r="N186" i="13"/>
  <c r="E186" i="13"/>
  <c r="F186" i="13"/>
  <c r="M186" i="13"/>
  <c r="F231" i="2"/>
  <c r="E231" i="2"/>
  <c r="G231" i="2"/>
  <c r="M231" i="2"/>
  <c r="N231" i="2"/>
  <c r="I191" i="14" l="1"/>
  <c r="H191" i="14"/>
  <c r="J191" i="14"/>
  <c r="C193" i="14"/>
  <c r="K190" i="14"/>
  <c r="K184" i="13"/>
  <c r="I185" i="13"/>
  <c r="H185" i="13"/>
  <c r="J185" i="13"/>
  <c r="B188" i="13"/>
  <c r="L184" i="13"/>
  <c r="L229" i="2"/>
  <c r="J230" i="2"/>
  <c r="H230" i="2"/>
  <c r="I230" i="2"/>
  <c r="K229" i="2"/>
  <c r="B232" i="2"/>
  <c r="M193" i="14"/>
  <c r="N193" i="14"/>
  <c r="E193" i="14"/>
  <c r="G193" i="14"/>
  <c r="F193" i="14"/>
  <c r="E187" i="13"/>
  <c r="G187" i="13"/>
  <c r="N187" i="13"/>
  <c r="F187" i="13"/>
  <c r="M187" i="13"/>
  <c r="G232" i="2"/>
  <c r="F232" i="2"/>
  <c r="E232" i="2"/>
  <c r="M232" i="2"/>
  <c r="N232" i="2"/>
  <c r="K191" i="14" l="1"/>
  <c r="I192" i="14"/>
  <c r="J192" i="14"/>
  <c r="H192" i="14"/>
  <c r="L191" i="14"/>
  <c r="C194" i="14"/>
  <c r="K185" i="13"/>
  <c r="L230" i="2"/>
  <c r="I186" i="13"/>
  <c r="J186" i="13"/>
  <c r="H186" i="13"/>
  <c r="B189" i="13"/>
  <c r="L185" i="13"/>
  <c r="H231" i="2"/>
  <c r="I231" i="2"/>
  <c r="J231" i="2"/>
  <c r="K230" i="2"/>
  <c r="B233" i="2"/>
  <c r="M194" i="14"/>
  <c r="E194" i="14"/>
  <c r="N194" i="14"/>
  <c r="F194" i="14"/>
  <c r="G194" i="14"/>
  <c r="G188" i="13"/>
  <c r="N188" i="13"/>
  <c r="E188" i="13"/>
  <c r="F188" i="13"/>
  <c r="M188" i="13"/>
  <c r="G233" i="2"/>
  <c r="F233" i="2"/>
  <c r="E233" i="2"/>
  <c r="M233" i="2"/>
  <c r="N233" i="2"/>
  <c r="L192" i="14" l="1"/>
  <c r="J193" i="14"/>
  <c r="I193" i="14"/>
  <c r="H193" i="14"/>
  <c r="K192" i="14"/>
  <c r="C195" i="14"/>
  <c r="K186" i="13"/>
  <c r="I187" i="13"/>
  <c r="H187" i="13"/>
  <c r="J187" i="13"/>
  <c r="B190" i="13"/>
  <c r="L186" i="13"/>
  <c r="K231" i="2"/>
  <c r="H232" i="2"/>
  <c r="I232" i="2"/>
  <c r="J232" i="2"/>
  <c r="L231" i="2"/>
  <c r="B234" i="2"/>
  <c r="G195" i="14"/>
  <c r="N195" i="14"/>
  <c r="F195" i="14"/>
  <c r="E195" i="14"/>
  <c r="M195" i="14"/>
  <c r="M189" i="13"/>
  <c r="F189" i="13"/>
  <c r="N189" i="13"/>
  <c r="G189" i="13"/>
  <c r="E189" i="13"/>
  <c r="G234" i="2"/>
  <c r="E234" i="2"/>
  <c r="F234" i="2"/>
  <c r="M234" i="2"/>
  <c r="N234" i="2"/>
  <c r="K193" i="14" l="1"/>
  <c r="H194" i="14"/>
  <c r="I194" i="14"/>
  <c r="L194" i="14" s="1"/>
  <c r="J194" i="14"/>
  <c r="C196" i="14"/>
  <c r="L193" i="14"/>
  <c r="K187" i="13"/>
  <c r="H188" i="13"/>
  <c r="J188" i="13"/>
  <c r="I188" i="13"/>
  <c r="B191" i="13"/>
  <c r="L187" i="13"/>
  <c r="L232" i="2"/>
  <c r="I233" i="2"/>
  <c r="H233" i="2"/>
  <c r="J233" i="2"/>
  <c r="K232" i="2"/>
  <c r="B235" i="2"/>
  <c r="F196" i="14"/>
  <c r="N196" i="14"/>
  <c r="G196" i="14"/>
  <c r="M196" i="14"/>
  <c r="E196" i="14"/>
  <c r="M190" i="13"/>
  <c r="G190" i="13"/>
  <c r="E190" i="13"/>
  <c r="N190" i="13"/>
  <c r="F190" i="13"/>
  <c r="F235" i="2"/>
  <c r="G235" i="2"/>
  <c r="E235" i="2"/>
  <c r="M235" i="2"/>
  <c r="N235" i="2"/>
  <c r="H195" i="14" l="1"/>
  <c r="J195" i="14"/>
  <c r="I195" i="14"/>
  <c r="L195" i="14" s="1"/>
  <c r="C197" i="14"/>
  <c r="K194" i="14"/>
  <c r="K188" i="13"/>
  <c r="I189" i="13"/>
  <c r="H189" i="13"/>
  <c r="J189" i="13"/>
  <c r="B192" i="13"/>
  <c r="L188" i="13"/>
  <c r="K233" i="2"/>
  <c r="H234" i="2"/>
  <c r="J234" i="2"/>
  <c r="I234" i="2"/>
  <c r="L233" i="2"/>
  <c r="B236" i="2"/>
  <c r="E197" i="14"/>
  <c r="M197" i="14"/>
  <c r="F197" i="14"/>
  <c r="G197" i="14"/>
  <c r="N197" i="14"/>
  <c r="E191" i="13"/>
  <c r="N191" i="13"/>
  <c r="F191" i="13"/>
  <c r="M191" i="13"/>
  <c r="G191" i="13"/>
  <c r="F236" i="2"/>
  <c r="E236" i="2"/>
  <c r="G236" i="2"/>
  <c r="M236" i="2"/>
  <c r="N236" i="2"/>
  <c r="J196" i="14" l="1"/>
  <c r="I196" i="14"/>
  <c r="H196" i="14"/>
  <c r="K196" i="14" s="1"/>
  <c r="C198" i="14"/>
  <c r="K195" i="14"/>
  <c r="K189" i="13"/>
  <c r="J190" i="13"/>
  <c r="I190" i="13"/>
  <c r="H190" i="13"/>
  <c r="B193" i="13"/>
  <c r="L189" i="13"/>
  <c r="L234" i="2"/>
  <c r="J235" i="2"/>
  <c r="H235" i="2"/>
  <c r="I235" i="2"/>
  <c r="K234" i="2"/>
  <c r="B237" i="2"/>
  <c r="G198" i="14"/>
  <c r="E198" i="14"/>
  <c r="N198" i="14"/>
  <c r="M198" i="14"/>
  <c r="F198" i="14"/>
  <c r="F192" i="13"/>
  <c r="N192" i="13"/>
  <c r="E192" i="13"/>
  <c r="G192" i="13"/>
  <c r="M192" i="13"/>
  <c r="F237" i="2"/>
  <c r="G237" i="2"/>
  <c r="E237" i="2"/>
  <c r="M237" i="2"/>
  <c r="N237" i="2"/>
  <c r="I197" i="14" l="1"/>
  <c r="H197" i="14"/>
  <c r="J197" i="14"/>
  <c r="C199" i="14"/>
  <c r="L196" i="14"/>
  <c r="K190" i="13"/>
  <c r="J191" i="13"/>
  <c r="H191" i="13"/>
  <c r="I191" i="13"/>
  <c r="B194" i="13"/>
  <c r="L190" i="13"/>
  <c r="L235" i="2"/>
  <c r="H236" i="2"/>
  <c r="H237" i="2"/>
  <c r="J236" i="2"/>
  <c r="J237" i="2"/>
  <c r="I236" i="2"/>
  <c r="I237" i="2"/>
  <c r="K235" i="2"/>
  <c r="F199" i="14"/>
  <c r="G199" i="14"/>
  <c r="E199" i="14"/>
  <c r="M199" i="14"/>
  <c r="N199" i="14"/>
  <c r="M193" i="13"/>
  <c r="G193" i="13"/>
  <c r="F193" i="13"/>
  <c r="N193" i="13"/>
  <c r="E193" i="13"/>
  <c r="L197" i="14" l="1"/>
  <c r="H198" i="14"/>
  <c r="J198" i="14"/>
  <c r="I198" i="14"/>
  <c r="L198" i="14" s="1"/>
  <c r="C200" i="14"/>
  <c r="K197" i="14"/>
  <c r="L191" i="13"/>
  <c r="L237" i="2"/>
  <c r="L236" i="2"/>
  <c r="H192" i="13"/>
  <c r="I192" i="13"/>
  <c r="J192" i="13"/>
  <c r="B195" i="13"/>
  <c r="K191" i="13"/>
  <c r="K237" i="2"/>
  <c r="K236" i="2"/>
  <c r="E200" i="14"/>
  <c r="F200" i="14"/>
  <c r="N200" i="14"/>
  <c r="G200" i="14"/>
  <c r="M200" i="14"/>
  <c r="G194" i="13"/>
  <c r="M194" i="13"/>
  <c r="E194" i="13"/>
  <c r="N194" i="13"/>
  <c r="F194" i="13"/>
  <c r="J199" i="14" l="1"/>
  <c r="I199" i="14"/>
  <c r="H199" i="14"/>
  <c r="C201" i="14"/>
  <c r="K198" i="14"/>
  <c r="L192" i="13"/>
  <c r="I193" i="13"/>
  <c r="H193" i="13"/>
  <c r="J193" i="13"/>
  <c r="B196" i="13"/>
  <c r="K192" i="13"/>
  <c r="E201" i="14"/>
  <c r="M201" i="14"/>
  <c r="N201" i="14"/>
  <c r="F201" i="14"/>
  <c r="G201" i="14"/>
  <c r="F195" i="13"/>
  <c r="M195" i="13"/>
  <c r="G195" i="13"/>
  <c r="N195" i="13"/>
  <c r="E195" i="13"/>
  <c r="L199" i="14" l="1"/>
  <c r="J200" i="14"/>
  <c r="I200" i="14"/>
  <c r="H200" i="14"/>
  <c r="C202" i="14"/>
  <c r="K199" i="14"/>
  <c r="K193" i="13"/>
  <c r="L193" i="13"/>
  <c r="H194" i="13"/>
  <c r="J194" i="13"/>
  <c r="I194" i="13"/>
  <c r="B197" i="13"/>
  <c r="M202" i="14"/>
  <c r="E202" i="14"/>
  <c r="F202" i="14"/>
  <c r="G202" i="14"/>
  <c r="N202" i="14"/>
  <c r="M196" i="13"/>
  <c r="E196" i="13"/>
  <c r="N196" i="13"/>
  <c r="F196" i="13"/>
  <c r="G196" i="13"/>
  <c r="L200" i="14" l="1"/>
  <c r="J201" i="14"/>
  <c r="I201" i="14"/>
  <c r="H201" i="14"/>
  <c r="C203" i="14"/>
  <c r="K200" i="14"/>
  <c r="L194" i="13"/>
  <c r="J195" i="13"/>
  <c r="I195" i="13"/>
  <c r="H195" i="13"/>
  <c r="B198" i="13"/>
  <c r="K194" i="13"/>
  <c r="G203" i="14"/>
  <c r="E203" i="14"/>
  <c r="F203" i="14"/>
  <c r="M203" i="14"/>
  <c r="N203" i="14"/>
  <c r="N197" i="13"/>
  <c r="F197" i="13"/>
  <c r="E197" i="13"/>
  <c r="M197" i="13"/>
  <c r="G197" i="13"/>
  <c r="L201" i="14" l="1"/>
  <c r="I202" i="14"/>
  <c r="H202" i="14"/>
  <c r="J202" i="14"/>
  <c r="C204" i="14"/>
  <c r="K201" i="14"/>
  <c r="K195" i="13"/>
  <c r="J196" i="13"/>
  <c r="H196" i="13"/>
  <c r="I196" i="13"/>
  <c r="L195" i="13"/>
  <c r="B199" i="13"/>
  <c r="N204" i="14"/>
  <c r="M204" i="14"/>
  <c r="E204" i="14"/>
  <c r="F204" i="14"/>
  <c r="G204" i="14"/>
  <c r="E198" i="13"/>
  <c r="G198" i="13"/>
  <c r="M198" i="13"/>
  <c r="F198" i="13"/>
  <c r="N198" i="13"/>
  <c r="L202" i="14" l="1"/>
  <c r="J203" i="14"/>
  <c r="I203" i="14"/>
  <c r="H203" i="14"/>
  <c r="K203" i="14" s="1"/>
  <c r="K202" i="14"/>
  <c r="C205" i="14"/>
  <c r="L196" i="13"/>
  <c r="K196" i="13"/>
  <c r="I197" i="13"/>
  <c r="J197" i="13"/>
  <c r="H197" i="13"/>
  <c r="B200" i="13"/>
  <c r="E205" i="14"/>
  <c r="M205" i="14"/>
  <c r="G205" i="14"/>
  <c r="F205" i="14"/>
  <c r="N205" i="14"/>
  <c r="M199" i="13"/>
  <c r="N199" i="13"/>
  <c r="F199" i="13"/>
  <c r="G199" i="13"/>
  <c r="E199" i="13"/>
  <c r="I204" i="14" l="1"/>
  <c r="J204" i="14"/>
  <c r="H204" i="14"/>
  <c r="K204" i="14" s="1"/>
  <c r="C206" i="14"/>
  <c r="K197" i="13"/>
  <c r="L203" i="14"/>
  <c r="H198" i="13"/>
  <c r="J198" i="13"/>
  <c r="I198" i="13"/>
  <c r="B201" i="13"/>
  <c r="L197" i="13"/>
  <c r="E206" i="14"/>
  <c r="M206" i="14"/>
  <c r="F206" i="14"/>
  <c r="G206" i="14"/>
  <c r="N206" i="14"/>
  <c r="M200" i="13"/>
  <c r="F200" i="13"/>
  <c r="E200" i="13"/>
  <c r="N200" i="13"/>
  <c r="G200" i="13"/>
  <c r="J205" i="14" l="1"/>
  <c r="I205" i="14"/>
  <c r="H205" i="14"/>
  <c r="C207" i="14"/>
  <c r="L204" i="14"/>
  <c r="K198" i="13"/>
  <c r="J199" i="13"/>
  <c r="H199" i="13"/>
  <c r="I199" i="13"/>
  <c r="L198" i="13"/>
  <c r="B202" i="13"/>
  <c r="E207" i="14"/>
  <c r="M207" i="14"/>
  <c r="N207" i="14"/>
  <c r="G207" i="14"/>
  <c r="F207" i="14"/>
  <c r="F201" i="13"/>
  <c r="M201" i="13"/>
  <c r="G201" i="13"/>
  <c r="N201" i="13"/>
  <c r="E201" i="13"/>
  <c r="L205" i="14" l="1"/>
  <c r="I206" i="14"/>
  <c r="J206" i="14"/>
  <c r="H206" i="14"/>
  <c r="C208" i="14"/>
  <c r="K205" i="14"/>
  <c r="L199" i="13"/>
  <c r="H200" i="13"/>
  <c r="J200" i="13"/>
  <c r="I200" i="13"/>
  <c r="B203" i="13"/>
  <c r="K199" i="13"/>
  <c r="F208" i="14"/>
  <c r="E208" i="14"/>
  <c r="G208" i="14"/>
  <c r="N208" i="14"/>
  <c r="M208" i="14"/>
  <c r="M202" i="13"/>
  <c r="E202" i="13"/>
  <c r="G202" i="13"/>
  <c r="N202" i="13"/>
  <c r="F202" i="13"/>
  <c r="L206" i="14" l="1"/>
  <c r="J207" i="14"/>
  <c r="H207" i="14"/>
  <c r="I207" i="14"/>
  <c r="C209" i="14"/>
  <c r="K206" i="14"/>
  <c r="L200" i="13"/>
  <c r="I201" i="13"/>
  <c r="J201" i="13"/>
  <c r="H201" i="13"/>
  <c r="B204" i="13"/>
  <c r="K200" i="13"/>
  <c r="M209" i="14"/>
  <c r="N209" i="14"/>
  <c r="F209" i="14"/>
  <c r="E209" i="14"/>
  <c r="G209" i="14"/>
  <c r="M203" i="13"/>
  <c r="E203" i="13"/>
  <c r="N203" i="13"/>
  <c r="F203" i="13"/>
  <c r="G203" i="13"/>
  <c r="K207" i="14" l="1"/>
  <c r="J208" i="14"/>
  <c r="H208" i="14"/>
  <c r="I208" i="14"/>
  <c r="L208" i="14" s="1"/>
  <c r="C210" i="14"/>
  <c r="L207" i="14"/>
  <c r="K201" i="13"/>
  <c r="J202" i="13"/>
  <c r="I202" i="13"/>
  <c r="H202" i="13"/>
  <c r="B205" i="13"/>
  <c r="L201" i="13"/>
  <c r="G210" i="14"/>
  <c r="N210" i="14"/>
  <c r="F210" i="14"/>
  <c r="M210" i="14"/>
  <c r="E210" i="14"/>
  <c r="F204" i="13"/>
  <c r="G204" i="13"/>
  <c r="N204" i="13"/>
  <c r="E204" i="13"/>
  <c r="M204" i="13"/>
  <c r="H209" i="14" l="1"/>
  <c r="I209" i="14"/>
  <c r="J209" i="14"/>
  <c r="C211" i="14"/>
  <c r="K208" i="14"/>
  <c r="K202" i="13"/>
  <c r="H203" i="13"/>
  <c r="J203" i="13"/>
  <c r="I203" i="13"/>
  <c r="B206" i="13"/>
  <c r="L202" i="13"/>
  <c r="F211" i="14"/>
  <c r="G211" i="14"/>
  <c r="N211" i="14"/>
  <c r="E211" i="14"/>
  <c r="M211" i="14"/>
  <c r="N205" i="13"/>
  <c r="G205" i="13"/>
  <c r="F205" i="13"/>
  <c r="M205" i="13"/>
  <c r="E205" i="13"/>
  <c r="L209" i="14" l="1"/>
  <c r="H210" i="14"/>
  <c r="J210" i="14"/>
  <c r="I210" i="14"/>
  <c r="K209" i="14"/>
  <c r="C212" i="14"/>
  <c r="L203" i="13"/>
  <c r="H204" i="13"/>
  <c r="I204" i="13"/>
  <c r="J204" i="13"/>
  <c r="B207" i="13"/>
  <c r="K203" i="13"/>
  <c r="M212" i="14"/>
  <c r="F212" i="14"/>
  <c r="N212" i="14"/>
  <c r="G212" i="14"/>
  <c r="E212" i="14"/>
  <c r="M206" i="13"/>
  <c r="F206" i="13"/>
  <c r="G206" i="13"/>
  <c r="E206" i="13"/>
  <c r="N206" i="13"/>
  <c r="K210" i="14" l="1"/>
  <c r="H211" i="14"/>
  <c r="J211" i="14"/>
  <c r="I211" i="14"/>
  <c r="C213" i="14"/>
  <c r="L210" i="14"/>
  <c r="L204" i="13"/>
  <c r="H205" i="13"/>
  <c r="J205" i="13"/>
  <c r="I205" i="13"/>
  <c r="B208" i="13"/>
  <c r="K204" i="13"/>
  <c r="E213" i="14"/>
  <c r="F213" i="14"/>
  <c r="N213" i="14"/>
  <c r="M213" i="14"/>
  <c r="G213" i="14"/>
  <c r="M207" i="13"/>
  <c r="N207" i="13"/>
  <c r="E207" i="13"/>
  <c r="F207" i="13"/>
  <c r="G207" i="13"/>
  <c r="K211" i="14" l="1"/>
  <c r="J212" i="14"/>
  <c r="I212" i="14"/>
  <c r="H212" i="14"/>
  <c r="K212" i="14" s="1"/>
  <c r="C214" i="14"/>
  <c r="L211" i="14"/>
  <c r="K205" i="13"/>
  <c r="J206" i="13"/>
  <c r="I206" i="13"/>
  <c r="H206" i="13"/>
  <c r="B209" i="13"/>
  <c r="L205" i="13"/>
  <c r="N214" i="14"/>
  <c r="E214" i="14"/>
  <c r="M214" i="14"/>
  <c r="F214" i="14"/>
  <c r="G214" i="14"/>
  <c r="E208" i="13"/>
  <c r="F208" i="13"/>
  <c r="M208" i="13"/>
  <c r="N208" i="13"/>
  <c r="G208" i="13"/>
  <c r="J213" i="14" l="1"/>
  <c r="I213" i="14"/>
  <c r="H213" i="14"/>
  <c r="K213" i="14" s="1"/>
  <c r="C215" i="14"/>
  <c r="L212" i="14"/>
  <c r="K206" i="13"/>
  <c r="J207" i="13"/>
  <c r="I207" i="13"/>
  <c r="H207" i="13"/>
  <c r="B210" i="13"/>
  <c r="L206" i="13"/>
  <c r="M215" i="14"/>
  <c r="E215" i="14"/>
  <c r="F215" i="14"/>
  <c r="G215" i="14"/>
  <c r="N215" i="14"/>
  <c r="E209" i="13"/>
  <c r="G209" i="13"/>
  <c r="N209" i="13"/>
  <c r="M209" i="13"/>
  <c r="F209" i="13"/>
  <c r="J214" i="14" l="1"/>
  <c r="I214" i="14"/>
  <c r="H214" i="14"/>
  <c r="K214" i="14" s="1"/>
  <c r="C216" i="14"/>
  <c r="L213" i="14"/>
  <c r="K207" i="13"/>
  <c r="I208" i="13"/>
  <c r="J208" i="13"/>
  <c r="H208" i="13"/>
  <c r="L207" i="13"/>
  <c r="B211" i="13"/>
  <c r="N216" i="14"/>
  <c r="F216" i="14"/>
  <c r="E216" i="14"/>
  <c r="G216" i="14"/>
  <c r="M216" i="14"/>
  <c r="G210" i="13"/>
  <c r="M210" i="13"/>
  <c r="N210" i="13"/>
  <c r="F210" i="13"/>
  <c r="E210" i="13"/>
  <c r="J215" i="14" l="1"/>
  <c r="H215" i="14"/>
  <c r="I215" i="14"/>
  <c r="C217" i="14"/>
  <c r="L214" i="14"/>
  <c r="K208" i="13"/>
  <c r="H209" i="13"/>
  <c r="I209" i="13"/>
  <c r="J209" i="13"/>
  <c r="B212" i="13"/>
  <c r="L208" i="13"/>
  <c r="E217" i="14"/>
  <c r="F217" i="14"/>
  <c r="M217" i="14"/>
  <c r="N217" i="14"/>
  <c r="G217" i="14"/>
  <c r="M211" i="13"/>
  <c r="F211" i="13"/>
  <c r="N211" i="13"/>
  <c r="E211" i="13"/>
  <c r="G211" i="13"/>
  <c r="K215" i="14" l="1"/>
  <c r="J216" i="14"/>
  <c r="I216" i="14"/>
  <c r="H216" i="14"/>
  <c r="C218" i="14"/>
  <c r="L215" i="14"/>
  <c r="L209" i="13"/>
  <c r="J210" i="13"/>
  <c r="H210" i="13"/>
  <c r="I210" i="13"/>
  <c r="B213" i="13"/>
  <c r="K209" i="13"/>
  <c r="G218" i="14"/>
  <c r="M218" i="14"/>
  <c r="F218" i="14"/>
  <c r="N218" i="14"/>
  <c r="E218" i="14"/>
  <c r="G212" i="13"/>
  <c r="E212" i="13"/>
  <c r="M212" i="13"/>
  <c r="F212" i="13"/>
  <c r="N212" i="13"/>
  <c r="L216" i="14" l="1"/>
  <c r="H217" i="14"/>
  <c r="I217" i="14"/>
  <c r="L217" i="14" s="1"/>
  <c r="J217" i="14"/>
  <c r="C219" i="14"/>
  <c r="K216" i="14"/>
  <c r="L210" i="13"/>
  <c r="I211" i="13"/>
  <c r="H211" i="13"/>
  <c r="J211" i="13"/>
  <c r="B214" i="13"/>
  <c r="K210" i="13"/>
  <c r="M219" i="14"/>
  <c r="N219" i="14"/>
  <c r="F219" i="14"/>
  <c r="G219" i="14"/>
  <c r="E219" i="14"/>
  <c r="F213" i="13"/>
  <c r="N213" i="13"/>
  <c r="E213" i="13"/>
  <c r="M213" i="13"/>
  <c r="G213" i="13"/>
  <c r="H218" i="14" l="1"/>
  <c r="J218" i="14"/>
  <c r="I218" i="14"/>
  <c r="L218" i="14" s="1"/>
  <c r="C220" i="14"/>
  <c r="K217" i="14"/>
  <c r="L211" i="13"/>
  <c r="J212" i="13"/>
  <c r="H212" i="13"/>
  <c r="I212" i="13"/>
  <c r="B215" i="13"/>
  <c r="K211" i="13"/>
  <c r="F220" i="14"/>
  <c r="G220" i="14"/>
  <c r="N220" i="14"/>
  <c r="E220" i="14"/>
  <c r="M220" i="14"/>
  <c r="M214" i="13"/>
  <c r="N214" i="13"/>
  <c r="G214" i="13"/>
  <c r="E214" i="13"/>
  <c r="F214" i="13"/>
  <c r="H219" i="14" l="1"/>
  <c r="J219" i="14"/>
  <c r="I219" i="14"/>
  <c r="C221" i="14"/>
  <c r="K218" i="14"/>
  <c r="L212" i="13"/>
  <c r="I213" i="13"/>
  <c r="H213" i="13"/>
  <c r="J213" i="13"/>
  <c r="B216" i="13"/>
  <c r="K212" i="13"/>
  <c r="F221" i="14"/>
  <c r="M221" i="14"/>
  <c r="N221" i="14"/>
  <c r="G221" i="14"/>
  <c r="E221" i="14"/>
  <c r="F215" i="13"/>
  <c r="M215" i="13"/>
  <c r="E215" i="13"/>
  <c r="G215" i="13"/>
  <c r="N215" i="13"/>
  <c r="L219" i="14" l="1"/>
  <c r="H220" i="14"/>
  <c r="J220" i="14"/>
  <c r="I220" i="14"/>
  <c r="C222" i="14"/>
  <c r="K219" i="14"/>
  <c r="K213" i="13"/>
  <c r="J214" i="13"/>
  <c r="H214" i="13"/>
  <c r="I214" i="13"/>
  <c r="B217" i="13"/>
  <c r="L213" i="13"/>
  <c r="F222" i="14"/>
  <c r="N222" i="14"/>
  <c r="E222" i="14"/>
  <c r="G222" i="14"/>
  <c r="M222" i="14"/>
  <c r="E216" i="13"/>
  <c r="G216" i="13"/>
  <c r="M216" i="13"/>
  <c r="N216" i="13"/>
  <c r="F216" i="13"/>
  <c r="L220" i="14" l="1"/>
  <c r="J221" i="14"/>
  <c r="H221" i="14"/>
  <c r="I221" i="14"/>
  <c r="L221" i="14" s="1"/>
  <c r="C223" i="14"/>
  <c r="K220" i="14"/>
  <c r="L214" i="13"/>
  <c r="I215" i="13"/>
  <c r="J215" i="13"/>
  <c r="H215" i="13"/>
  <c r="K214" i="13"/>
  <c r="B218" i="13"/>
  <c r="E223" i="14"/>
  <c r="F223" i="14"/>
  <c r="M223" i="14"/>
  <c r="N223" i="14"/>
  <c r="G223" i="14"/>
  <c r="F217" i="13"/>
  <c r="N217" i="13"/>
  <c r="G217" i="13"/>
  <c r="M217" i="13"/>
  <c r="E217" i="13"/>
  <c r="J222" i="14" l="1"/>
  <c r="I222" i="14"/>
  <c r="H222" i="14"/>
  <c r="C224" i="14"/>
  <c r="K221" i="14"/>
  <c r="K215" i="13"/>
  <c r="H216" i="13"/>
  <c r="J216" i="13"/>
  <c r="I216" i="13"/>
  <c r="B219" i="13"/>
  <c r="L215" i="13"/>
  <c r="F224" i="14"/>
  <c r="E224" i="14"/>
  <c r="N224" i="14"/>
  <c r="M224" i="14"/>
  <c r="G224" i="14"/>
  <c r="G218" i="13"/>
  <c r="E218" i="13"/>
  <c r="F218" i="13"/>
  <c r="M218" i="13"/>
  <c r="N218" i="13"/>
  <c r="K222" i="14" l="1"/>
  <c r="J223" i="14"/>
  <c r="H223" i="14"/>
  <c r="I223" i="14"/>
  <c r="C225" i="14"/>
  <c r="L222" i="14"/>
  <c r="K216" i="13"/>
  <c r="I217" i="13"/>
  <c r="H217" i="13"/>
  <c r="J217" i="13"/>
  <c r="B220" i="13"/>
  <c r="L216" i="13"/>
  <c r="G225" i="14"/>
  <c r="M225" i="14"/>
  <c r="N225" i="14"/>
  <c r="E225" i="14"/>
  <c r="F225" i="14"/>
  <c r="F219" i="13"/>
  <c r="N219" i="13"/>
  <c r="M219" i="13"/>
  <c r="E219" i="13"/>
  <c r="G219" i="13"/>
  <c r="L223" i="14" l="1"/>
  <c r="I224" i="14"/>
  <c r="H224" i="14"/>
  <c r="K224" i="14" s="1"/>
  <c r="J224" i="14"/>
  <c r="C226" i="14"/>
  <c r="K223" i="14"/>
  <c r="K217" i="13"/>
  <c r="J218" i="13"/>
  <c r="H218" i="13"/>
  <c r="I218" i="13"/>
  <c r="B221" i="13"/>
  <c r="L217" i="13"/>
  <c r="N226" i="14"/>
  <c r="G226" i="14"/>
  <c r="F226" i="14"/>
  <c r="M226" i="14"/>
  <c r="E226" i="14"/>
  <c r="E220" i="13"/>
  <c r="N220" i="13"/>
  <c r="F220" i="13"/>
  <c r="M220" i="13"/>
  <c r="G220" i="13"/>
  <c r="H225" i="14" l="1"/>
  <c r="I225" i="14"/>
  <c r="L225" i="14" s="1"/>
  <c r="J225" i="14"/>
  <c r="C227" i="14"/>
  <c r="L218" i="13"/>
  <c r="L224" i="14"/>
  <c r="J219" i="13"/>
  <c r="I219" i="13"/>
  <c r="H219" i="13"/>
  <c r="K218" i="13"/>
  <c r="B222" i="13"/>
  <c r="M227" i="14"/>
  <c r="E227" i="14"/>
  <c r="G227" i="14"/>
  <c r="F227" i="14"/>
  <c r="N227" i="14"/>
  <c r="N221" i="13"/>
  <c r="F221" i="13"/>
  <c r="M221" i="13"/>
  <c r="E221" i="13"/>
  <c r="G221" i="13"/>
  <c r="I226" i="14" l="1"/>
  <c r="J226" i="14"/>
  <c r="H226" i="14"/>
  <c r="C228" i="14"/>
  <c r="K225" i="14"/>
  <c r="K219" i="13"/>
  <c r="J220" i="13"/>
  <c r="H220" i="13"/>
  <c r="I220" i="13"/>
  <c r="L219" i="13"/>
  <c r="B223" i="13"/>
  <c r="M228" i="14"/>
  <c r="E228" i="14"/>
  <c r="F228" i="14"/>
  <c r="N228" i="14"/>
  <c r="G228" i="14"/>
  <c r="G222" i="13"/>
  <c r="F222" i="13"/>
  <c r="M222" i="13"/>
  <c r="N222" i="13"/>
  <c r="E222" i="13"/>
  <c r="K226" i="14" l="1"/>
  <c r="J227" i="14"/>
  <c r="I227" i="14"/>
  <c r="H227" i="14"/>
  <c r="C229" i="14"/>
  <c r="L226" i="14"/>
  <c r="L220" i="13"/>
  <c r="H221" i="13"/>
  <c r="I221" i="13"/>
  <c r="J221" i="13"/>
  <c r="B224" i="13"/>
  <c r="K220" i="13"/>
  <c r="E229" i="14"/>
  <c r="G229" i="14"/>
  <c r="N229" i="14"/>
  <c r="F229" i="14"/>
  <c r="M229" i="14"/>
  <c r="F223" i="13"/>
  <c r="N223" i="13"/>
  <c r="G223" i="13"/>
  <c r="M223" i="13"/>
  <c r="E223" i="13"/>
  <c r="K227" i="14" l="1"/>
  <c r="I228" i="14"/>
  <c r="J228" i="14"/>
  <c r="H228" i="14"/>
  <c r="K228" i="14" s="1"/>
  <c r="C230" i="14"/>
  <c r="L227" i="14"/>
  <c r="L221" i="13"/>
  <c r="H222" i="13"/>
  <c r="J222" i="13"/>
  <c r="I222" i="13"/>
  <c r="B225" i="13"/>
  <c r="K221" i="13"/>
  <c r="M230" i="14"/>
  <c r="F230" i="14"/>
  <c r="G230" i="14"/>
  <c r="N230" i="14"/>
  <c r="E230" i="14"/>
  <c r="N224" i="13"/>
  <c r="E224" i="13"/>
  <c r="F224" i="13"/>
  <c r="M224" i="13"/>
  <c r="G224" i="13"/>
  <c r="H229" i="14" l="1"/>
  <c r="J229" i="14"/>
  <c r="I229" i="14"/>
  <c r="L229" i="14" s="1"/>
  <c r="C231" i="14"/>
  <c r="L228" i="14"/>
  <c r="K222" i="13"/>
  <c r="J223" i="13"/>
  <c r="I223" i="13"/>
  <c r="H223" i="13"/>
  <c r="L222" i="13"/>
  <c r="B226" i="13"/>
  <c r="N231" i="14"/>
  <c r="M231" i="14"/>
  <c r="F231" i="14"/>
  <c r="E231" i="14"/>
  <c r="G231" i="14"/>
  <c r="N225" i="13"/>
  <c r="M225" i="13"/>
  <c r="G225" i="13"/>
  <c r="E225" i="13"/>
  <c r="F225" i="13"/>
  <c r="J230" i="14" l="1"/>
  <c r="H230" i="14"/>
  <c r="I230" i="14"/>
  <c r="C232" i="14"/>
  <c r="K229" i="14"/>
  <c r="K223" i="13"/>
  <c r="I224" i="13"/>
  <c r="H224" i="13"/>
  <c r="J224" i="13"/>
  <c r="B227" i="13"/>
  <c r="L223" i="13"/>
  <c r="F232" i="14"/>
  <c r="N232" i="14"/>
  <c r="G232" i="14"/>
  <c r="E232" i="14"/>
  <c r="M232" i="14"/>
  <c r="E226" i="13"/>
  <c r="M226" i="13"/>
  <c r="N226" i="13"/>
  <c r="F226" i="13"/>
  <c r="G226" i="13"/>
  <c r="L230" i="14" l="1"/>
  <c r="K224" i="13"/>
  <c r="H231" i="14"/>
  <c r="J231" i="14"/>
  <c r="I231" i="14"/>
  <c r="L231" i="14" s="1"/>
  <c r="C233" i="14"/>
  <c r="K230" i="14"/>
  <c r="J225" i="13"/>
  <c r="I225" i="13"/>
  <c r="H225" i="13"/>
  <c r="B228" i="13"/>
  <c r="L224" i="13"/>
  <c r="G233" i="14"/>
  <c r="N233" i="14"/>
  <c r="F233" i="14"/>
  <c r="M233" i="14"/>
  <c r="E233" i="14"/>
  <c r="F227" i="13"/>
  <c r="N227" i="13"/>
  <c r="M227" i="13"/>
  <c r="G227" i="13"/>
  <c r="E227" i="13"/>
  <c r="H232" i="14" l="1"/>
  <c r="I232" i="14"/>
  <c r="J232" i="14"/>
  <c r="C234" i="14"/>
  <c r="K231" i="14"/>
  <c r="K225" i="13"/>
  <c r="H226" i="13"/>
  <c r="J226" i="13"/>
  <c r="I226" i="13"/>
  <c r="L225" i="13"/>
  <c r="B229" i="13"/>
  <c r="E234" i="14"/>
  <c r="M234" i="14"/>
  <c r="G234" i="14"/>
  <c r="N234" i="14"/>
  <c r="F234" i="14"/>
  <c r="F228" i="13"/>
  <c r="M228" i="13"/>
  <c r="E228" i="13"/>
  <c r="G228" i="13"/>
  <c r="N228" i="13"/>
  <c r="L232" i="14" l="1"/>
  <c r="I233" i="14"/>
  <c r="J233" i="14"/>
  <c r="H233" i="14"/>
  <c r="K233" i="14" s="1"/>
  <c r="C235" i="14"/>
  <c r="K232" i="14"/>
  <c r="L226" i="13"/>
  <c r="J227" i="13"/>
  <c r="H227" i="13"/>
  <c r="I227" i="13"/>
  <c r="B230" i="13"/>
  <c r="K226" i="13"/>
  <c r="F235" i="14"/>
  <c r="N235" i="14"/>
  <c r="G235" i="14"/>
  <c r="E235" i="14"/>
  <c r="M235" i="14"/>
  <c r="G229" i="13"/>
  <c r="N229" i="13"/>
  <c r="F229" i="13"/>
  <c r="E229" i="13"/>
  <c r="M229" i="13"/>
  <c r="H234" i="14" l="1"/>
  <c r="J234" i="14"/>
  <c r="I234" i="14"/>
  <c r="C236" i="14"/>
  <c r="L233" i="14"/>
  <c r="L227" i="13"/>
  <c r="H228" i="13"/>
  <c r="I228" i="13"/>
  <c r="J228" i="13"/>
  <c r="B231" i="13"/>
  <c r="K227" i="13"/>
  <c r="F236" i="14"/>
  <c r="N236" i="14"/>
  <c r="G236" i="14"/>
  <c r="M236" i="14"/>
  <c r="E236" i="14"/>
  <c r="E230" i="13"/>
  <c r="F230" i="13"/>
  <c r="N230" i="13"/>
  <c r="M230" i="13"/>
  <c r="G230" i="13"/>
  <c r="L234" i="14" l="1"/>
  <c r="H235" i="14"/>
  <c r="J235" i="14"/>
  <c r="I235" i="14"/>
  <c r="C237" i="14"/>
  <c r="K234" i="14"/>
  <c r="L228" i="13"/>
  <c r="J229" i="13"/>
  <c r="I229" i="13"/>
  <c r="H229" i="13"/>
  <c r="B232" i="13"/>
  <c r="K228" i="13"/>
  <c r="G237" i="14"/>
  <c r="E237" i="14"/>
  <c r="M237" i="14"/>
  <c r="N237" i="14"/>
  <c r="F237" i="14"/>
  <c r="N231" i="13"/>
  <c r="M231" i="13"/>
  <c r="G231" i="13"/>
  <c r="E231" i="13"/>
  <c r="F231" i="13"/>
  <c r="L235" i="14" l="1"/>
  <c r="I236" i="14"/>
  <c r="H236" i="14"/>
  <c r="K236" i="14" s="1"/>
  <c r="J236" i="14"/>
  <c r="C238" i="14"/>
  <c r="K235" i="14"/>
  <c r="K229" i="13"/>
  <c r="I230" i="13"/>
  <c r="H230" i="13"/>
  <c r="J230" i="13"/>
  <c r="L229" i="13"/>
  <c r="B233" i="13"/>
  <c r="G238" i="14"/>
  <c r="N238" i="14"/>
  <c r="E238" i="14"/>
  <c r="M238" i="14"/>
  <c r="F238" i="14"/>
  <c r="E232" i="13"/>
  <c r="G232" i="13"/>
  <c r="N232" i="13"/>
  <c r="F232" i="13"/>
  <c r="M232" i="13"/>
  <c r="I237" i="14" l="1"/>
  <c r="H237" i="14"/>
  <c r="J237" i="14"/>
  <c r="C239" i="14"/>
  <c r="L236" i="14"/>
  <c r="K230" i="13"/>
  <c r="I231" i="13"/>
  <c r="J231" i="13"/>
  <c r="H231" i="13"/>
  <c r="B234" i="13"/>
  <c r="L230" i="13"/>
  <c r="M239" i="14"/>
  <c r="N239" i="14"/>
  <c r="E239" i="14"/>
  <c r="F239" i="14"/>
  <c r="G239" i="14"/>
  <c r="M233" i="13"/>
  <c r="N233" i="13"/>
  <c r="G233" i="13"/>
  <c r="E233" i="13"/>
  <c r="F233" i="13"/>
  <c r="K237" i="14" l="1"/>
  <c r="J238" i="14"/>
  <c r="I238" i="14"/>
  <c r="H238" i="14"/>
  <c r="C240" i="14"/>
  <c r="L237" i="14"/>
  <c r="K231" i="13"/>
  <c r="I232" i="13"/>
  <c r="H232" i="13"/>
  <c r="J232" i="13"/>
  <c r="B235" i="13"/>
  <c r="L231" i="13"/>
  <c r="E240" i="14"/>
  <c r="M240" i="14"/>
  <c r="F240" i="14"/>
  <c r="N240" i="14"/>
  <c r="G240" i="14"/>
  <c r="E234" i="13"/>
  <c r="M234" i="13"/>
  <c r="N234" i="13"/>
  <c r="G234" i="13"/>
  <c r="F234" i="13"/>
  <c r="K238" i="14" l="1"/>
  <c r="L238" i="14"/>
  <c r="J239" i="14"/>
  <c r="I239" i="14"/>
  <c r="H239" i="14"/>
  <c r="K239" i="14" s="1"/>
  <c r="C241" i="14"/>
  <c r="K232" i="13"/>
  <c r="I233" i="13"/>
  <c r="J233" i="13"/>
  <c r="H233" i="13"/>
  <c r="B236" i="13"/>
  <c r="L232" i="13"/>
  <c r="M241" i="14"/>
  <c r="N241" i="14"/>
  <c r="E241" i="14"/>
  <c r="G241" i="14"/>
  <c r="F241" i="14"/>
  <c r="M235" i="13"/>
  <c r="F235" i="13"/>
  <c r="G235" i="13"/>
  <c r="N235" i="13"/>
  <c r="E235" i="13"/>
  <c r="K233" i="13" l="1"/>
  <c r="I240" i="14"/>
  <c r="J240" i="14"/>
  <c r="H240" i="14"/>
  <c r="K240" i="14" s="1"/>
  <c r="C242" i="14"/>
  <c r="L239" i="14"/>
  <c r="H234" i="13"/>
  <c r="J234" i="13"/>
  <c r="I234" i="13"/>
  <c r="B237" i="13"/>
  <c r="L233" i="13"/>
  <c r="E242" i="14"/>
  <c r="N242" i="14"/>
  <c r="G242" i="14"/>
  <c r="F242" i="14"/>
  <c r="M242" i="14"/>
  <c r="G236" i="13"/>
  <c r="E236" i="13"/>
  <c r="M236" i="13"/>
  <c r="F236" i="13"/>
  <c r="N236" i="13"/>
  <c r="I241" i="14" l="1"/>
  <c r="J241" i="14"/>
  <c r="H241" i="14"/>
  <c r="C243" i="14"/>
  <c r="L240" i="14"/>
  <c r="L234" i="13"/>
  <c r="I235" i="13"/>
  <c r="H235" i="13"/>
  <c r="J235" i="13"/>
  <c r="B238" i="13"/>
  <c r="K234" i="13"/>
  <c r="F243" i="14"/>
  <c r="N243" i="14"/>
  <c r="G243" i="14"/>
  <c r="M243" i="14"/>
  <c r="E243" i="14"/>
  <c r="E237" i="13"/>
  <c r="G237" i="13"/>
  <c r="M237" i="13"/>
  <c r="N237" i="13"/>
  <c r="F237" i="13"/>
  <c r="K241" i="14" l="1"/>
  <c r="H242" i="14"/>
  <c r="J242" i="14"/>
  <c r="I242" i="14"/>
  <c r="L242" i="14" s="1"/>
  <c r="C244" i="14"/>
  <c r="L241" i="14"/>
  <c r="K235" i="13"/>
  <c r="I236" i="13"/>
  <c r="J236" i="13"/>
  <c r="H236" i="13"/>
  <c r="B239" i="13"/>
  <c r="L235" i="13"/>
  <c r="N244" i="14"/>
  <c r="G244" i="14"/>
  <c r="M244" i="14"/>
  <c r="F244" i="14"/>
  <c r="E244" i="14"/>
  <c r="G238" i="13"/>
  <c r="E238" i="13"/>
  <c r="F238" i="13"/>
  <c r="M238" i="13"/>
  <c r="N238" i="13"/>
  <c r="H243" i="14" l="1"/>
  <c r="I243" i="14"/>
  <c r="J243" i="14"/>
  <c r="C245" i="14"/>
  <c r="K242" i="14"/>
  <c r="K236" i="13"/>
  <c r="I237" i="13"/>
  <c r="H237" i="13"/>
  <c r="J237" i="13"/>
  <c r="B240" i="13"/>
  <c r="L236" i="13"/>
  <c r="F245" i="14"/>
  <c r="G245" i="14"/>
  <c r="M245" i="14"/>
  <c r="E245" i="14"/>
  <c r="N245" i="14"/>
  <c r="N239" i="13"/>
  <c r="E239" i="13"/>
  <c r="F239" i="13"/>
  <c r="G239" i="13"/>
  <c r="M239" i="13"/>
  <c r="L243" i="14" l="1"/>
  <c r="H244" i="14"/>
  <c r="J244" i="14"/>
  <c r="I244" i="14"/>
  <c r="L244" i="14" s="1"/>
  <c r="C246" i="14"/>
  <c r="K243" i="14"/>
  <c r="K237" i="13"/>
  <c r="J238" i="13"/>
  <c r="I238" i="13"/>
  <c r="H238" i="13"/>
  <c r="B241" i="13"/>
  <c r="L237" i="13"/>
  <c r="F246" i="14"/>
  <c r="G246" i="14"/>
  <c r="N246" i="14"/>
  <c r="E246" i="14"/>
  <c r="M246" i="14"/>
  <c r="N240" i="13"/>
  <c r="F240" i="13"/>
  <c r="E240" i="13"/>
  <c r="M240" i="13"/>
  <c r="G240" i="13"/>
  <c r="H245" i="14" l="1"/>
  <c r="J245" i="14"/>
  <c r="I245" i="14"/>
  <c r="C247" i="14"/>
  <c r="K244" i="14"/>
  <c r="K238" i="13"/>
  <c r="J239" i="13"/>
  <c r="H239" i="13"/>
  <c r="I239" i="13"/>
  <c r="L238" i="13"/>
  <c r="B242" i="13"/>
  <c r="M247" i="14"/>
  <c r="N247" i="14"/>
  <c r="E247" i="14"/>
  <c r="F247" i="14"/>
  <c r="G247" i="14"/>
  <c r="F241" i="13"/>
  <c r="G241" i="13"/>
  <c r="N241" i="13"/>
  <c r="M241" i="13"/>
  <c r="E241" i="13"/>
  <c r="L245" i="14" l="1"/>
  <c r="J246" i="14"/>
  <c r="J247" i="14"/>
  <c r="I246" i="14"/>
  <c r="I247" i="14"/>
  <c r="H246" i="14"/>
  <c r="K246" i="14" s="1"/>
  <c r="H247" i="14"/>
  <c r="K247" i="14" s="1"/>
  <c r="K245" i="14"/>
  <c r="L239" i="13"/>
  <c r="H240" i="13"/>
  <c r="J240" i="13"/>
  <c r="I240" i="13"/>
  <c r="B243" i="13"/>
  <c r="K239" i="13"/>
  <c r="M242" i="13"/>
  <c r="E242" i="13"/>
  <c r="F242" i="13"/>
  <c r="N242" i="13"/>
  <c r="G242" i="13"/>
  <c r="L246" i="14" l="1"/>
  <c r="L247" i="14"/>
  <c r="L240" i="13"/>
  <c r="J241" i="13"/>
  <c r="I241" i="13"/>
  <c r="H241" i="13"/>
  <c r="B244" i="13"/>
  <c r="K240" i="13"/>
  <c r="E243" i="13"/>
  <c r="G243" i="13"/>
  <c r="F243" i="13"/>
  <c r="N243" i="13"/>
  <c r="M243" i="13"/>
  <c r="K241" i="13" l="1"/>
  <c r="I242" i="13"/>
  <c r="J242" i="13"/>
  <c r="H242" i="13"/>
  <c r="L241" i="13"/>
  <c r="B245" i="13"/>
  <c r="G244" i="13"/>
  <c r="E244" i="13"/>
  <c r="N244" i="13"/>
  <c r="M244" i="13"/>
  <c r="F244" i="13"/>
  <c r="K242" i="13" l="1"/>
  <c r="I243" i="13"/>
  <c r="H243" i="13"/>
  <c r="J243" i="13"/>
  <c r="B246" i="13"/>
  <c r="L242" i="13"/>
  <c r="M245" i="13"/>
  <c r="N245" i="13"/>
  <c r="E245" i="13"/>
  <c r="G245" i="13"/>
  <c r="F245" i="13"/>
  <c r="K243" i="13" l="1"/>
  <c r="I244" i="13"/>
  <c r="J244" i="13"/>
  <c r="H244" i="13"/>
  <c r="B247" i="13"/>
  <c r="L243" i="13"/>
  <c r="N246" i="13"/>
  <c r="F246" i="13"/>
  <c r="M246" i="13"/>
  <c r="G246" i="13"/>
  <c r="E246" i="13"/>
  <c r="K244" i="13" l="1"/>
  <c r="H245" i="13"/>
  <c r="J245" i="13"/>
  <c r="I245" i="13"/>
  <c r="L244" i="13"/>
  <c r="F247" i="13"/>
  <c r="M247" i="13"/>
  <c r="E247" i="13"/>
  <c r="G247" i="13"/>
  <c r="N247" i="13"/>
  <c r="L245" i="13" l="1"/>
  <c r="J247" i="13"/>
  <c r="J246" i="13"/>
  <c r="H247" i="13"/>
  <c r="H246" i="13"/>
  <c r="I246" i="13"/>
  <c r="I247" i="13"/>
  <c r="L247" i="13" s="1"/>
  <c r="K245" i="13"/>
  <c r="L246" i="13" l="1"/>
  <c r="K246" i="13"/>
  <c r="K247" i="13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</commentList>
</comments>
</file>

<file path=xl/sharedStrings.xml><?xml version="1.0" encoding="utf-8"?>
<sst xmlns="http://schemas.openxmlformats.org/spreadsheetml/2006/main" count="210" uniqueCount="141">
  <si>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</si>
  <si>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</si>
  <si>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</si>
  <si>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</si>
  <si>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</si>
  <si>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</si>
  <si>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</si>
  <si>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</si>
  <si>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</si>
  <si>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</si>
  <si>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</si>
  <si>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</si>
  <si>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</si>
  <si>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</si>
  <si>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</si>
  <si>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</si>
  <si>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</si>
  <si>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</si>
  <si>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</si>
  <si>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</si>
  <si>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</si>
  <si>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</si>
  <si>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</si>
  <si>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</si>
  <si>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</si>
  <si>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</si>
  <si>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</si>
  <si>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</si>
  <si>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</si>
  <si>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</si>
  <si>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</si>
  <si>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</si>
  <si>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</si>
  <si>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</si>
  <si>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</si>
  <si>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</si>
  <si>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</si>
  <si>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</si>
  <si>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</si>
  <si>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</si>
  <si>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</si>
  <si>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</si>
  <si>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</si>
  <si>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</si>
  <si>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</si>
  <si>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</si>
  <si>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</si>
  <si>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</si>
  <si>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</si>
  <si>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</si>
  <si>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</si>
  <si>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</si>
  <si>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</si>
  <si>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</si>
  <si>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</si>
  <si>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</si>
  <si>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</si>
  <si>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</si>
  <si>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</si>
  <si>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</si>
  <si>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</si>
  <si>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</si>
  <si>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</si>
  <si>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</si>
  <si>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</si>
  <si>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</si>
  <si>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</si>
  <si>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</si>
  <si>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52058.18</t>
  </si>
  <si>
    <t>-43963.79</t>
  </si>
  <si>
    <t>FK</t>
  </si>
  <si>
    <t>MOSON</t>
  </si>
  <si>
    <t>KOMOG</t>
  </si>
  <si>
    <t>RUBAG</t>
  </si>
  <si>
    <t>-78234.7</t>
  </si>
  <si>
    <t>-129591.7</t>
  </si>
  <si>
    <t>66482.93</t>
  </si>
  <si>
    <t>-56100.07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</si>
  <si>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</si>
  <si>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</si>
  <si>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</si>
  <si>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</si>
  <si>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</si>
  <si>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</si>
  <si>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</si>
  <si>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</si>
  <si>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</si>
  <si>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</si>
  <si>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</si>
  <si>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8331.969</t>
  </si>
  <si>
    <t>31106.53</t>
  </si>
  <si>
    <t>19120.3</t>
  </si>
  <si>
    <t>GAPSA</t>
  </si>
  <si>
    <t>AJ</t>
  </si>
  <si>
    <t>SUPEK</t>
  </si>
  <si>
    <t>BG</t>
  </si>
  <si>
    <t>78702.88</t>
  </si>
  <si>
    <t>47915.05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</si>
  <si>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</si>
  <si>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</si>
  <si>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</si>
  <si>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</si>
  <si>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</si>
  <si>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</si>
  <si>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</si>
  <si>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</si>
  <si>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</si>
  <si>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-50964.65</t>
  </si>
  <si>
    <t>36673.67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</si>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</sst>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0" xfId="0" applyFill="1"/>
    <xf numFmtId="2" fontId="0" fillId="2" borderId="0" xfId="0" applyNumberForma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Beacons!$N$8</c:f>
              <c:numCache>
                <c:formatCode>General</c:formatCode>
                <c:ptCount val="1"/>
                <c:pt idx="0">
                  <c:v>52058.18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-43963.79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Beacons!$N$11</c:f>
              <c:numCache>
                <c:formatCode>General</c:formatCode>
                <c:ptCount val="1"/>
                <c:pt idx="0">
                  <c:v>8331.9689999999991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-78234.7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Beacons!$N$12</c:f>
              <c:numCache>
                <c:formatCode>General</c:formatCode>
                <c:ptCount val="1"/>
                <c:pt idx="0">
                  <c:v>66482.929999999993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-56100.07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Beacons!$N$17</c:f>
              <c:numCache>
                <c:formatCode>General</c:formatCode>
                <c:ptCount val="1"/>
                <c:pt idx="0">
                  <c:v>78702.880000000005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47915.05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Beacons!$N$23</c:f>
              <c:numCache>
                <c:formatCode>General</c:formatCode>
                <c:ptCount val="1"/>
                <c:pt idx="0">
                  <c:v>-50964.65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36673.67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'FIN123'!$E$2:$E$4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'FIN123'!$F$2:$F$4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'FIN123'!$E$6:$E$247</c:f>
              <c:numCache>
                <c:formatCode>General</c:formatCode>
                <c:ptCount val="242"/>
                <c:pt idx="0">
                  <c:v>-116058.5</c:v>
                </c:pt>
                <c:pt idx="1">
                  <c:v>-115179.2668799197</c:v>
                </c:pt>
                <c:pt idx="2">
                  <c:v>-114300.0337598394</c:v>
                </c:pt>
                <c:pt idx="3">
                  <c:v>-113420.80063975909</c:v>
                </c:pt>
                <c:pt idx="4">
                  <c:v>-112541.56751967879</c:v>
                </c:pt>
                <c:pt idx="5">
                  <c:v>-111662.33439959849</c:v>
                </c:pt>
                <c:pt idx="6">
                  <c:v>-110783.10127951819</c:v>
                </c:pt>
                <c:pt idx="7">
                  <c:v>-109903.86815943787</c:v>
                </c:pt>
                <c:pt idx="8">
                  <c:v>-109024.63503935757</c:v>
                </c:pt>
                <c:pt idx="9">
                  <c:v>-108145.40191927727</c:v>
                </c:pt>
                <c:pt idx="10">
                  <c:v>-107266.16879919697</c:v>
                </c:pt>
                <c:pt idx="11">
                  <c:v>-106386.93567911666</c:v>
                </c:pt>
                <c:pt idx="12">
                  <c:v>-105507.70255903636</c:v>
                </c:pt>
                <c:pt idx="13">
                  <c:v>-104628.46943895606</c:v>
                </c:pt>
                <c:pt idx="14">
                  <c:v>-103749.23631887576</c:v>
                </c:pt>
                <c:pt idx="15">
                  <c:v>-102870.00319879546</c:v>
                </c:pt>
                <c:pt idx="16">
                  <c:v>-101990.77007871516</c:v>
                </c:pt>
                <c:pt idx="17">
                  <c:v>-101111.53695863485</c:v>
                </c:pt>
                <c:pt idx="18">
                  <c:v>-100232.30383855455</c:v>
                </c:pt>
                <c:pt idx="19">
                  <c:v>-99353.07071847425</c:v>
                </c:pt>
                <c:pt idx="20">
                  <c:v>-98473.837598393933</c:v>
                </c:pt>
                <c:pt idx="21">
                  <c:v>-97594.604478313646</c:v>
                </c:pt>
                <c:pt idx="22">
                  <c:v>-96715.371358233329</c:v>
                </c:pt>
                <c:pt idx="23">
                  <c:v>-95836.138238153027</c:v>
                </c:pt>
                <c:pt idx="24">
                  <c:v>-94956.905118072726</c:v>
                </c:pt>
                <c:pt idx="25">
                  <c:v>-94077.671997992424</c:v>
                </c:pt>
                <c:pt idx="26">
                  <c:v>-93198.438877912122</c:v>
                </c:pt>
                <c:pt idx="27">
                  <c:v>-92319.20575783182</c:v>
                </c:pt>
                <c:pt idx="28">
                  <c:v>-91439.972637751518</c:v>
                </c:pt>
                <c:pt idx="29">
                  <c:v>-90560.739517671216</c:v>
                </c:pt>
                <c:pt idx="30">
                  <c:v>-89681.506397590914</c:v>
                </c:pt>
                <c:pt idx="31">
                  <c:v>-88802.273277510612</c:v>
                </c:pt>
                <c:pt idx="32">
                  <c:v>-87923.040157430311</c:v>
                </c:pt>
                <c:pt idx="33">
                  <c:v>-87043.807037349994</c:v>
                </c:pt>
                <c:pt idx="34">
                  <c:v>-86164.573917269707</c:v>
                </c:pt>
                <c:pt idx="35">
                  <c:v>-85285.34079718939</c:v>
                </c:pt>
                <c:pt idx="36">
                  <c:v>-84406.107677109103</c:v>
                </c:pt>
                <c:pt idx="37">
                  <c:v>-83526.874557028787</c:v>
                </c:pt>
                <c:pt idx="38">
                  <c:v>-82647.641436948499</c:v>
                </c:pt>
                <c:pt idx="39">
                  <c:v>-81768.408316868183</c:v>
                </c:pt>
                <c:pt idx="40">
                  <c:v>-80889.175196787881</c:v>
                </c:pt>
                <c:pt idx="41">
                  <c:v>-80009.942076707579</c:v>
                </c:pt>
                <c:pt idx="42">
                  <c:v>-79130.708956627277</c:v>
                </c:pt>
                <c:pt idx="43">
                  <c:v>-78251.475836546975</c:v>
                </c:pt>
                <c:pt idx="44">
                  <c:v>-77372.242716466673</c:v>
                </c:pt>
                <c:pt idx="45">
                  <c:v>-76493.009596386371</c:v>
                </c:pt>
                <c:pt idx="46">
                  <c:v>-75613.776476306055</c:v>
                </c:pt>
                <c:pt idx="47">
                  <c:v>-74734.543356225768</c:v>
                </c:pt>
                <c:pt idx="48">
                  <c:v>-73855.310236145451</c:v>
                </c:pt>
                <c:pt idx="49">
                  <c:v>-72976.077116065164</c:v>
                </c:pt>
                <c:pt idx="50">
                  <c:v>-72096.843995984847</c:v>
                </c:pt>
                <c:pt idx="51">
                  <c:v>-71217.61087590456</c:v>
                </c:pt>
                <c:pt idx="52">
                  <c:v>-70338.377755824244</c:v>
                </c:pt>
                <c:pt idx="53">
                  <c:v>-69459.144635743942</c:v>
                </c:pt>
                <c:pt idx="54">
                  <c:v>-68579.91151566364</c:v>
                </c:pt>
                <c:pt idx="55">
                  <c:v>-67700.678395583338</c:v>
                </c:pt>
                <c:pt idx="56">
                  <c:v>-66821.445275503036</c:v>
                </c:pt>
                <c:pt idx="57">
                  <c:v>-65942.212155422734</c:v>
                </c:pt>
                <c:pt idx="58">
                  <c:v>-65062.979035342432</c:v>
                </c:pt>
                <c:pt idx="59">
                  <c:v>-64183.745915262123</c:v>
                </c:pt>
                <c:pt idx="60">
                  <c:v>-63304.512795181821</c:v>
                </c:pt>
                <c:pt idx="61">
                  <c:v>-62425.279675101519</c:v>
                </c:pt>
                <c:pt idx="62">
                  <c:v>-61546.046555021218</c:v>
                </c:pt>
                <c:pt idx="63">
                  <c:v>-60666.813434940916</c:v>
                </c:pt>
                <c:pt idx="64">
                  <c:v>-59787.580314860614</c:v>
                </c:pt>
                <c:pt idx="65">
                  <c:v>-58908.347194780312</c:v>
                </c:pt>
                <c:pt idx="66">
                  <c:v>-58029.114074700003</c:v>
                </c:pt>
                <c:pt idx="67">
                  <c:v>-57149.880954619701</c:v>
                </c:pt>
                <c:pt idx="68">
                  <c:v>-56270.647834539399</c:v>
                </c:pt>
                <c:pt idx="69">
                  <c:v>-55391.414714459097</c:v>
                </c:pt>
                <c:pt idx="70">
                  <c:v>-54512.181594378795</c:v>
                </c:pt>
                <c:pt idx="71">
                  <c:v>-53632.948474298493</c:v>
                </c:pt>
                <c:pt idx="72">
                  <c:v>-52753.715354218191</c:v>
                </c:pt>
                <c:pt idx="73">
                  <c:v>-51874.482234137882</c:v>
                </c:pt>
                <c:pt idx="74">
                  <c:v>-50995.24911405758</c:v>
                </c:pt>
                <c:pt idx="75">
                  <c:v>-50116.015993977286</c:v>
                </c:pt>
                <c:pt idx="76">
                  <c:v>-49236.782873896984</c:v>
                </c:pt>
                <c:pt idx="77">
                  <c:v>-48357.549753816667</c:v>
                </c:pt>
                <c:pt idx="78">
                  <c:v>-47478.316633736365</c:v>
                </c:pt>
                <c:pt idx="79">
                  <c:v>-46599.083513656064</c:v>
                </c:pt>
                <c:pt idx="80">
                  <c:v>-45719.850393575762</c:v>
                </c:pt>
                <c:pt idx="81">
                  <c:v>-44840.61727349546</c:v>
                </c:pt>
                <c:pt idx="82">
                  <c:v>-43961.384153415158</c:v>
                </c:pt>
                <c:pt idx="83">
                  <c:v>-43082.151033334856</c:v>
                </c:pt>
                <c:pt idx="84">
                  <c:v>-42202.917913254554</c:v>
                </c:pt>
                <c:pt idx="85">
                  <c:v>-41323.684793174252</c:v>
                </c:pt>
                <c:pt idx="86">
                  <c:v>-40444.45167309395</c:v>
                </c:pt>
                <c:pt idx="87">
                  <c:v>-39565.218553013648</c:v>
                </c:pt>
                <c:pt idx="88">
                  <c:v>-38685.985432933347</c:v>
                </c:pt>
                <c:pt idx="89">
                  <c:v>-37806.752312853045</c:v>
                </c:pt>
                <c:pt idx="90">
                  <c:v>-36927.519192772728</c:v>
                </c:pt>
                <c:pt idx="91">
                  <c:v>-36048.286072692426</c:v>
                </c:pt>
                <c:pt idx="92">
                  <c:v>-35169.052952612124</c:v>
                </c:pt>
                <c:pt idx="93">
                  <c:v>-34289.819832531823</c:v>
                </c:pt>
                <c:pt idx="94">
                  <c:v>-33410.586712451521</c:v>
                </c:pt>
                <c:pt idx="95">
                  <c:v>-32531.353592371219</c:v>
                </c:pt>
                <c:pt idx="96">
                  <c:v>-31652.120472290917</c:v>
                </c:pt>
                <c:pt idx="97">
                  <c:v>-30772.887352210615</c:v>
                </c:pt>
                <c:pt idx="98">
                  <c:v>-29893.654232130313</c:v>
                </c:pt>
                <c:pt idx="99">
                  <c:v>-29014.421112050011</c:v>
                </c:pt>
                <c:pt idx="100">
                  <c:v>-28135.187991969709</c:v>
                </c:pt>
                <c:pt idx="101">
                  <c:v>-27255.954871889408</c:v>
                </c:pt>
                <c:pt idx="102">
                  <c:v>-26376.721751809106</c:v>
                </c:pt>
                <c:pt idx="103">
                  <c:v>-25497.488631728804</c:v>
                </c:pt>
                <c:pt idx="104">
                  <c:v>-24618.255511648487</c:v>
                </c:pt>
                <c:pt idx="105">
                  <c:v>-23739.022391568185</c:v>
                </c:pt>
                <c:pt idx="106">
                  <c:v>-22859.789271487884</c:v>
                </c:pt>
                <c:pt idx="107">
                  <c:v>-21980.556151407582</c:v>
                </c:pt>
                <c:pt idx="108">
                  <c:v>-21101.32303132728</c:v>
                </c:pt>
                <c:pt idx="109">
                  <c:v>-20222.089911246978</c:v>
                </c:pt>
                <c:pt idx="110">
                  <c:v>-19342.856791166676</c:v>
                </c:pt>
                <c:pt idx="111">
                  <c:v>-18463.623671086374</c:v>
                </c:pt>
                <c:pt idx="112">
                  <c:v>-17584.390551006072</c:v>
                </c:pt>
                <c:pt idx="113">
                  <c:v>-16705.15743092577</c:v>
                </c:pt>
                <c:pt idx="114">
                  <c:v>-15825.924310845468</c:v>
                </c:pt>
                <c:pt idx="115">
                  <c:v>-14946.691190765167</c:v>
                </c:pt>
                <c:pt idx="116">
                  <c:v>-14067.458070684865</c:v>
                </c:pt>
                <c:pt idx="117">
                  <c:v>-13188.224950604563</c:v>
                </c:pt>
                <c:pt idx="118">
                  <c:v>-12308.991830524246</c:v>
                </c:pt>
                <c:pt idx="119">
                  <c:v>-11429.758710443944</c:v>
                </c:pt>
                <c:pt idx="120">
                  <c:v>-10550.525590363643</c:v>
                </c:pt>
                <c:pt idx="121">
                  <c:v>-9671.2924702833407</c:v>
                </c:pt>
                <c:pt idx="122">
                  <c:v>-8792.0593502030388</c:v>
                </c:pt>
                <c:pt idx="123">
                  <c:v>-7912.8262301227369</c:v>
                </c:pt>
                <c:pt idx="124">
                  <c:v>-7033.593110042435</c:v>
                </c:pt>
                <c:pt idx="125">
                  <c:v>-6154.3599899621331</c:v>
                </c:pt>
                <c:pt idx="126">
                  <c:v>-5275.1268698818312</c:v>
                </c:pt>
                <c:pt idx="127">
                  <c:v>-4395.8937498015293</c:v>
                </c:pt>
                <c:pt idx="128">
                  <c:v>-3516.6606297212275</c:v>
                </c:pt>
                <c:pt idx="129">
                  <c:v>-2637.4275096409256</c:v>
                </c:pt>
                <c:pt idx="130">
                  <c:v>-1758.1943895606237</c:v>
                </c:pt>
                <c:pt idx="131">
                  <c:v>-882.56542320632298</c:v>
                </c:pt>
                <c:pt idx="132">
                  <c:v>-14.144764304044713</c:v>
                </c:pt>
                <c:pt idx="133">
                  <c:v>847.06758714621128</c:v>
                </c:pt>
                <c:pt idx="134">
                  <c:v>1701.0716311444448</c:v>
                </c:pt>
                <c:pt idx="135">
                  <c:v>2551.4715214166672</c:v>
                </c:pt>
                <c:pt idx="136">
                  <c:v>3401.8714116888896</c:v>
                </c:pt>
                <c:pt idx="137">
                  <c:v>4252.2713019611119</c:v>
                </c:pt>
                <c:pt idx="138">
                  <c:v>5102.6711922333343</c:v>
                </c:pt>
                <c:pt idx="139">
                  <c:v>5953.0710825055567</c:v>
                </c:pt>
                <c:pt idx="140">
                  <c:v>6803.470972777779</c:v>
                </c:pt>
                <c:pt idx="141">
                  <c:v>7653.8708630500014</c:v>
                </c:pt>
                <c:pt idx="142">
                  <c:v>8504.2707533222238</c:v>
                </c:pt>
                <c:pt idx="143">
                  <c:v>9354.6706435944452</c:v>
                </c:pt>
                <c:pt idx="144">
                  <c:v>10205.070533866668</c:v>
                </c:pt>
                <c:pt idx="145">
                  <c:v>11055.47042413889</c:v>
                </c:pt>
                <c:pt idx="146">
                  <c:v>11905.870314411113</c:v>
                </c:pt>
                <c:pt idx="147">
                  <c:v>12756.270204683335</c:v>
                </c:pt>
                <c:pt idx="148">
                  <c:v>13606.670094955558</c:v>
                </c:pt>
                <c:pt idx="149">
                  <c:v>14457.069985227779</c:v>
                </c:pt>
                <c:pt idx="150">
                  <c:v>15307.469875500003</c:v>
                </c:pt>
                <c:pt idx="151">
                  <c:v>16157.869765772224</c:v>
                </c:pt>
                <c:pt idx="152">
                  <c:v>17008.269656044446</c:v>
                </c:pt>
                <c:pt idx="153">
                  <c:v>17858.669546316669</c:v>
                </c:pt>
                <c:pt idx="154">
                  <c:v>18709.069436588888</c:v>
                </c:pt>
                <c:pt idx="155">
                  <c:v>19559.469326861112</c:v>
                </c:pt>
                <c:pt idx="156">
                  <c:v>20409.869217133335</c:v>
                </c:pt>
                <c:pt idx="157">
                  <c:v>21260.269107405558</c:v>
                </c:pt>
                <c:pt idx="158">
                  <c:v>22110.668997677778</c:v>
                </c:pt>
                <c:pt idx="159">
                  <c:v>22961.068887950001</c:v>
                </c:pt>
                <c:pt idx="160">
                  <c:v>23811.468778222225</c:v>
                </c:pt>
                <c:pt idx="161">
                  <c:v>24661.868668494448</c:v>
                </c:pt>
                <c:pt idx="162">
                  <c:v>25512.268558766667</c:v>
                </c:pt>
                <c:pt idx="163">
                  <c:v>26362.668449038891</c:v>
                </c:pt>
                <c:pt idx="164">
                  <c:v>27213.068339311114</c:v>
                </c:pt>
                <c:pt idx="165">
                  <c:v>28063.468229583334</c:v>
                </c:pt>
                <c:pt idx="166">
                  <c:v>28913.868119855557</c:v>
                </c:pt>
                <c:pt idx="167">
                  <c:v>29764.26801012778</c:v>
                </c:pt>
                <c:pt idx="168">
                  <c:v>30614.667900400003</c:v>
                </c:pt>
                <c:pt idx="169">
                  <c:v>31465.067790672223</c:v>
                </c:pt>
                <c:pt idx="170">
                  <c:v>32315.467680944446</c:v>
                </c:pt>
                <c:pt idx="171">
                  <c:v>33165.867571216673</c:v>
                </c:pt>
                <c:pt idx="172">
                  <c:v>34016.267461488897</c:v>
                </c:pt>
                <c:pt idx="173">
                  <c:v>34866.66735176112</c:v>
                </c:pt>
                <c:pt idx="174">
                  <c:v>35717.067242033343</c:v>
                </c:pt>
                <c:pt idx="175">
                  <c:v>36567.467132305559</c:v>
                </c:pt>
                <c:pt idx="176">
                  <c:v>37417.867022577782</c:v>
                </c:pt>
                <c:pt idx="177">
                  <c:v>38268.266912850006</c:v>
                </c:pt>
                <c:pt idx="178">
                  <c:v>39118.666803122229</c:v>
                </c:pt>
                <c:pt idx="179">
                  <c:v>39969.066693394452</c:v>
                </c:pt>
                <c:pt idx="180">
                  <c:v>40819.466583666675</c:v>
                </c:pt>
                <c:pt idx="181">
                  <c:v>41669.866473938899</c:v>
                </c:pt>
                <c:pt idx="182">
                  <c:v>42520.266364211122</c:v>
                </c:pt>
                <c:pt idx="183">
                  <c:v>43370.666254483338</c:v>
                </c:pt>
                <c:pt idx="184">
                  <c:v>44221.066144755561</c:v>
                </c:pt>
                <c:pt idx="185">
                  <c:v>45071.466035027785</c:v>
                </c:pt>
                <c:pt idx="186">
                  <c:v>45921.865925300008</c:v>
                </c:pt>
                <c:pt idx="187">
                  <c:v>46772.265815572231</c:v>
                </c:pt>
                <c:pt idx="188">
                  <c:v>47622.665705844454</c:v>
                </c:pt>
                <c:pt idx="189">
                  <c:v>48473.065596116678</c:v>
                </c:pt>
                <c:pt idx="190">
                  <c:v>49323.465486388901</c:v>
                </c:pt>
                <c:pt idx="191">
                  <c:v>50173.865376661117</c:v>
                </c:pt>
                <c:pt idx="192">
                  <c:v>51024.26526693334</c:v>
                </c:pt>
                <c:pt idx="193">
                  <c:v>51874.665157205563</c:v>
                </c:pt>
                <c:pt idx="194">
                  <c:v>52725.065047477787</c:v>
                </c:pt>
                <c:pt idx="195">
                  <c:v>53575.46493775001</c:v>
                </c:pt>
                <c:pt idx="196">
                  <c:v>54425.864828022233</c:v>
                </c:pt>
                <c:pt idx="197">
                  <c:v>55276.264718294457</c:v>
                </c:pt>
                <c:pt idx="198">
                  <c:v>56126.664608566673</c:v>
                </c:pt>
                <c:pt idx="199">
                  <c:v>56977.064498838896</c:v>
                </c:pt>
                <c:pt idx="200">
                  <c:v>57827.464389111119</c:v>
                </c:pt>
                <c:pt idx="201">
                  <c:v>58677.864279383342</c:v>
                </c:pt>
                <c:pt idx="202">
                  <c:v>59528.264169655566</c:v>
                </c:pt>
                <c:pt idx="203">
                  <c:v>60378.664059927789</c:v>
                </c:pt>
                <c:pt idx="204">
                  <c:v>61229.063950200012</c:v>
                </c:pt>
                <c:pt idx="205">
                  <c:v>62079.463840472235</c:v>
                </c:pt>
                <c:pt idx="206">
                  <c:v>62929.863730744451</c:v>
                </c:pt>
                <c:pt idx="207">
                  <c:v>63780.263621016675</c:v>
                </c:pt>
                <c:pt idx="208">
                  <c:v>64630.663511288898</c:v>
                </c:pt>
                <c:pt idx="209">
                  <c:v>65481.063401561121</c:v>
                </c:pt>
                <c:pt idx="210">
                  <c:v>66331.463291833337</c:v>
                </c:pt>
                <c:pt idx="211">
                  <c:v>67181.863182105561</c:v>
                </c:pt>
                <c:pt idx="212">
                  <c:v>68032.263072377784</c:v>
                </c:pt>
                <c:pt idx="213">
                  <c:v>68882.662962650007</c:v>
                </c:pt>
                <c:pt idx="214">
                  <c:v>69733.06285292223</c:v>
                </c:pt>
                <c:pt idx="215">
                  <c:v>70583.462743194454</c:v>
                </c:pt>
                <c:pt idx="216">
                  <c:v>71433.862633466677</c:v>
                </c:pt>
                <c:pt idx="217">
                  <c:v>72284.2625237389</c:v>
                </c:pt>
                <c:pt idx="218">
                  <c:v>73134.662414011109</c:v>
                </c:pt>
                <c:pt idx="219">
                  <c:v>73985.062304283332</c:v>
                </c:pt>
                <c:pt idx="220">
                  <c:v>74835.462194555555</c:v>
                </c:pt>
                <c:pt idx="221">
                  <c:v>75685.862084827779</c:v>
                </c:pt>
                <c:pt idx="222">
                  <c:v>76536.261975100002</c:v>
                </c:pt>
                <c:pt idx="223">
                  <c:v>77386.661865372225</c:v>
                </c:pt>
                <c:pt idx="224">
                  <c:v>78237.061755644449</c:v>
                </c:pt>
                <c:pt idx="225">
                  <c:v>79087.461645916672</c:v>
                </c:pt>
                <c:pt idx="226">
                  <c:v>79937.861536188895</c:v>
                </c:pt>
                <c:pt idx="227">
                  <c:v>80788.261426461118</c:v>
                </c:pt>
                <c:pt idx="228">
                  <c:v>81638.661316733342</c:v>
                </c:pt>
                <c:pt idx="229">
                  <c:v>82489.061207005565</c:v>
                </c:pt>
                <c:pt idx="230">
                  <c:v>83339.461097277788</c:v>
                </c:pt>
                <c:pt idx="231">
                  <c:v>84189.860987550011</c:v>
                </c:pt>
                <c:pt idx="232">
                  <c:v>85040.260877822235</c:v>
                </c:pt>
                <c:pt idx="233">
                  <c:v>85890.660768094443</c:v>
                </c:pt>
                <c:pt idx="234">
                  <c:v>86741.060658366667</c:v>
                </c:pt>
                <c:pt idx="235">
                  <c:v>87591.46054863889</c:v>
                </c:pt>
                <c:pt idx="236">
                  <c:v>88441.860438911113</c:v>
                </c:pt>
                <c:pt idx="237">
                  <c:v>89292.260329183337</c:v>
                </c:pt>
                <c:pt idx="238">
                  <c:v>90142.66021945556</c:v>
                </c:pt>
                <c:pt idx="239">
                  <c:v>90993.060109727783</c:v>
                </c:pt>
                <c:pt idx="240">
                  <c:v>91843.46</c:v>
                </c:pt>
                <c:pt idx="241">
                  <c:v>92693.85989027223</c:v>
                </c:pt>
              </c:numCache>
            </c:numRef>
          </c:xVal>
          <c:yVal>
            <c:numRef>
              <c:f>'FIN123'!$F$6:$F$247</c:f>
              <c:numCache>
                <c:formatCode>General</c:formatCode>
                <c:ptCount val="242"/>
                <c:pt idx="0">
                  <c:v>78981.820000000007</c:v>
                </c:pt>
                <c:pt idx="1">
                  <c:v>78383.471591963636</c:v>
                </c:pt>
                <c:pt idx="2">
                  <c:v>77785.12318392728</c:v>
                </c:pt>
                <c:pt idx="3">
                  <c:v>77186.77477589091</c:v>
                </c:pt>
                <c:pt idx="4">
                  <c:v>76588.426367854554</c:v>
                </c:pt>
                <c:pt idx="5">
                  <c:v>75990.077959818183</c:v>
                </c:pt>
                <c:pt idx="6">
                  <c:v>75391.729551781827</c:v>
                </c:pt>
                <c:pt idx="7">
                  <c:v>74793.381143745457</c:v>
                </c:pt>
                <c:pt idx="8">
                  <c:v>74195.032735709101</c:v>
                </c:pt>
                <c:pt idx="9">
                  <c:v>73596.68432767273</c:v>
                </c:pt>
                <c:pt idx="10">
                  <c:v>72998.335919636374</c:v>
                </c:pt>
                <c:pt idx="11">
                  <c:v>72399.987511600004</c:v>
                </c:pt>
                <c:pt idx="12">
                  <c:v>71801.639103563648</c:v>
                </c:pt>
                <c:pt idx="13">
                  <c:v>71203.290695527277</c:v>
                </c:pt>
                <c:pt idx="14">
                  <c:v>70604.942287490921</c:v>
                </c:pt>
                <c:pt idx="15">
                  <c:v>70006.593879454551</c:v>
                </c:pt>
                <c:pt idx="16">
                  <c:v>69408.245471418195</c:v>
                </c:pt>
                <c:pt idx="17">
                  <c:v>68809.897063381824</c:v>
                </c:pt>
                <c:pt idx="18">
                  <c:v>68211.548655345454</c:v>
                </c:pt>
                <c:pt idx="19">
                  <c:v>67613.200247309098</c:v>
                </c:pt>
                <c:pt idx="20">
                  <c:v>67014.851839272727</c:v>
                </c:pt>
                <c:pt idx="21">
                  <c:v>66416.503431236371</c:v>
                </c:pt>
                <c:pt idx="22">
                  <c:v>65818.155023200001</c:v>
                </c:pt>
                <c:pt idx="23">
                  <c:v>65219.806615163645</c:v>
                </c:pt>
                <c:pt idx="24">
                  <c:v>64621.458207127274</c:v>
                </c:pt>
                <c:pt idx="25">
                  <c:v>64023.109799090918</c:v>
                </c:pt>
                <c:pt idx="26">
                  <c:v>63424.761391054548</c:v>
                </c:pt>
                <c:pt idx="27">
                  <c:v>62826.412983018192</c:v>
                </c:pt>
                <c:pt idx="28">
                  <c:v>62228.064574981821</c:v>
                </c:pt>
                <c:pt idx="29">
                  <c:v>61629.716166945465</c:v>
                </c:pt>
                <c:pt idx="30">
                  <c:v>61031.367758909095</c:v>
                </c:pt>
                <c:pt idx="31">
                  <c:v>60433.019350872732</c:v>
                </c:pt>
                <c:pt idx="32">
                  <c:v>59834.670942836368</c:v>
                </c:pt>
                <c:pt idx="33">
                  <c:v>59236.322534800005</c:v>
                </c:pt>
                <c:pt idx="34">
                  <c:v>58637.974126763642</c:v>
                </c:pt>
                <c:pt idx="35">
                  <c:v>58039.625718727279</c:v>
                </c:pt>
                <c:pt idx="36">
                  <c:v>57441.277310690915</c:v>
                </c:pt>
                <c:pt idx="37">
                  <c:v>56842.928902654552</c:v>
                </c:pt>
                <c:pt idx="38">
                  <c:v>56244.580494618189</c:v>
                </c:pt>
                <c:pt idx="39">
                  <c:v>55646.232086581818</c:v>
                </c:pt>
                <c:pt idx="40">
                  <c:v>55047.883678545462</c:v>
                </c:pt>
                <c:pt idx="41">
                  <c:v>54449.535270509092</c:v>
                </c:pt>
                <c:pt idx="42">
                  <c:v>53851.186862472736</c:v>
                </c:pt>
                <c:pt idx="43">
                  <c:v>53252.838454436365</c:v>
                </c:pt>
                <c:pt idx="44">
                  <c:v>52654.490046400009</c:v>
                </c:pt>
                <c:pt idx="45">
                  <c:v>52056.141638363639</c:v>
                </c:pt>
                <c:pt idx="46">
                  <c:v>51457.793230327283</c:v>
                </c:pt>
                <c:pt idx="47">
                  <c:v>50859.444822290912</c:v>
                </c:pt>
                <c:pt idx="48">
                  <c:v>50261.096414254549</c:v>
                </c:pt>
                <c:pt idx="49">
                  <c:v>49662.748006218186</c:v>
                </c:pt>
                <c:pt idx="50">
                  <c:v>49064.399598181823</c:v>
                </c:pt>
                <c:pt idx="51">
                  <c:v>48466.051190145459</c:v>
                </c:pt>
                <c:pt idx="52">
                  <c:v>47867.702782109096</c:v>
                </c:pt>
                <c:pt idx="53">
                  <c:v>47269.354374072733</c:v>
                </c:pt>
                <c:pt idx="54">
                  <c:v>46671.00596603637</c:v>
                </c:pt>
                <c:pt idx="55">
                  <c:v>46072.657558000006</c:v>
                </c:pt>
                <c:pt idx="56">
                  <c:v>45474.309149963643</c:v>
                </c:pt>
                <c:pt idx="57">
                  <c:v>44875.96074192728</c:v>
                </c:pt>
                <c:pt idx="58">
                  <c:v>44277.612333890916</c:v>
                </c:pt>
                <c:pt idx="59">
                  <c:v>43679.263925854553</c:v>
                </c:pt>
                <c:pt idx="60">
                  <c:v>43080.915517818183</c:v>
                </c:pt>
                <c:pt idx="61">
                  <c:v>42482.567109781819</c:v>
                </c:pt>
                <c:pt idx="62">
                  <c:v>41884.218701745456</c:v>
                </c:pt>
                <c:pt idx="63">
                  <c:v>41285.870293709093</c:v>
                </c:pt>
                <c:pt idx="64">
                  <c:v>40687.52188567273</c:v>
                </c:pt>
                <c:pt idx="65">
                  <c:v>40089.173477636366</c:v>
                </c:pt>
                <c:pt idx="66">
                  <c:v>39490.825069600003</c:v>
                </c:pt>
                <c:pt idx="67">
                  <c:v>38892.47666156364</c:v>
                </c:pt>
                <c:pt idx="68">
                  <c:v>38294.128253527277</c:v>
                </c:pt>
                <c:pt idx="69">
                  <c:v>37695.779845490913</c:v>
                </c:pt>
                <c:pt idx="70">
                  <c:v>37097.43143745455</c:v>
                </c:pt>
                <c:pt idx="71">
                  <c:v>36499.083029418187</c:v>
                </c:pt>
                <c:pt idx="72">
                  <c:v>35900.734621381824</c:v>
                </c:pt>
                <c:pt idx="73">
                  <c:v>35302.38621334546</c:v>
                </c:pt>
                <c:pt idx="74">
                  <c:v>34704.037805309097</c:v>
                </c:pt>
                <c:pt idx="75">
                  <c:v>34105.689397272734</c:v>
                </c:pt>
                <c:pt idx="76">
                  <c:v>33507.340989236371</c:v>
                </c:pt>
                <c:pt idx="77">
                  <c:v>32908.9925812</c:v>
                </c:pt>
                <c:pt idx="78">
                  <c:v>32310.644173163637</c:v>
                </c:pt>
                <c:pt idx="79">
                  <c:v>31712.295765127274</c:v>
                </c:pt>
                <c:pt idx="80">
                  <c:v>31113.94735709091</c:v>
                </c:pt>
                <c:pt idx="81">
                  <c:v>30515.598949054547</c:v>
                </c:pt>
                <c:pt idx="82">
                  <c:v>29917.250541018184</c:v>
                </c:pt>
                <c:pt idx="83">
                  <c:v>29318.902132981821</c:v>
                </c:pt>
                <c:pt idx="84">
                  <c:v>28720.553724945457</c:v>
                </c:pt>
                <c:pt idx="85">
                  <c:v>28122.205316909094</c:v>
                </c:pt>
                <c:pt idx="86">
                  <c:v>27523.856908872731</c:v>
                </c:pt>
                <c:pt idx="87">
                  <c:v>26925.508500836368</c:v>
                </c:pt>
                <c:pt idx="88">
                  <c:v>26327.160092800004</c:v>
                </c:pt>
                <c:pt idx="89">
                  <c:v>25728.811684763641</c:v>
                </c:pt>
                <c:pt idx="90">
                  <c:v>25130.463276727278</c:v>
                </c:pt>
                <c:pt idx="91">
                  <c:v>24532.114868690915</c:v>
                </c:pt>
                <c:pt idx="92">
                  <c:v>23933.766460654551</c:v>
                </c:pt>
                <c:pt idx="93">
                  <c:v>23335.418052618188</c:v>
                </c:pt>
                <c:pt idx="94">
                  <c:v>22737.069644581818</c:v>
                </c:pt>
                <c:pt idx="95">
                  <c:v>22138.721236545454</c:v>
                </c:pt>
                <c:pt idx="96">
                  <c:v>21540.372828509091</c:v>
                </c:pt>
                <c:pt idx="97">
                  <c:v>20942.024420472728</c:v>
                </c:pt>
                <c:pt idx="98">
                  <c:v>20343.676012436365</c:v>
                </c:pt>
                <c:pt idx="99">
                  <c:v>19745.327604400001</c:v>
                </c:pt>
                <c:pt idx="100">
                  <c:v>19146.979196363638</c:v>
                </c:pt>
                <c:pt idx="101">
                  <c:v>18548.630788327275</c:v>
                </c:pt>
                <c:pt idx="102">
                  <c:v>17950.282380290912</c:v>
                </c:pt>
                <c:pt idx="103">
                  <c:v>17351.933972254548</c:v>
                </c:pt>
                <c:pt idx="104">
                  <c:v>16753.585564218185</c:v>
                </c:pt>
                <c:pt idx="105">
                  <c:v>16155.237156181822</c:v>
                </c:pt>
                <c:pt idx="106">
                  <c:v>15556.888748145459</c:v>
                </c:pt>
                <c:pt idx="107">
                  <c:v>14958.540340109095</c:v>
                </c:pt>
                <c:pt idx="108">
                  <c:v>14360.191932072732</c:v>
                </c:pt>
                <c:pt idx="109">
                  <c:v>13761.843524036369</c:v>
                </c:pt>
                <c:pt idx="110">
                  <c:v>13163.495116000006</c:v>
                </c:pt>
                <c:pt idx="111">
                  <c:v>12565.146707963635</c:v>
                </c:pt>
                <c:pt idx="112">
                  <c:v>11966.798299927279</c:v>
                </c:pt>
                <c:pt idx="113">
                  <c:v>11368.449891890908</c:v>
                </c:pt>
                <c:pt idx="114">
                  <c:v>10770.101483854552</c:v>
                </c:pt>
                <c:pt idx="115">
                  <c:v>10171.753075818182</c:v>
                </c:pt>
                <c:pt idx="116">
                  <c:v>9573.404667781826</c:v>
                </c:pt>
                <c:pt idx="117">
                  <c:v>8975.0562597454555</c:v>
                </c:pt>
                <c:pt idx="118">
                  <c:v>8376.7078517090995</c:v>
                </c:pt>
                <c:pt idx="119">
                  <c:v>7778.359443672729</c:v>
                </c:pt>
                <c:pt idx="120">
                  <c:v>7180.0110356363584</c:v>
                </c:pt>
                <c:pt idx="121">
                  <c:v>6581.6626276000025</c:v>
                </c:pt>
                <c:pt idx="122">
                  <c:v>5983.3142195636319</c:v>
                </c:pt>
                <c:pt idx="123">
                  <c:v>5384.9658115272759</c:v>
                </c:pt>
                <c:pt idx="124">
                  <c:v>4786.6174034909054</c:v>
                </c:pt>
                <c:pt idx="125">
                  <c:v>4188.2689954545494</c:v>
                </c:pt>
                <c:pt idx="126">
                  <c:v>3589.9205874181789</c:v>
                </c:pt>
                <c:pt idx="127">
                  <c:v>2991.5721793818229</c:v>
                </c:pt>
                <c:pt idx="128">
                  <c:v>2393.2237713454524</c:v>
                </c:pt>
                <c:pt idx="129">
                  <c:v>1794.8753633090964</c:v>
                </c:pt>
                <c:pt idx="130">
                  <c:v>1196.5269552727259</c:v>
                </c:pt>
                <c:pt idx="131">
                  <c:v>583.12528095016762</c:v>
                </c:pt>
                <c:pt idx="132">
                  <c:v>-60.382925944781505</c:v>
                </c:pt>
                <c:pt idx="133">
                  <c:v>-733.99766541212125</c:v>
                </c:pt>
                <c:pt idx="134">
                  <c:v>-1437.7189374518518</c:v>
                </c:pt>
                <c:pt idx="135">
                  <c:v>-2156.4934757777778</c:v>
                </c:pt>
                <c:pt idx="136">
                  <c:v>-2875.268014103704</c:v>
                </c:pt>
                <c:pt idx="137">
                  <c:v>-3594.0425524296297</c:v>
                </c:pt>
                <c:pt idx="138">
                  <c:v>-4312.817090755555</c:v>
                </c:pt>
                <c:pt idx="139">
                  <c:v>-5031.5916290814812</c:v>
                </c:pt>
                <c:pt idx="140">
                  <c:v>-5750.3661674074074</c:v>
                </c:pt>
                <c:pt idx="141">
                  <c:v>-6469.1407057333327</c:v>
                </c:pt>
                <c:pt idx="142">
                  <c:v>-7187.9152440592588</c:v>
                </c:pt>
                <c:pt idx="143">
                  <c:v>-7906.689782385185</c:v>
                </c:pt>
                <c:pt idx="144">
                  <c:v>-8625.4643207111112</c:v>
                </c:pt>
                <c:pt idx="145">
                  <c:v>-9344.2388590370374</c:v>
                </c:pt>
                <c:pt idx="146">
                  <c:v>-10063.013397362964</c:v>
                </c:pt>
                <c:pt idx="147">
                  <c:v>-10781.78793568889</c:v>
                </c:pt>
                <c:pt idx="148">
                  <c:v>-11500.562474014816</c:v>
                </c:pt>
                <c:pt idx="149">
                  <c:v>-12219.337012340742</c:v>
                </c:pt>
                <c:pt idx="150">
                  <c:v>-12938.111550666667</c:v>
                </c:pt>
                <c:pt idx="151">
                  <c:v>-13656.886088992593</c:v>
                </c:pt>
                <c:pt idx="152">
                  <c:v>-14375.660627318519</c:v>
                </c:pt>
                <c:pt idx="153">
                  <c:v>-15094.435165644445</c:v>
                </c:pt>
                <c:pt idx="154">
                  <c:v>-15813.209703970371</c:v>
                </c:pt>
                <c:pt idx="155">
                  <c:v>-16531.984242296297</c:v>
                </c:pt>
                <c:pt idx="156">
                  <c:v>-17250.758780622222</c:v>
                </c:pt>
                <c:pt idx="157">
                  <c:v>-17969.53331894815</c:v>
                </c:pt>
                <c:pt idx="158">
                  <c:v>-18688.307857274074</c:v>
                </c:pt>
                <c:pt idx="159">
                  <c:v>-19407.082395600002</c:v>
                </c:pt>
                <c:pt idx="160">
                  <c:v>-20125.856933925927</c:v>
                </c:pt>
                <c:pt idx="161">
                  <c:v>-20844.631472251851</c:v>
                </c:pt>
                <c:pt idx="162">
                  <c:v>-21563.406010577779</c:v>
                </c:pt>
                <c:pt idx="163">
                  <c:v>-22282.180548903703</c:v>
                </c:pt>
                <c:pt idx="164">
                  <c:v>-23000.955087229631</c:v>
                </c:pt>
                <c:pt idx="165">
                  <c:v>-23719.729625555556</c:v>
                </c:pt>
                <c:pt idx="166">
                  <c:v>-24438.504163881484</c:v>
                </c:pt>
                <c:pt idx="167">
                  <c:v>-25157.278702207408</c:v>
                </c:pt>
                <c:pt idx="168">
                  <c:v>-25876.053240533332</c:v>
                </c:pt>
                <c:pt idx="169">
                  <c:v>-26594.82777885926</c:v>
                </c:pt>
                <c:pt idx="170">
                  <c:v>-27313.602317185185</c:v>
                </c:pt>
                <c:pt idx="171">
                  <c:v>-28032.376855511113</c:v>
                </c:pt>
                <c:pt idx="172">
                  <c:v>-28751.151393837037</c:v>
                </c:pt>
                <c:pt idx="173">
                  <c:v>-29469.925932162965</c:v>
                </c:pt>
                <c:pt idx="174">
                  <c:v>-30188.70047048889</c:v>
                </c:pt>
                <c:pt idx="175">
                  <c:v>-30907.475008814814</c:v>
                </c:pt>
                <c:pt idx="176">
                  <c:v>-31626.249547140742</c:v>
                </c:pt>
                <c:pt idx="177">
                  <c:v>-32345.024085466666</c:v>
                </c:pt>
                <c:pt idx="178">
                  <c:v>-33063.798623792594</c:v>
                </c:pt>
                <c:pt idx="179">
                  <c:v>-33782.573162118519</c:v>
                </c:pt>
                <c:pt idx="180">
                  <c:v>-34501.347700444443</c:v>
                </c:pt>
                <c:pt idx="181">
                  <c:v>-35220.122238770375</c:v>
                </c:pt>
                <c:pt idx="182">
                  <c:v>-35938.896777096299</c:v>
                </c:pt>
                <c:pt idx="183">
                  <c:v>-36657.671315422223</c:v>
                </c:pt>
                <c:pt idx="184">
                  <c:v>-37376.445853748148</c:v>
                </c:pt>
                <c:pt idx="185">
                  <c:v>-38095.220392074072</c:v>
                </c:pt>
                <c:pt idx="186">
                  <c:v>-38813.994930400004</c:v>
                </c:pt>
                <c:pt idx="187">
                  <c:v>-39532.769468725928</c:v>
                </c:pt>
                <c:pt idx="188">
                  <c:v>-40251.544007051853</c:v>
                </c:pt>
                <c:pt idx="189">
                  <c:v>-40970.318545377777</c:v>
                </c:pt>
                <c:pt idx="190">
                  <c:v>-41689.093083703701</c:v>
                </c:pt>
                <c:pt idx="191">
                  <c:v>-42407.867622029633</c:v>
                </c:pt>
                <c:pt idx="192">
                  <c:v>-43126.642160355557</c:v>
                </c:pt>
                <c:pt idx="193">
                  <c:v>-43845.416698681482</c:v>
                </c:pt>
                <c:pt idx="194">
                  <c:v>-44564.191237007406</c:v>
                </c:pt>
                <c:pt idx="195">
                  <c:v>-45282.965775333338</c:v>
                </c:pt>
                <c:pt idx="196">
                  <c:v>-46001.740313659262</c:v>
                </c:pt>
                <c:pt idx="197">
                  <c:v>-46720.514851985186</c:v>
                </c:pt>
                <c:pt idx="198">
                  <c:v>-47439.289390311111</c:v>
                </c:pt>
                <c:pt idx="199">
                  <c:v>-48158.063928637035</c:v>
                </c:pt>
                <c:pt idx="200">
                  <c:v>-48876.838466962967</c:v>
                </c:pt>
                <c:pt idx="201">
                  <c:v>-49595.613005288891</c:v>
                </c:pt>
                <c:pt idx="202">
                  <c:v>-50314.387543614816</c:v>
                </c:pt>
                <c:pt idx="203">
                  <c:v>-51033.16208194074</c:v>
                </c:pt>
                <c:pt idx="204">
                  <c:v>-51751.936620266664</c:v>
                </c:pt>
                <c:pt idx="205">
                  <c:v>-52470.711158592596</c:v>
                </c:pt>
                <c:pt idx="206">
                  <c:v>-53189.48569691852</c:v>
                </c:pt>
                <c:pt idx="207">
                  <c:v>-53908.260235244445</c:v>
                </c:pt>
                <c:pt idx="208">
                  <c:v>-54627.034773570369</c:v>
                </c:pt>
                <c:pt idx="209">
                  <c:v>-55345.809311896301</c:v>
                </c:pt>
                <c:pt idx="210">
                  <c:v>-56064.583850222225</c:v>
                </c:pt>
                <c:pt idx="211">
                  <c:v>-56783.358388548149</c:v>
                </c:pt>
                <c:pt idx="212">
                  <c:v>-57502.132926874074</c:v>
                </c:pt>
                <c:pt idx="213">
                  <c:v>-58220.907465199998</c:v>
                </c:pt>
                <c:pt idx="214">
                  <c:v>-58939.68200352593</c:v>
                </c:pt>
                <c:pt idx="215">
                  <c:v>-59658.456541851854</c:v>
                </c:pt>
                <c:pt idx="216">
                  <c:v>-60377.231080177778</c:v>
                </c:pt>
                <c:pt idx="217">
                  <c:v>-61096.005618503703</c:v>
                </c:pt>
                <c:pt idx="218">
                  <c:v>-61814.780156829627</c:v>
                </c:pt>
                <c:pt idx="219">
                  <c:v>-62533.554695155559</c:v>
                </c:pt>
                <c:pt idx="220">
                  <c:v>-63252.329233481483</c:v>
                </c:pt>
                <c:pt idx="221">
                  <c:v>-63971.103771807408</c:v>
                </c:pt>
                <c:pt idx="222">
                  <c:v>-64689.878310133332</c:v>
                </c:pt>
                <c:pt idx="223">
                  <c:v>-65408.652848459264</c:v>
                </c:pt>
                <c:pt idx="224">
                  <c:v>-66127.427386785188</c:v>
                </c:pt>
                <c:pt idx="225">
                  <c:v>-66846.201925111105</c:v>
                </c:pt>
                <c:pt idx="226">
                  <c:v>-67564.976463437037</c:v>
                </c:pt>
                <c:pt idx="227">
                  <c:v>-68283.751001762968</c:v>
                </c:pt>
                <c:pt idx="228">
                  <c:v>-69002.525540088885</c:v>
                </c:pt>
                <c:pt idx="229">
                  <c:v>-69721.300078414817</c:v>
                </c:pt>
                <c:pt idx="230">
                  <c:v>-70440.074616740749</c:v>
                </c:pt>
                <c:pt idx="231">
                  <c:v>-71158.849155066666</c:v>
                </c:pt>
                <c:pt idx="232">
                  <c:v>-71877.623693392597</c:v>
                </c:pt>
                <c:pt idx="233">
                  <c:v>-72596.398231718515</c:v>
                </c:pt>
                <c:pt idx="234">
                  <c:v>-73315.172770044446</c:v>
                </c:pt>
                <c:pt idx="235">
                  <c:v>-74033.947308370378</c:v>
                </c:pt>
                <c:pt idx="236">
                  <c:v>-74752.721846696295</c:v>
                </c:pt>
                <c:pt idx="237">
                  <c:v>-75471.496385022227</c:v>
                </c:pt>
                <c:pt idx="238">
                  <c:v>-76190.270923348144</c:v>
                </c:pt>
                <c:pt idx="239">
                  <c:v>-76909.045461674075</c:v>
                </c:pt>
                <c:pt idx="240">
                  <c:v>-77627.820000000007</c:v>
                </c:pt>
                <c:pt idx="241">
                  <c:v>-78346.594538325924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'FIN123'!$N$6:$N$138</c:f>
              <c:numCache>
                <c:formatCode>General</c:formatCode>
                <c:ptCount val="133"/>
                <c:pt idx="0">
                  <c:v>31.076111111111111</c:v>
                </c:pt>
                <c:pt idx="1">
                  <c:v>31.090180976430975</c:v>
                </c:pt>
                <c:pt idx="2">
                  <c:v>31.10425084175084</c:v>
                </c:pt>
                <c:pt idx="3">
                  <c:v>31.118320707070705</c:v>
                </c:pt>
                <c:pt idx="4">
                  <c:v>31.132390572390573</c:v>
                </c:pt>
                <c:pt idx="5">
                  <c:v>31.146460437710438</c:v>
                </c:pt>
                <c:pt idx="6">
                  <c:v>31.160530303030303</c:v>
                </c:pt>
                <c:pt idx="7">
                  <c:v>31.174600168350167</c:v>
                </c:pt>
                <c:pt idx="8">
                  <c:v>31.188670033670032</c:v>
                </c:pt>
                <c:pt idx="9">
                  <c:v>31.202739898989897</c:v>
                </c:pt>
                <c:pt idx="10">
                  <c:v>31.216809764309765</c:v>
                </c:pt>
                <c:pt idx="11">
                  <c:v>31.23087962962963</c:v>
                </c:pt>
                <c:pt idx="12">
                  <c:v>31.244949494949495</c:v>
                </c:pt>
                <c:pt idx="13">
                  <c:v>31.25901936026936</c:v>
                </c:pt>
                <c:pt idx="14">
                  <c:v>31.273089225589224</c:v>
                </c:pt>
                <c:pt idx="15">
                  <c:v>31.287159090909089</c:v>
                </c:pt>
                <c:pt idx="16">
                  <c:v>31.301228956228954</c:v>
                </c:pt>
                <c:pt idx="17">
                  <c:v>31.315298821548822</c:v>
                </c:pt>
                <c:pt idx="18">
                  <c:v>31.329368686868687</c:v>
                </c:pt>
                <c:pt idx="19">
                  <c:v>31.343438552188552</c:v>
                </c:pt>
                <c:pt idx="20">
                  <c:v>31.357508417508416</c:v>
                </c:pt>
                <c:pt idx="21">
                  <c:v>31.371578282828281</c:v>
                </c:pt>
                <c:pt idx="22">
                  <c:v>31.385648148148146</c:v>
                </c:pt>
                <c:pt idx="23">
                  <c:v>31.399718013468011</c:v>
                </c:pt>
                <c:pt idx="24">
                  <c:v>31.413787878787879</c:v>
                </c:pt>
                <c:pt idx="25">
                  <c:v>31.427857744107744</c:v>
                </c:pt>
                <c:pt idx="26">
                  <c:v>31.441927609427609</c:v>
                </c:pt>
                <c:pt idx="27">
                  <c:v>31.455997474747473</c:v>
                </c:pt>
                <c:pt idx="28">
                  <c:v>31.470067340067338</c:v>
                </c:pt>
                <c:pt idx="29">
                  <c:v>31.484137205387203</c:v>
                </c:pt>
                <c:pt idx="30">
                  <c:v>31.498207070707071</c:v>
                </c:pt>
                <c:pt idx="31">
                  <c:v>31.512276936026936</c:v>
                </c:pt>
                <c:pt idx="32">
                  <c:v>31.526346801346801</c:v>
                </c:pt>
                <c:pt idx="33">
                  <c:v>31.540416666666665</c:v>
                </c:pt>
                <c:pt idx="34">
                  <c:v>31.55448653198653</c:v>
                </c:pt>
                <c:pt idx="35">
                  <c:v>31.568556397306395</c:v>
                </c:pt>
                <c:pt idx="36">
                  <c:v>31.58262626262626</c:v>
                </c:pt>
                <c:pt idx="37">
                  <c:v>31.596696127946128</c:v>
                </c:pt>
                <c:pt idx="38">
                  <c:v>31.610765993265993</c:v>
                </c:pt>
                <c:pt idx="39">
                  <c:v>31.624835858585858</c:v>
                </c:pt>
                <c:pt idx="40">
                  <c:v>31.638905723905722</c:v>
                </c:pt>
                <c:pt idx="41">
                  <c:v>31.652975589225587</c:v>
                </c:pt>
                <c:pt idx="42">
                  <c:v>31.667045454545452</c:v>
                </c:pt>
                <c:pt idx="43">
                  <c:v>31.68111531986532</c:v>
                </c:pt>
                <c:pt idx="44">
                  <c:v>31.695185185185185</c:v>
                </c:pt>
                <c:pt idx="45">
                  <c:v>31.70925505050505</c:v>
                </c:pt>
                <c:pt idx="46">
                  <c:v>31.723324915824914</c:v>
                </c:pt>
                <c:pt idx="47">
                  <c:v>31.737394781144779</c:v>
                </c:pt>
                <c:pt idx="48">
                  <c:v>31.751464646464644</c:v>
                </c:pt>
                <c:pt idx="49">
                  <c:v>31.765534511784509</c:v>
                </c:pt>
                <c:pt idx="50">
                  <c:v>31.779604377104377</c:v>
                </c:pt>
                <c:pt idx="51">
                  <c:v>31.793674242424242</c:v>
                </c:pt>
                <c:pt idx="52">
                  <c:v>31.807744107744107</c:v>
                </c:pt>
                <c:pt idx="53">
                  <c:v>31.821813973063971</c:v>
                </c:pt>
                <c:pt idx="54">
                  <c:v>31.835883838383836</c:v>
                </c:pt>
                <c:pt idx="55">
                  <c:v>31.849953703703701</c:v>
                </c:pt>
                <c:pt idx="56">
                  <c:v>31.864023569023566</c:v>
                </c:pt>
                <c:pt idx="57">
                  <c:v>31.878093434343434</c:v>
                </c:pt>
                <c:pt idx="58">
                  <c:v>31.892163299663299</c:v>
                </c:pt>
                <c:pt idx="59">
                  <c:v>31.906233164983163</c:v>
                </c:pt>
                <c:pt idx="60">
                  <c:v>31.920303030303028</c:v>
                </c:pt>
                <c:pt idx="61">
                  <c:v>31.934372895622893</c:v>
                </c:pt>
                <c:pt idx="62">
                  <c:v>31.948442760942758</c:v>
                </c:pt>
                <c:pt idx="63">
                  <c:v>31.962512626262626</c:v>
                </c:pt>
                <c:pt idx="64">
                  <c:v>31.976582491582491</c:v>
                </c:pt>
                <c:pt idx="65">
                  <c:v>31.990652356902356</c:v>
                </c:pt>
                <c:pt idx="66">
                  <c:v>32.00472222222222</c:v>
                </c:pt>
                <c:pt idx="67">
                  <c:v>32.018792087542089</c:v>
                </c:pt>
                <c:pt idx="68">
                  <c:v>32.03286195286195</c:v>
                </c:pt>
                <c:pt idx="69">
                  <c:v>32.046931818181818</c:v>
                </c:pt>
                <c:pt idx="70">
                  <c:v>32.061001683501679</c:v>
                </c:pt>
                <c:pt idx="71">
                  <c:v>32.075071548821548</c:v>
                </c:pt>
                <c:pt idx="72">
                  <c:v>32.089141414141409</c:v>
                </c:pt>
                <c:pt idx="73">
                  <c:v>32.103211279461277</c:v>
                </c:pt>
                <c:pt idx="74">
                  <c:v>32.117281144781145</c:v>
                </c:pt>
                <c:pt idx="75">
                  <c:v>32.131351010101007</c:v>
                </c:pt>
                <c:pt idx="76">
                  <c:v>32.145420875420875</c:v>
                </c:pt>
                <c:pt idx="77">
                  <c:v>32.159490740740736</c:v>
                </c:pt>
                <c:pt idx="78">
                  <c:v>32.173560606060605</c:v>
                </c:pt>
                <c:pt idx="79">
                  <c:v>32.187630471380473</c:v>
                </c:pt>
                <c:pt idx="80">
                  <c:v>32.201700336700334</c:v>
                </c:pt>
                <c:pt idx="81">
                  <c:v>32.215770202020202</c:v>
                </c:pt>
                <c:pt idx="82">
                  <c:v>32.229840067340064</c:v>
                </c:pt>
                <c:pt idx="83">
                  <c:v>32.243909932659932</c:v>
                </c:pt>
                <c:pt idx="84">
                  <c:v>32.257979797979793</c:v>
                </c:pt>
                <c:pt idx="85">
                  <c:v>32.272049663299661</c:v>
                </c:pt>
                <c:pt idx="86">
                  <c:v>32.28611952861953</c:v>
                </c:pt>
                <c:pt idx="87">
                  <c:v>32.300189393939391</c:v>
                </c:pt>
                <c:pt idx="88">
                  <c:v>32.314259259259259</c:v>
                </c:pt>
                <c:pt idx="89">
                  <c:v>32.32832912457912</c:v>
                </c:pt>
                <c:pt idx="90">
                  <c:v>32.342398989898989</c:v>
                </c:pt>
                <c:pt idx="91">
                  <c:v>32.35646885521885</c:v>
                </c:pt>
                <c:pt idx="92">
                  <c:v>32.370538720538718</c:v>
                </c:pt>
                <c:pt idx="93">
                  <c:v>32.384608585858587</c:v>
                </c:pt>
                <c:pt idx="94">
                  <c:v>32.398678451178448</c:v>
                </c:pt>
                <c:pt idx="95">
                  <c:v>32.412748316498316</c:v>
                </c:pt>
                <c:pt idx="96">
                  <c:v>32.426818181818177</c:v>
                </c:pt>
                <c:pt idx="97">
                  <c:v>32.440888047138046</c:v>
                </c:pt>
                <c:pt idx="98">
                  <c:v>32.454957912457907</c:v>
                </c:pt>
                <c:pt idx="99">
                  <c:v>32.469027777777775</c:v>
                </c:pt>
                <c:pt idx="100">
                  <c:v>32.483097643097643</c:v>
                </c:pt>
                <c:pt idx="101">
                  <c:v>32.497167508417505</c:v>
                </c:pt>
                <c:pt idx="102">
                  <c:v>32.511237373737373</c:v>
                </c:pt>
                <c:pt idx="103">
                  <c:v>32.525307239057234</c:v>
                </c:pt>
                <c:pt idx="104">
                  <c:v>32.539377104377103</c:v>
                </c:pt>
                <c:pt idx="105">
                  <c:v>32.553446969696964</c:v>
                </c:pt>
                <c:pt idx="106">
                  <c:v>32.567516835016832</c:v>
                </c:pt>
                <c:pt idx="107">
                  <c:v>32.5815867003367</c:v>
                </c:pt>
                <c:pt idx="108">
                  <c:v>32.595656565656562</c:v>
                </c:pt>
                <c:pt idx="109">
                  <c:v>32.60972643097643</c:v>
                </c:pt>
                <c:pt idx="110">
                  <c:v>32.623796296296291</c:v>
                </c:pt>
                <c:pt idx="111">
                  <c:v>32.637866161616159</c:v>
                </c:pt>
                <c:pt idx="112">
                  <c:v>32.651936026936028</c:v>
                </c:pt>
                <c:pt idx="113">
                  <c:v>32.666005892255889</c:v>
                </c:pt>
                <c:pt idx="114">
                  <c:v>32.680075757575757</c:v>
                </c:pt>
                <c:pt idx="115">
                  <c:v>32.694145622895618</c:v>
                </c:pt>
                <c:pt idx="116">
                  <c:v>32.708215488215487</c:v>
                </c:pt>
                <c:pt idx="117">
                  <c:v>32.722285353535348</c:v>
                </c:pt>
                <c:pt idx="118">
                  <c:v>32.736355218855216</c:v>
                </c:pt>
                <c:pt idx="119">
                  <c:v>32.750425084175085</c:v>
                </c:pt>
                <c:pt idx="120">
                  <c:v>32.764494949494946</c:v>
                </c:pt>
                <c:pt idx="121">
                  <c:v>32.778564814814814</c:v>
                </c:pt>
                <c:pt idx="122">
                  <c:v>32.792634680134675</c:v>
                </c:pt>
                <c:pt idx="123">
                  <c:v>32.806704545454544</c:v>
                </c:pt>
                <c:pt idx="124">
                  <c:v>32.820774410774405</c:v>
                </c:pt>
                <c:pt idx="125">
                  <c:v>32.834844276094273</c:v>
                </c:pt>
                <c:pt idx="126">
                  <c:v>32.848914141414141</c:v>
                </c:pt>
                <c:pt idx="127">
                  <c:v>32.862984006734003</c:v>
                </c:pt>
                <c:pt idx="128">
                  <c:v>32.877053872053871</c:v>
                </c:pt>
                <c:pt idx="129">
                  <c:v>32.891123737373732</c:v>
                </c:pt>
                <c:pt idx="130">
                  <c:v>32.9051936026936</c:v>
                </c:pt>
                <c:pt idx="131">
                  <c:v>32.919205802235311</c:v>
                </c:pt>
                <c:pt idx="132">
                  <c:v>32.93310267022072</c:v>
                </c:pt>
              </c:numCache>
            </c:numRef>
          </c:xVal>
          <c:yVal>
            <c:numRef>
              <c:f>'FIN123'!$M$6:$M$138</c:f>
              <c:numCache>
                <c:formatCode>General</c:formatCode>
                <c:ptCount val="133"/>
                <c:pt idx="0">
                  <c:v>56.553055555555552</c:v>
                </c:pt>
                <c:pt idx="1">
                  <c:v>56.547729377104375</c:v>
                </c:pt>
                <c:pt idx="2">
                  <c:v>56.542403198653197</c:v>
                </c:pt>
                <c:pt idx="3">
                  <c:v>56.53707702020202</c:v>
                </c:pt>
                <c:pt idx="4">
                  <c:v>56.531750841750842</c:v>
                </c:pt>
                <c:pt idx="5">
                  <c:v>56.526424663299657</c:v>
                </c:pt>
                <c:pt idx="6">
                  <c:v>56.52109848484848</c:v>
                </c:pt>
                <c:pt idx="7">
                  <c:v>56.515772306397302</c:v>
                </c:pt>
                <c:pt idx="8">
                  <c:v>56.510446127946125</c:v>
                </c:pt>
                <c:pt idx="9">
                  <c:v>56.505119949494947</c:v>
                </c:pt>
                <c:pt idx="10">
                  <c:v>56.49979377104377</c:v>
                </c:pt>
                <c:pt idx="11">
                  <c:v>56.494467592592592</c:v>
                </c:pt>
                <c:pt idx="12">
                  <c:v>56.489141414141415</c:v>
                </c:pt>
                <c:pt idx="13">
                  <c:v>56.48381523569023</c:v>
                </c:pt>
                <c:pt idx="14">
                  <c:v>56.478489057239052</c:v>
                </c:pt>
                <c:pt idx="15">
                  <c:v>56.473162878787875</c:v>
                </c:pt>
                <c:pt idx="16">
                  <c:v>56.467836700336697</c:v>
                </c:pt>
                <c:pt idx="17">
                  <c:v>56.46251052188552</c:v>
                </c:pt>
                <c:pt idx="18">
                  <c:v>56.457184343434342</c:v>
                </c:pt>
                <c:pt idx="19">
                  <c:v>56.451858164983165</c:v>
                </c:pt>
                <c:pt idx="20">
                  <c:v>56.446531986531987</c:v>
                </c:pt>
                <c:pt idx="21">
                  <c:v>56.441205808080802</c:v>
                </c:pt>
                <c:pt idx="22">
                  <c:v>56.435879629629625</c:v>
                </c:pt>
                <c:pt idx="23">
                  <c:v>56.430553451178447</c:v>
                </c:pt>
                <c:pt idx="24">
                  <c:v>56.42522727272727</c:v>
                </c:pt>
                <c:pt idx="25">
                  <c:v>56.419901094276092</c:v>
                </c:pt>
                <c:pt idx="26">
                  <c:v>56.414574915824915</c:v>
                </c:pt>
                <c:pt idx="27">
                  <c:v>56.409248737373737</c:v>
                </c:pt>
                <c:pt idx="28">
                  <c:v>56.403922558922559</c:v>
                </c:pt>
                <c:pt idx="29">
                  <c:v>56.398596380471375</c:v>
                </c:pt>
                <c:pt idx="30">
                  <c:v>56.393270202020197</c:v>
                </c:pt>
                <c:pt idx="31">
                  <c:v>56.38794402356902</c:v>
                </c:pt>
                <c:pt idx="32">
                  <c:v>56.382617845117842</c:v>
                </c:pt>
                <c:pt idx="33">
                  <c:v>56.377291666666665</c:v>
                </c:pt>
                <c:pt idx="34">
                  <c:v>56.371965488215487</c:v>
                </c:pt>
                <c:pt idx="35">
                  <c:v>56.366639309764309</c:v>
                </c:pt>
                <c:pt idx="36">
                  <c:v>56.361313131313132</c:v>
                </c:pt>
                <c:pt idx="37">
                  <c:v>56.355986952861954</c:v>
                </c:pt>
                <c:pt idx="38">
                  <c:v>56.35066077441077</c:v>
                </c:pt>
                <c:pt idx="39">
                  <c:v>56.345334595959592</c:v>
                </c:pt>
                <c:pt idx="40">
                  <c:v>56.340008417508415</c:v>
                </c:pt>
                <c:pt idx="41">
                  <c:v>56.334682239057237</c:v>
                </c:pt>
                <c:pt idx="42">
                  <c:v>56.329356060606059</c:v>
                </c:pt>
                <c:pt idx="43">
                  <c:v>56.324029882154882</c:v>
                </c:pt>
                <c:pt idx="44">
                  <c:v>56.318703703703704</c:v>
                </c:pt>
                <c:pt idx="45">
                  <c:v>56.313377525252527</c:v>
                </c:pt>
                <c:pt idx="46">
                  <c:v>56.308051346801342</c:v>
                </c:pt>
                <c:pt idx="47">
                  <c:v>56.302725168350165</c:v>
                </c:pt>
                <c:pt idx="48">
                  <c:v>56.297398989898987</c:v>
                </c:pt>
                <c:pt idx="49">
                  <c:v>56.292072811447809</c:v>
                </c:pt>
                <c:pt idx="50">
                  <c:v>56.286746632996632</c:v>
                </c:pt>
                <c:pt idx="51">
                  <c:v>56.281420454545454</c:v>
                </c:pt>
                <c:pt idx="52">
                  <c:v>56.276094276094277</c:v>
                </c:pt>
                <c:pt idx="53">
                  <c:v>56.270768097643099</c:v>
                </c:pt>
                <c:pt idx="54">
                  <c:v>56.265441919191915</c:v>
                </c:pt>
                <c:pt idx="55">
                  <c:v>56.260115740740737</c:v>
                </c:pt>
                <c:pt idx="56">
                  <c:v>56.25478956228956</c:v>
                </c:pt>
                <c:pt idx="57">
                  <c:v>56.249463383838382</c:v>
                </c:pt>
                <c:pt idx="58">
                  <c:v>56.244137205387204</c:v>
                </c:pt>
                <c:pt idx="59">
                  <c:v>56.238811026936027</c:v>
                </c:pt>
                <c:pt idx="60">
                  <c:v>56.233484848484849</c:v>
                </c:pt>
                <c:pt idx="61">
                  <c:v>56.228158670033672</c:v>
                </c:pt>
                <c:pt idx="62">
                  <c:v>56.222832491582487</c:v>
                </c:pt>
                <c:pt idx="63">
                  <c:v>56.21750631313131</c:v>
                </c:pt>
                <c:pt idx="64">
                  <c:v>56.212180134680132</c:v>
                </c:pt>
                <c:pt idx="65">
                  <c:v>56.206853956228954</c:v>
                </c:pt>
                <c:pt idx="66">
                  <c:v>56.201527777777777</c:v>
                </c:pt>
                <c:pt idx="67">
                  <c:v>56.196201599326599</c:v>
                </c:pt>
                <c:pt idx="68">
                  <c:v>56.190875420875422</c:v>
                </c:pt>
                <c:pt idx="69">
                  <c:v>56.185549242424244</c:v>
                </c:pt>
                <c:pt idx="70">
                  <c:v>56.180223063973067</c:v>
                </c:pt>
                <c:pt idx="71">
                  <c:v>56.174896885521882</c:v>
                </c:pt>
                <c:pt idx="72">
                  <c:v>56.169570707070704</c:v>
                </c:pt>
                <c:pt idx="73">
                  <c:v>56.164244528619527</c:v>
                </c:pt>
                <c:pt idx="74">
                  <c:v>56.158918350168349</c:v>
                </c:pt>
                <c:pt idx="75">
                  <c:v>56.153592171717172</c:v>
                </c:pt>
                <c:pt idx="76">
                  <c:v>56.148265993265994</c:v>
                </c:pt>
                <c:pt idx="77">
                  <c:v>56.142939814814817</c:v>
                </c:pt>
                <c:pt idx="78">
                  <c:v>56.137613636363639</c:v>
                </c:pt>
                <c:pt idx="79">
                  <c:v>56.132287457912454</c:v>
                </c:pt>
                <c:pt idx="80">
                  <c:v>56.126961279461277</c:v>
                </c:pt>
                <c:pt idx="81">
                  <c:v>56.121635101010099</c:v>
                </c:pt>
                <c:pt idx="82">
                  <c:v>56.116308922558922</c:v>
                </c:pt>
                <c:pt idx="83">
                  <c:v>56.110982744107744</c:v>
                </c:pt>
                <c:pt idx="84">
                  <c:v>56.105656565656567</c:v>
                </c:pt>
                <c:pt idx="85">
                  <c:v>56.100330387205389</c:v>
                </c:pt>
                <c:pt idx="86">
                  <c:v>56.095004208754212</c:v>
                </c:pt>
                <c:pt idx="87">
                  <c:v>56.089678030303027</c:v>
                </c:pt>
                <c:pt idx="88">
                  <c:v>56.084351851851849</c:v>
                </c:pt>
                <c:pt idx="89">
                  <c:v>56.079025673400672</c:v>
                </c:pt>
                <c:pt idx="90">
                  <c:v>56.073699494949494</c:v>
                </c:pt>
                <c:pt idx="91">
                  <c:v>56.068373316498317</c:v>
                </c:pt>
                <c:pt idx="92">
                  <c:v>56.063047138047139</c:v>
                </c:pt>
                <c:pt idx="93">
                  <c:v>56.057720959595962</c:v>
                </c:pt>
                <c:pt idx="94">
                  <c:v>56.052394781144784</c:v>
                </c:pt>
                <c:pt idx="95">
                  <c:v>56.047068602693599</c:v>
                </c:pt>
                <c:pt idx="96">
                  <c:v>56.041742424242422</c:v>
                </c:pt>
                <c:pt idx="97">
                  <c:v>56.036416245791244</c:v>
                </c:pt>
                <c:pt idx="98">
                  <c:v>56.031090067340067</c:v>
                </c:pt>
                <c:pt idx="99">
                  <c:v>56.025763888888889</c:v>
                </c:pt>
                <c:pt idx="100">
                  <c:v>56.020437710437712</c:v>
                </c:pt>
                <c:pt idx="101">
                  <c:v>56.015111531986534</c:v>
                </c:pt>
                <c:pt idx="102">
                  <c:v>56.009785353535356</c:v>
                </c:pt>
                <c:pt idx="103">
                  <c:v>56.004459175084179</c:v>
                </c:pt>
                <c:pt idx="104">
                  <c:v>55.999132996632994</c:v>
                </c:pt>
                <c:pt idx="105">
                  <c:v>55.993806818181817</c:v>
                </c:pt>
                <c:pt idx="106">
                  <c:v>55.988480639730639</c:v>
                </c:pt>
                <c:pt idx="107">
                  <c:v>55.983154461279462</c:v>
                </c:pt>
                <c:pt idx="108">
                  <c:v>55.977828282828284</c:v>
                </c:pt>
                <c:pt idx="109">
                  <c:v>55.972502104377106</c:v>
                </c:pt>
                <c:pt idx="110">
                  <c:v>55.967175925925929</c:v>
                </c:pt>
                <c:pt idx="111">
                  <c:v>55.961849747474751</c:v>
                </c:pt>
                <c:pt idx="112">
                  <c:v>55.956523569023567</c:v>
                </c:pt>
                <c:pt idx="113">
                  <c:v>55.951197390572389</c:v>
                </c:pt>
                <c:pt idx="114">
                  <c:v>55.945871212121212</c:v>
                </c:pt>
                <c:pt idx="115">
                  <c:v>55.940545033670034</c:v>
                </c:pt>
                <c:pt idx="116">
                  <c:v>55.935218855218857</c:v>
                </c:pt>
                <c:pt idx="117">
                  <c:v>55.929892676767679</c:v>
                </c:pt>
                <c:pt idx="118">
                  <c:v>55.924566498316501</c:v>
                </c:pt>
                <c:pt idx="119">
                  <c:v>55.919240319865324</c:v>
                </c:pt>
                <c:pt idx="120">
                  <c:v>55.913914141414139</c:v>
                </c:pt>
                <c:pt idx="121">
                  <c:v>55.908587962962962</c:v>
                </c:pt>
                <c:pt idx="122">
                  <c:v>55.903261784511784</c:v>
                </c:pt>
                <c:pt idx="123">
                  <c:v>55.897935606060607</c:v>
                </c:pt>
                <c:pt idx="124">
                  <c:v>55.892609427609429</c:v>
                </c:pt>
                <c:pt idx="125">
                  <c:v>55.887283249158251</c:v>
                </c:pt>
                <c:pt idx="126">
                  <c:v>55.881957070707074</c:v>
                </c:pt>
                <c:pt idx="127">
                  <c:v>55.876630892255896</c:v>
                </c:pt>
                <c:pt idx="128">
                  <c:v>55.871304713804712</c:v>
                </c:pt>
                <c:pt idx="129">
                  <c:v>55.865978535353534</c:v>
                </c:pt>
                <c:pt idx="130">
                  <c:v>55.860652356902357</c:v>
                </c:pt>
                <c:pt idx="131">
                  <c:v>55.855177586045642</c:v>
                </c:pt>
                <c:pt idx="132">
                  <c:v>55.849405630377852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'FIN123'!$E$132:$E$144</c:f>
              <c:numCache>
                <c:formatCode>General</c:formatCode>
                <c:ptCount val="13"/>
                <c:pt idx="0">
                  <c:v>-5275.1268698818312</c:v>
                </c:pt>
                <c:pt idx="1">
                  <c:v>-4395.8937498015293</c:v>
                </c:pt>
                <c:pt idx="2">
                  <c:v>-3516.6606297212275</c:v>
                </c:pt>
                <c:pt idx="3">
                  <c:v>-2637.4275096409256</c:v>
                </c:pt>
                <c:pt idx="4">
                  <c:v>-1758.1943895606237</c:v>
                </c:pt>
                <c:pt idx="5">
                  <c:v>-882.56542320632298</c:v>
                </c:pt>
                <c:pt idx="6">
                  <c:v>-14.144764304044713</c:v>
                </c:pt>
                <c:pt idx="7">
                  <c:v>847.06758714621128</c:v>
                </c:pt>
                <c:pt idx="8">
                  <c:v>1701.0716311444448</c:v>
                </c:pt>
                <c:pt idx="9">
                  <c:v>2551.4715214166672</c:v>
                </c:pt>
                <c:pt idx="10">
                  <c:v>3401.8714116888896</c:v>
                </c:pt>
                <c:pt idx="11">
                  <c:v>4252.2713019611119</c:v>
                </c:pt>
                <c:pt idx="12">
                  <c:v>5102.6711922333343</c:v>
                </c:pt>
              </c:numCache>
            </c:numRef>
          </c:xVal>
          <c:yVal>
            <c:numRef>
              <c:f>'FIN123'!$F$132:$F$144</c:f>
              <c:numCache>
                <c:formatCode>General</c:formatCode>
                <c:ptCount val="13"/>
                <c:pt idx="0">
                  <c:v>3589.9205874181789</c:v>
                </c:pt>
                <c:pt idx="1">
                  <c:v>2991.5721793818229</c:v>
                </c:pt>
                <c:pt idx="2">
                  <c:v>2393.2237713454524</c:v>
                </c:pt>
                <c:pt idx="3">
                  <c:v>1794.8753633090964</c:v>
                </c:pt>
                <c:pt idx="4">
                  <c:v>1196.5269552727259</c:v>
                </c:pt>
                <c:pt idx="5">
                  <c:v>583.12528095016762</c:v>
                </c:pt>
                <c:pt idx="6">
                  <c:v>-60.382925944781505</c:v>
                </c:pt>
                <c:pt idx="7">
                  <c:v>-733.99766541212125</c:v>
                </c:pt>
                <c:pt idx="8">
                  <c:v>-1437.7189374518518</c:v>
                </c:pt>
                <c:pt idx="9">
                  <c:v>-2156.4934757777778</c:v>
                </c:pt>
                <c:pt idx="10">
                  <c:v>-2875.268014103704</c:v>
                </c:pt>
                <c:pt idx="11">
                  <c:v>-3594.0425524296297</c:v>
                </c:pt>
                <c:pt idx="12">
                  <c:v>-4312.817090755555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0-4082-A8CB-0BF3CC9D8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'AFR01'!$F$2:$F$4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4-441A-9E88-931CFE8ADAE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'AFR01'!$E$6:$E$247</c:f>
              <c:numCache>
                <c:formatCode>General</c:formatCode>
                <c:ptCount val="242"/>
                <c:pt idx="0">
                  <c:v>-129477.1</c:v>
                </c:pt>
                <c:pt idx="1">
                  <c:v>-128398.121901245</c:v>
                </c:pt>
                <c:pt idx="2">
                  <c:v>-127319.14380249001</c:v>
                </c:pt>
                <c:pt idx="3">
                  <c:v>-126240.16570373501</c:v>
                </c:pt>
                <c:pt idx="4">
                  <c:v>-125161.18760498</c:v>
                </c:pt>
                <c:pt idx="5">
                  <c:v>-124082.209506225</c:v>
                </c:pt>
                <c:pt idx="6">
                  <c:v>-123003.23140747001</c:v>
                </c:pt>
                <c:pt idx="7">
                  <c:v>-121924.25330871501</c:v>
                </c:pt>
                <c:pt idx="8">
                  <c:v>-120845.27520996</c:v>
                </c:pt>
                <c:pt idx="9">
                  <c:v>-119766.297111205</c:v>
                </c:pt>
                <c:pt idx="10">
                  <c:v>-118687.31901245001</c:v>
                </c:pt>
                <c:pt idx="11">
                  <c:v>-117608.34091369501</c:v>
                </c:pt>
                <c:pt idx="12">
                  <c:v>-116529.36281494</c:v>
                </c:pt>
                <c:pt idx="13">
                  <c:v>-115450.38471618501</c:v>
                </c:pt>
                <c:pt idx="14">
                  <c:v>-114371.40661743001</c:v>
                </c:pt>
                <c:pt idx="15">
                  <c:v>-113292.42851867501</c:v>
                </c:pt>
                <c:pt idx="16">
                  <c:v>-112213.45041992</c:v>
                </c:pt>
                <c:pt idx="17">
                  <c:v>-111134.472321165</c:v>
                </c:pt>
                <c:pt idx="18">
                  <c:v>-110055.49422241001</c:v>
                </c:pt>
                <c:pt idx="19">
                  <c:v>-108976.516123655</c:v>
                </c:pt>
                <c:pt idx="20">
                  <c:v>-107897.5380249</c:v>
                </c:pt>
                <c:pt idx="21">
                  <c:v>-106818.55992614501</c:v>
                </c:pt>
                <c:pt idx="22">
                  <c:v>-105739.58182739001</c:v>
                </c:pt>
                <c:pt idx="23">
                  <c:v>-104660.603728635</c:v>
                </c:pt>
                <c:pt idx="24">
                  <c:v>-103581.62562988</c:v>
                </c:pt>
                <c:pt idx="25">
                  <c:v>-102502.64753112501</c:v>
                </c:pt>
                <c:pt idx="26">
                  <c:v>-101423.66943237001</c:v>
                </c:pt>
                <c:pt idx="27">
                  <c:v>-100344.691333615</c:v>
                </c:pt>
                <c:pt idx="28">
                  <c:v>-99265.713234860013</c:v>
                </c:pt>
                <c:pt idx="29">
                  <c:v>-98186.73513610501</c:v>
                </c:pt>
                <c:pt idx="30">
                  <c:v>-97107.757037350006</c:v>
                </c:pt>
                <c:pt idx="31">
                  <c:v>-96028.778938595002</c:v>
                </c:pt>
                <c:pt idx="32">
                  <c:v>-94949.800839839998</c:v>
                </c:pt>
                <c:pt idx="33">
                  <c:v>-93870.822741085009</c:v>
                </c:pt>
                <c:pt idx="34">
                  <c:v>-92791.844642330005</c:v>
                </c:pt>
                <c:pt idx="35">
                  <c:v>-91712.866543575015</c:v>
                </c:pt>
                <c:pt idx="36">
                  <c:v>-90633.888444820012</c:v>
                </c:pt>
                <c:pt idx="37">
                  <c:v>-89554.910346065008</c:v>
                </c:pt>
                <c:pt idx="38">
                  <c:v>-88475.932247310004</c:v>
                </c:pt>
                <c:pt idx="39">
                  <c:v>-87396.954148555</c:v>
                </c:pt>
                <c:pt idx="40">
                  <c:v>-86317.976049799996</c:v>
                </c:pt>
                <c:pt idx="41">
                  <c:v>-85238.997951045007</c:v>
                </c:pt>
                <c:pt idx="42">
                  <c:v>-84160.019852290003</c:v>
                </c:pt>
                <c:pt idx="43">
                  <c:v>-83081.041753535013</c:v>
                </c:pt>
                <c:pt idx="44">
                  <c:v>-82002.06365478001</c:v>
                </c:pt>
                <c:pt idx="45">
                  <c:v>-80923.085556025006</c:v>
                </c:pt>
                <c:pt idx="46">
                  <c:v>-79844.107457270002</c:v>
                </c:pt>
                <c:pt idx="47">
                  <c:v>-78765.129358514998</c:v>
                </c:pt>
                <c:pt idx="48">
                  <c:v>-77686.151259760009</c:v>
                </c:pt>
                <c:pt idx="49">
                  <c:v>-76607.173161005005</c:v>
                </c:pt>
                <c:pt idx="50">
                  <c:v>-75528.195062250015</c:v>
                </c:pt>
                <c:pt idx="51">
                  <c:v>-74449.216963495011</c:v>
                </c:pt>
                <c:pt idx="52">
                  <c:v>-73370.238864740008</c:v>
                </c:pt>
                <c:pt idx="53">
                  <c:v>-72291.260765985004</c:v>
                </c:pt>
                <c:pt idx="54">
                  <c:v>-71212.28266723</c:v>
                </c:pt>
                <c:pt idx="55">
                  <c:v>-70133.304568474996</c:v>
                </c:pt>
                <c:pt idx="56">
                  <c:v>-69054.326469720007</c:v>
                </c:pt>
                <c:pt idx="57">
                  <c:v>-67975.348370965003</c:v>
                </c:pt>
                <c:pt idx="58">
                  <c:v>-66896.370272210013</c:v>
                </c:pt>
                <c:pt idx="59">
                  <c:v>-65817.392173455009</c:v>
                </c:pt>
                <c:pt idx="60">
                  <c:v>-64738.414074700006</c:v>
                </c:pt>
                <c:pt idx="61">
                  <c:v>-63659.435975945002</c:v>
                </c:pt>
                <c:pt idx="62">
                  <c:v>-62580.457877189998</c:v>
                </c:pt>
                <c:pt idx="63">
                  <c:v>-61501.479778435008</c:v>
                </c:pt>
                <c:pt idx="64">
                  <c:v>-60422.501679680005</c:v>
                </c:pt>
                <c:pt idx="65">
                  <c:v>-59343.523580925001</c:v>
                </c:pt>
                <c:pt idx="66">
                  <c:v>-58264.545482170011</c:v>
                </c:pt>
                <c:pt idx="67">
                  <c:v>-57185.567383415007</c:v>
                </c:pt>
                <c:pt idx="68">
                  <c:v>-56106.589284660004</c:v>
                </c:pt>
                <c:pt idx="69">
                  <c:v>-55027.611185905</c:v>
                </c:pt>
                <c:pt idx="70">
                  <c:v>-53948.63308715001</c:v>
                </c:pt>
                <c:pt idx="71">
                  <c:v>-52869.654988395007</c:v>
                </c:pt>
                <c:pt idx="72">
                  <c:v>-51790.676889640003</c:v>
                </c:pt>
                <c:pt idx="73">
                  <c:v>-50711.698790884999</c:v>
                </c:pt>
                <c:pt idx="74">
                  <c:v>-49632.720692130009</c:v>
                </c:pt>
                <c:pt idx="75">
                  <c:v>-48553.742593375006</c:v>
                </c:pt>
                <c:pt idx="76">
                  <c:v>-47474.764494620002</c:v>
                </c:pt>
                <c:pt idx="77">
                  <c:v>-46395.786395864998</c:v>
                </c:pt>
                <c:pt idx="78">
                  <c:v>-45316.808297110008</c:v>
                </c:pt>
                <c:pt idx="79">
                  <c:v>-44237.830198355005</c:v>
                </c:pt>
                <c:pt idx="80">
                  <c:v>-43158.852099600001</c:v>
                </c:pt>
                <c:pt idx="81">
                  <c:v>-42079.874000845011</c:v>
                </c:pt>
                <c:pt idx="82">
                  <c:v>-41000.895902090007</c:v>
                </c:pt>
                <c:pt idx="83">
                  <c:v>-39921.917803335004</c:v>
                </c:pt>
                <c:pt idx="84">
                  <c:v>-38842.93970458</c:v>
                </c:pt>
                <c:pt idx="85">
                  <c:v>-37763.96160582501</c:v>
                </c:pt>
                <c:pt idx="86">
                  <c:v>-36684.983507070006</c:v>
                </c:pt>
                <c:pt idx="87">
                  <c:v>-35606.005408315003</c:v>
                </c:pt>
                <c:pt idx="88">
                  <c:v>-34527.027309559999</c:v>
                </c:pt>
                <c:pt idx="89">
                  <c:v>-33448.049210805009</c:v>
                </c:pt>
                <c:pt idx="90">
                  <c:v>-32369.071112050005</c:v>
                </c:pt>
                <c:pt idx="91">
                  <c:v>-31290.093013295002</c:v>
                </c:pt>
                <c:pt idx="92">
                  <c:v>-30211.114914539998</c:v>
                </c:pt>
                <c:pt idx="93">
                  <c:v>-29132.136815785008</c:v>
                </c:pt>
                <c:pt idx="94">
                  <c:v>-28053.158717030004</c:v>
                </c:pt>
                <c:pt idx="95">
                  <c:v>-26974.180618275001</c:v>
                </c:pt>
                <c:pt idx="96">
                  <c:v>-25895.202519520011</c:v>
                </c:pt>
                <c:pt idx="97">
                  <c:v>-24816.224420765007</c:v>
                </c:pt>
                <c:pt idx="98">
                  <c:v>-23737.246322010003</c:v>
                </c:pt>
                <c:pt idx="99">
                  <c:v>-22658.268223255</c:v>
                </c:pt>
                <c:pt idx="100">
                  <c:v>-21579.29012450001</c:v>
                </c:pt>
                <c:pt idx="101">
                  <c:v>-20500.312025745006</c:v>
                </c:pt>
                <c:pt idx="102">
                  <c:v>-19421.333926990003</c:v>
                </c:pt>
                <c:pt idx="103">
                  <c:v>-18342.355828234999</c:v>
                </c:pt>
                <c:pt idx="104">
                  <c:v>-17263.377729480009</c:v>
                </c:pt>
                <c:pt idx="105">
                  <c:v>-16184.399630725005</c:v>
                </c:pt>
                <c:pt idx="106">
                  <c:v>-15105.421531970002</c:v>
                </c:pt>
                <c:pt idx="107">
                  <c:v>-14026.443433214998</c:v>
                </c:pt>
                <c:pt idx="108">
                  <c:v>-12947.465334460008</c:v>
                </c:pt>
                <c:pt idx="109">
                  <c:v>-11868.487235705004</c:v>
                </c:pt>
                <c:pt idx="110">
                  <c:v>-10789.509136950001</c:v>
                </c:pt>
                <c:pt idx="111">
                  <c:v>-9710.5310381949967</c:v>
                </c:pt>
                <c:pt idx="112">
                  <c:v>-8631.5529394400073</c:v>
                </c:pt>
                <c:pt idx="113">
                  <c:v>-7552.5748406850034</c:v>
                </c:pt>
                <c:pt idx="114">
                  <c:v>-6473.5967419299996</c:v>
                </c:pt>
                <c:pt idx="115">
                  <c:v>-5394.6186431750102</c:v>
                </c:pt>
                <c:pt idx="116">
                  <c:v>-4315.6405444200063</c:v>
                </c:pt>
                <c:pt idx="117">
                  <c:v>-3236.6624456650025</c:v>
                </c:pt>
                <c:pt idx="118">
                  <c:v>-2157.6843469099986</c:v>
                </c:pt>
                <c:pt idx="119">
                  <c:v>-1083.3902520104159</c:v>
                </c:pt>
                <c:pt idx="120">
                  <c:v>-18.464164821666259</c:v>
                </c:pt>
                <c:pt idx="121">
                  <c:v>1037.09391465625</c:v>
                </c:pt>
                <c:pt idx="122">
                  <c:v>2083.2839864233333</c:v>
                </c:pt>
                <c:pt idx="123">
                  <c:v>3124.7900543350001</c:v>
                </c:pt>
                <c:pt idx="124">
                  <c:v>4166.2961222466665</c:v>
                </c:pt>
                <c:pt idx="125">
                  <c:v>5207.8021901583334</c:v>
                </c:pt>
                <c:pt idx="126">
                  <c:v>6249.3082580700002</c:v>
                </c:pt>
                <c:pt idx="127">
                  <c:v>7290.814325981667</c:v>
                </c:pt>
                <c:pt idx="128">
                  <c:v>8332.3203938933329</c:v>
                </c:pt>
                <c:pt idx="129">
                  <c:v>9373.8264618049998</c:v>
                </c:pt>
                <c:pt idx="130">
                  <c:v>10415.332529716667</c:v>
                </c:pt>
                <c:pt idx="131">
                  <c:v>11456.838597628333</c:v>
                </c:pt>
                <c:pt idx="132">
                  <c:v>12498.34466554</c:v>
                </c:pt>
                <c:pt idx="133">
                  <c:v>13539.850733451667</c:v>
                </c:pt>
                <c:pt idx="134">
                  <c:v>14581.356801363334</c:v>
                </c:pt>
                <c:pt idx="135">
                  <c:v>15622.862869275001</c:v>
                </c:pt>
                <c:pt idx="136">
                  <c:v>16664.368937186664</c:v>
                </c:pt>
                <c:pt idx="137">
                  <c:v>17705.875005098333</c:v>
                </c:pt>
                <c:pt idx="138">
                  <c:v>18747.381073009998</c:v>
                </c:pt>
                <c:pt idx="139">
                  <c:v>19788.887140921666</c:v>
                </c:pt>
                <c:pt idx="140">
                  <c:v>20830.393208833331</c:v>
                </c:pt>
                <c:pt idx="141">
                  <c:v>21871.899276745</c:v>
                </c:pt>
                <c:pt idx="142">
                  <c:v>22913.405344656665</c:v>
                </c:pt>
                <c:pt idx="143">
                  <c:v>23954.91141256833</c:v>
                </c:pt>
                <c:pt idx="144">
                  <c:v>24996.417480479999</c:v>
                </c:pt>
                <c:pt idx="145">
                  <c:v>26037.923548391664</c:v>
                </c:pt>
                <c:pt idx="146">
                  <c:v>27079.429616303332</c:v>
                </c:pt>
                <c:pt idx="147">
                  <c:v>28120.935684214997</c:v>
                </c:pt>
                <c:pt idx="148">
                  <c:v>29162.441752126666</c:v>
                </c:pt>
                <c:pt idx="149">
                  <c:v>30203.947820038331</c:v>
                </c:pt>
                <c:pt idx="150">
                  <c:v>31245.45388795</c:v>
                </c:pt>
                <c:pt idx="151">
                  <c:v>32286.959955861665</c:v>
                </c:pt>
                <c:pt idx="152">
                  <c:v>33328.466023773333</c:v>
                </c:pt>
                <c:pt idx="153">
                  <c:v>34369.972091684998</c:v>
                </c:pt>
                <c:pt idx="154">
                  <c:v>35411.478159596671</c:v>
                </c:pt>
                <c:pt idx="155">
                  <c:v>36452.984227508336</c:v>
                </c:pt>
                <c:pt idx="156">
                  <c:v>37494.490295420001</c:v>
                </c:pt>
                <c:pt idx="157">
                  <c:v>38535.996363331666</c:v>
                </c:pt>
                <c:pt idx="158">
                  <c:v>39577.502431243338</c:v>
                </c:pt>
                <c:pt idx="159">
                  <c:v>40619.008499155003</c:v>
                </c:pt>
                <c:pt idx="160">
                  <c:v>41660.514567066668</c:v>
                </c:pt>
                <c:pt idx="161">
                  <c:v>42702.020634978333</c:v>
                </c:pt>
                <c:pt idx="162">
                  <c:v>43743.526702890005</c:v>
                </c:pt>
                <c:pt idx="163">
                  <c:v>44785.03277080167</c:v>
                </c:pt>
                <c:pt idx="164">
                  <c:v>45826.538838713335</c:v>
                </c:pt>
                <c:pt idx="165">
                  <c:v>46868.044906625</c:v>
                </c:pt>
                <c:pt idx="166">
                  <c:v>47909.550974536665</c:v>
                </c:pt>
                <c:pt idx="167">
                  <c:v>48951.057042448338</c:v>
                </c:pt>
                <c:pt idx="168">
                  <c:v>49992.563110360003</c:v>
                </c:pt>
                <c:pt idx="169">
                  <c:v>51034.069178271668</c:v>
                </c:pt>
                <c:pt idx="170">
                  <c:v>52075.575246183333</c:v>
                </c:pt>
                <c:pt idx="171">
                  <c:v>53117.081314095005</c:v>
                </c:pt>
                <c:pt idx="172">
                  <c:v>54158.58738200667</c:v>
                </c:pt>
                <c:pt idx="173">
                  <c:v>55200.093449918335</c:v>
                </c:pt>
                <c:pt idx="174">
                  <c:v>56241.59951783</c:v>
                </c:pt>
                <c:pt idx="175">
                  <c:v>57283.105585741665</c:v>
                </c:pt>
                <c:pt idx="176">
                  <c:v>58324.611653653337</c:v>
                </c:pt>
                <c:pt idx="177">
                  <c:v>59366.117721565002</c:v>
                </c:pt>
                <c:pt idx="178">
                  <c:v>60407.623789476667</c:v>
                </c:pt>
                <c:pt idx="179">
                  <c:v>61449.129857388332</c:v>
                </c:pt>
                <c:pt idx="180">
                  <c:v>62490.635925300005</c:v>
                </c:pt>
                <c:pt idx="181">
                  <c:v>63532.14199321167</c:v>
                </c:pt>
                <c:pt idx="182">
                  <c:v>64573.648061123335</c:v>
                </c:pt>
                <c:pt idx="183">
                  <c:v>65615.154129035</c:v>
                </c:pt>
                <c:pt idx="184">
                  <c:v>66656.660196946657</c:v>
                </c:pt>
                <c:pt idx="185">
                  <c:v>67698.16626485833</c:v>
                </c:pt>
                <c:pt idx="186">
                  <c:v>68739.672332769987</c:v>
                </c:pt>
                <c:pt idx="187">
                  <c:v>69781.17840068166</c:v>
                </c:pt>
                <c:pt idx="188">
                  <c:v>70822.684468593332</c:v>
                </c:pt>
                <c:pt idx="189">
                  <c:v>71864.19053650499</c:v>
                </c:pt>
                <c:pt idx="190">
                  <c:v>72905.696604416662</c:v>
                </c:pt>
                <c:pt idx="191">
                  <c:v>73947.202672328334</c:v>
                </c:pt>
                <c:pt idx="192">
                  <c:v>74988.708740239992</c:v>
                </c:pt>
                <c:pt idx="193">
                  <c:v>76030.214808151664</c:v>
                </c:pt>
                <c:pt idx="194">
                  <c:v>77071.720876063322</c:v>
                </c:pt>
                <c:pt idx="195">
                  <c:v>78113.226943974994</c:v>
                </c:pt>
                <c:pt idx="196">
                  <c:v>79154.733011886667</c:v>
                </c:pt>
                <c:pt idx="197">
                  <c:v>80196.239079798324</c:v>
                </c:pt>
                <c:pt idx="198">
                  <c:v>81237.745147709997</c:v>
                </c:pt>
                <c:pt idx="199">
                  <c:v>82279.251215621654</c:v>
                </c:pt>
                <c:pt idx="200">
                  <c:v>83320.757283533327</c:v>
                </c:pt>
                <c:pt idx="201">
                  <c:v>84362.263351444999</c:v>
                </c:pt>
                <c:pt idx="202">
                  <c:v>85403.769419356657</c:v>
                </c:pt>
                <c:pt idx="203">
                  <c:v>86445.275487268329</c:v>
                </c:pt>
                <c:pt idx="204">
                  <c:v>87486.781555180001</c:v>
                </c:pt>
                <c:pt idx="205">
                  <c:v>88528.287623091659</c:v>
                </c:pt>
                <c:pt idx="206">
                  <c:v>89569.793691003331</c:v>
                </c:pt>
                <c:pt idx="207">
                  <c:v>90611.299758914989</c:v>
                </c:pt>
                <c:pt idx="208">
                  <c:v>91652.805826826661</c:v>
                </c:pt>
                <c:pt idx="209">
                  <c:v>92694.311894738334</c:v>
                </c:pt>
                <c:pt idx="210">
                  <c:v>93735.817962649991</c:v>
                </c:pt>
                <c:pt idx="211">
                  <c:v>94777.324030561664</c:v>
                </c:pt>
                <c:pt idx="212">
                  <c:v>95818.830098473321</c:v>
                </c:pt>
                <c:pt idx="213">
                  <c:v>96860.336166384994</c:v>
                </c:pt>
                <c:pt idx="214">
                  <c:v>97901.842234296666</c:v>
                </c:pt>
                <c:pt idx="215">
                  <c:v>98943.348302208324</c:v>
                </c:pt>
                <c:pt idx="216">
                  <c:v>99984.854370119996</c:v>
                </c:pt>
                <c:pt idx="217">
                  <c:v>101026.36043803165</c:v>
                </c:pt>
                <c:pt idx="218">
                  <c:v>102067.86650594333</c:v>
                </c:pt>
                <c:pt idx="219">
                  <c:v>103109.372573855</c:v>
                </c:pt>
                <c:pt idx="220">
                  <c:v>104150.87864176666</c:v>
                </c:pt>
                <c:pt idx="221">
                  <c:v>105192.38470967833</c:v>
                </c:pt>
                <c:pt idx="222">
                  <c:v>106233.89077759</c:v>
                </c:pt>
                <c:pt idx="223">
                  <c:v>107275.39684550166</c:v>
                </c:pt>
                <c:pt idx="224">
                  <c:v>108316.90291341333</c:v>
                </c:pt>
                <c:pt idx="225">
                  <c:v>109358.40898132499</c:v>
                </c:pt>
                <c:pt idx="226">
                  <c:v>110399.91504923666</c:v>
                </c:pt>
                <c:pt idx="227">
                  <c:v>111441.42111714833</c:v>
                </c:pt>
                <c:pt idx="228">
                  <c:v>112482.92718505999</c:v>
                </c:pt>
                <c:pt idx="229">
                  <c:v>113524.43325297166</c:v>
                </c:pt>
                <c:pt idx="230">
                  <c:v>114565.93932088332</c:v>
                </c:pt>
                <c:pt idx="231">
                  <c:v>115607.44538879499</c:v>
                </c:pt>
                <c:pt idx="232">
                  <c:v>116648.95145670667</c:v>
                </c:pt>
                <c:pt idx="233">
                  <c:v>117690.45752461832</c:v>
                </c:pt>
                <c:pt idx="234">
                  <c:v>118731.96359253</c:v>
                </c:pt>
                <c:pt idx="235">
                  <c:v>119773.46966044167</c:v>
                </c:pt>
                <c:pt idx="236">
                  <c:v>120814.97572835333</c:v>
                </c:pt>
                <c:pt idx="237">
                  <c:v>121856.481796265</c:v>
                </c:pt>
                <c:pt idx="238">
                  <c:v>122897.98786417666</c:v>
                </c:pt>
                <c:pt idx="239">
                  <c:v>123939.49393208833</c:v>
                </c:pt>
                <c:pt idx="240">
                  <c:v>124981</c:v>
                </c:pt>
                <c:pt idx="241">
                  <c:v>126022.50606791166</c:v>
                </c:pt>
              </c:numCache>
            </c:numRef>
          </c:xVal>
          <c:yVal>
            <c:numRef>
              <c:f>'AFR01'!$F$6:$F$247</c:f>
              <c:numCache>
                <c:formatCode>General</c:formatCode>
                <c:ptCount val="242"/>
                <c:pt idx="0">
                  <c:v>-62992.480000000003</c:v>
                </c:pt>
                <c:pt idx="1">
                  <c:v>-62467.544082173335</c:v>
                </c:pt>
                <c:pt idx="2">
                  <c:v>-61942.608164346668</c:v>
                </c:pt>
                <c:pt idx="3">
                  <c:v>-61417.67224652</c:v>
                </c:pt>
                <c:pt idx="4">
                  <c:v>-60892.73632869334</c:v>
                </c:pt>
                <c:pt idx="5">
                  <c:v>-60367.800410866672</c:v>
                </c:pt>
                <c:pt idx="6">
                  <c:v>-59842.864493040004</c:v>
                </c:pt>
                <c:pt idx="7">
                  <c:v>-59317.928575213336</c:v>
                </c:pt>
                <c:pt idx="8">
                  <c:v>-58792.992657386669</c:v>
                </c:pt>
                <c:pt idx="9">
                  <c:v>-58268.056739560001</c:v>
                </c:pt>
                <c:pt idx="10">
                  <c:v>-57743.120821733333</c:v>
                </c:pt>
                <c:pt idx="11">
                  <c:v>-57218.184903906673</c:v>
                </c:pt>
                <c:pt idx="12">
                  <c:v>-56693.248986080005</c:v>
                </c:pt>
                <c:pt idx="13">
                  <c:v>-56168.313068253337</c:v>
                </c:pt>
                <c:pt idx="14">
                  <c:v>-55643.37715042667</c:v>
                </c:pt>
                <c:pt idx="15">
                  <c:v>-55118.441232600002</c:v>
                </c:pt>
                <c:pt idx="16">
                  <c:v>-54593.505314773334</c:v>
                </c:pt>
                <c:pt idx="17">
                  <c:v>-54068.569396946667</c:v>
                </c:pt>
                <c:pt idx="18">
                  <c:v>-53543.633479120006</c:v>
                </c:pt>
                <c:pt idx="19">
                  <c:v>-53018.697561293338</c:v>
                </c:pt>
                <c:pt idx="20">
                  <c:v>-52493.761643466671</c:v>
                </c:pt>
                <c:pt idx="21">
                  <c:v>-51968.825725640003</c:v>
                </c:pt>
                <c:pt idx="22">
                  <c:v>-51443.889807813335</c:v>
                </c:pt>
                <c:pt idx="23">
                  <c:v>-50918.953889986667</c:v>
                </c:pt>
                <c:pt idx="24">
                  <c:v>-50394.01797216</c:v>
                </c:pt>
                <c:pt idx="25">
                  <c:v>-49869.082054333339</c:v>
                </c:pt>
                <c:pt idx="26">
                  <c:v>-49344.146136506672</c:v>
                </c:pt>
                <c:pt idx="27">
                  <c:v>-48819.210218680004</c:v>
                </c:pt>
                <c:pt idx="28">
                  <c:v>-48294.274300853336</c:v>
                </c:pt>
                <c:pt idx="29">
                  <c:v>-47769.338383026668</c:v>
                </c:pt>
                <c:pt idx="30">
                  <c:v>-47244.402465200001</c:v>
                </c:pt>
                <c:pt idx="31">
                  <c:v>-46719.466547373333</c:v>
                </c:pt>
                <c:pt idx="32">
                  <c:v>-46194.530629546673</c:v>
                </c:pt>
                <c:pt idx="33">
                  <c:v>-45669.594711719998</c:v>
                </c:pt>
                <c:pt idx="34">
                  <c:v>-45144.658793893337</c:v>
                </c:pt>
                <c:pt idx="35">
                  <c:v>-44619.722876066669</c:v>
                </c:pt>
                <c:pt idx="36">
                  <c:v>-44094.786958240002</c:v>
                </c:pt>
                <c:pt idx="37">
                  <c:v>-43569.851040413334</c:v>
                </c:pt>
                <c:pt idx="38">
                  <c:v>-43044.915122586666</c:v>
                </c:pt>
                <c:pt idx="39">
                  <c:v>-42519.979204760006</c:v>
                </c:pt>
                <c:pt idx="40">
                  <c:v>-41995.043286933331</c:v>
                </c:pt>
                <c:pt idx="41">
                  <c:v>-41470.10736910667</c:v>
                </c:pt>
                <c:pt idx="42">
                  <c:v>-40945.171451280003</c:v>
                </c:pt>
                <c:pt idx="43">
                  <c:v>-40420.235533453335</c:v>
                </c:pt>
                <c:pt idx="44">
                  <c:v>-39895.299615626667</c:v>
                </c:pt>
                <c:pt idx="45">
                  <c:v>-39370.363697799999</c:v>
                </c:pt>
                <c:pt idx="46">
                  <c:v>-38845.427779973339</c:v>
                </c:pt>
                <c:pt idx="47">
                  <c:v>-38320.491862146664</c:v>
                </c:pt>
                <c:pt idx="48">
                  <c:v>-37795.555944320004</c:v>
                </c:pt>
                <c:pt idx="49">
                  <c:v>-37270.620026493336</c:v>
                </c:pt>
                <c:pt idx="50">
                  <c:v>-36745.684108666668</c:v>
                </c:pt>
                <c:pt idx="51">
                  <c:v>-36220.74819084</c:v>
                </c:pt>
                <c:pt idx="52">
                  <c:v>-35695.812273013333</c:v>
                </c:pt>
                <c:pt idx="53">
                  <c:v>-35170.876355186672</c:v>
                </c:pt>
                <c:pt idx="54">
                  <c:v>-34645.940437359997</c:v>
                </c:pt>
                <c:pt idx="55">
                  <c:v>-34121.004519533337</c:v>
                </c:pt>
                <c:pt idx="56">
                  <c:v>-33596.068601706669</c:v>
                </c:pt>
                <c:pt idx="57">
                  <c:v>-33071.132683880001</c:v>
                </c:pt>
                <c:pt idx="58">
                  <c:v>-32546.196766053334</c:v>
                </c:pt>
                <c:pt idx="59">
                  <c:v>-32021.26084822667</c:v>
                </c:pt>
                <c:pt idx="60">
                  <c:v>-31496.324930400002</c:v>
                </c:pt>
                <c:pt idx="61">
                  <c:v>-30971.389012573334</c:v>
                </c:pt>
                <c:pt idx="62">
                  <c:v>-30446.453094746666</c:v>
                </c:pt>
                <c:pt idx="63">
                  <c:v>-29921.517176920002</c:v>
                </c:pt>
                <c:pt idx="64">
                  <c:v>-29396.581259093335</c:v>
                </c:pt>
                <c:pt idx="65">
                  <c:v>-28871.645341266667</c:v>
                </c:pt>
                <c:pt idx="66">
                  <c:v>-28346.709423439999</c:v>
                </c:pt>
                <c:pt idx="67">
                  <c:v>-27821.773505613332</c:v>
                </c:pt>
                <c:pt idx="68">
                  <c:v>-27296.837587786671</c:v>
                </c:pt>
                <c:pt idx="69">
                  <c:v>-26771.901669960003</c:v>
                </c:pt>
                <c:pt idx="70">
                  <c:v>-26246.965752133336</c:v>
                </c:pt>
                <c:pt idx="71">
                  <c:v>-25722.029834306668</c:v>
                </c:pt>
                <c:pt idx="72">
                  <c:v>-25197.09391648</c:v>
                </c:pt>
                <c:pt idx="73">
                  <c:v>-24672.157998653332</c:v>
                </c:pt>
                <c:pt idx="74">
                  <c:v>-24147.222080826665</c:v>
                </c:pt>
                <c:pt idx="75">
                  <c:v>-23622.286163000004</c:v>
                </c:pt>
                <c:pt idx="76">
                  <c:v>-23097.350245173337</c:v>
                </c:pt>
                <c:pt idx="77">
                  <c:v>-22572.414327346669</c:v>
                </c:pt>
                <c:pt idx="78">
                  <c:v>-22047.478409520001</c:v>
                </c:pt>
                <c:pt idx="79">
                  <c:v>-21522.542491693333</c:v>
                </c:pt>
                <c:pt idx="80">
                  <c:v>-20997.606573866666</c:v>
                </c:pt>
                <c:pt idx="81">
                  <c:v>-20472.670656039998</c:v>
                </c:pt>
                <c:pt idx="82">
                  <c:v>-19947.734738213338</c:v>
                </c:pt>
                <c:pt idx="83">
                  <c:v>-19422.79882038667</c:v>
                </c:pt>
                <c:pt idx="84">
                  <c:v>-18897.862902560002</c:v>
                </c:pt>
                <c:pt idx="85">
                  <c:v>-18372.926984733334</c:v>
                </c:pt>
                <c:pt idx="86">
                  <c:v>-17847.991066906667</c:v>
                </c:pt>
                <c:pt idx="87">
                  <c:v>-17323.055149079999</c:v>
                </c:pt>
                <c:pt idx="88">
                  <c:v>-16798.119231253331</c:v>
                </c:pt>
                <c:pt idx="89">
                  <c:v>-16273.183313426671</c:v>
                </c:pt>
                <c:pt idx="90">
                  <c:v>-15748.247395600003</c:v>
                </c:pt>
                <c:pt idx="91">
                  <c:v>-15223.311477773335</c:v>
                </c:pt>
                <c:pt idx="92">
                  <c:v>-14698.375559946668</c:v>
                </c:pt>
                <c:pt idx="93">
                  <c:v>-14173.43964212</c:v>
                </c:pt>
                <c:pt idx="94">
                  <c:v>-13648.503724293332</c:v>
                </c:pt>
                <c:pt idx="95">
                  <c:v>-13123.567806466664</c:v>
                </c:pt>
                <c:pt idx="96">
                  <c:v>-12598.631888640004</c:v>
                </c:pt>
                <c:pt idx="97">
                  <c:v>-12073.695970813336</c:v>
                </c:pt>
                <c:pt idx="98">
                  <c:v>-11548.760052986669</c:v>
                </c:pt>
                <c:pt idx="99">
                  <c:v>-11023.824135160001</c:v>
                </c:pt>
                <c:pt idx="100">
                  <c:v>-10498.888217333333</c:v>
                </c:pt>
                <c:pt idx="101">
                  <c:v>-9973.9522995066654</c:v>
                </c:pt>
                <c:pt idx="102">
                  <c:v>-9449.0163816799977</c:v>
                </c:pt>
                <c:pt idx="103">
                  <c:v>-8924.08046385333</c:v>
                </c:pt>
                <c:pt idx="104">
                  <c:v>-8399.1445460266696</c:v>
                </c:pt>
                <c:pt idx="105">
                  <c:v>-7874.2086282000018</c:v>
                </c:pt>
                <c:pt idx="106">
                  <c:v>-7349.2727103733341</c:v>
                </c:pt>
                <c:pt idx="107">
                  <c:v>-6824.3367925466664</c:v>
                </c:pt>
                <c:pt idx="108">
                  <c:v>-6299.4008747199987</c:v>
                </c:pt>
                <c:pt idx="109">
                  <c:v>-5774.464956893331</c:v>
                </c:pt>
                <c:pt idx="110">
                  <c:v>-5249.5290390666632</c:v>
                </c:pt>
                <c:pt idx="111">
                  <c:v>-4724.5931212400028</c:v>
                </c:pt>
                <c:pt idx="112">
                  <c:v>-4199.6572034133351</c:v>
                </c:pt>
                <c:pt idx="113">
                  <c:v>-3674.7212855866674</c:v>
                </c:pt>
                <c:pt idx="114">
                  <c:v>-3149.7853677599996</c:v>
                </c:pt>
                <c:pt idx="115">
                  <c:v>-2624.8494499333319</c:v>
                </c:pt>
                <c:pt idx="116">
                  <c:v>-2099.9135321066642</c:v>
                </c:pt>
                <c:pt idx="117">
                  <c:v>-1574.9776142799965</c:v>
                </c:pt>
                <c:pt idx="118">
                  <c:v>-1050.041696453336</c:v>
                </c:pt>
                <c:pt idx="119">
                  <c:v>-512.74583100000154</c:v>
                </c:pt>
                <c:pt idx="120">
                  <c:v>49.269929706666005</c:v>
                </c:pt>
                <c:pt idx="121">
                  <c:v>636.00558566666655</c:v>
                </c:pt>
                <c:pt idx="122">
                  <c:v>1247.4611368800001</c:v>
                </c:pt>
                <c:pt idx="123">
                  <c:v>1871.2766357200001</c:v>
                </c:pt>
                <c:pt idx="124">
                  <c:v>2495.09213456</c:v>
                </c:pt>
                <c:pt idx="125">
                  <c:v>3118.9076334000001</c:v>
                </c:pt>
                <c:pt idx="126">
                  <c:v>3742.7231322399998</c:v>
                </c:pt>
                <c:pt idx="127">
                  <c:v>4366.5386310800004</c:v>
                </c:pt>
                <c:pt idx="128">
                  <c:v>4990.3541299200006</c:v>
                </c:pt>
                <c:pt idx="129">
                  <c:v>5614.1696287600007</c:v>
                </c:pt>
                <c:pt idx="130">
                  <c:v>6237.9851276000009</c:v>
                </c:pt>
                <c:pt idx="131">
                  <c:v>6861.8006264400001</c:v>
                </c:pt>
                <c:pt idx="132">
                  <c:v>7485.6161252800002</c:v>
                </c:pt>
                <c:pt idx="133">
                  <c:v>8109.4316241200004</c:v>
                </c:pt>
                <c:pt idx="134">
                  <c:v>8733.2471229599996</c:v>
                </c:pt>
                <c:pt idx="135">
                  <c:v>9357.0626217999998</c:v>
                </c:pt>
                <c:pt idx="136">
                  <c:v>9980.8781206399999</c:v>
                </c:pt>
                <c:pt idx="137">
                  <c:v>10604.69361948</c:v>
                </c:pt>
                <c:pt idx="138">
                  <c:v>11228.50911832</c:v>
                </c:pt>
                <c:pt idx="139">
                  <c:v>11852.32461716</c:v>
                </c:pt>
                <c:pt idx="140">
                  <c:v>12476.140116</c:v>
                </c:pt>
                <c:pt idx="141">
                  <c:v>13099.955614840001</c:v>
                </c:pt>
                <c:pt idx="142">
                  <c:v>13723.771113679999</c:v>
                </c:pt>
                <c:pt idx="143">
                  <c:v>14347.586612519999</c:v>
                </c:pt>
                <c:pt idx="144">
                  <c:v>14971.402111359999</c:v>
                </c:pt>
                <c:pt idx="145">
                  <c:v>15595.217610199999</c:v>
                </c:pt>
                <c:pt idx="146">
                  <c:v>16219.03310904</c:v>
                </c:pt>
                <c:pt idx="147">
                  <c:v>16842.848607880002</c:v>
                </c:pt>
                <c:pt idx="148">
                  <c:v>17466.66410672</c:v>
                </c:pt>
                <c:pt idx="149">
                  <c:v>18090.479605559998</c:v>
                </c:pt>
                <c:pt idx="150">
                  <c:v>18714.2951044</c:v>
                </c:pt>
                <c:pt idx="151">
                  <c:v>19338.110603239998</c:v>
                </c:pt>
                <c:pt idx="152">
                  <c:v>19961.92610208</c:v>
                </c:pt>
                <c:pt idx="153">
                  <c:v>20585.741600919999</c:v>
                </c:pt>
                <c:pt idx="154">
                  <c:v>21209.557099760001</c:v>
                </c:pt>
                <c:pt idx="155">
                  <c:v>21833.372598599999</c:v>
                </c:pt>
                <c:pt idx="156">
                  <c:v>22457.188097440001</c:v>
                </c:pt>
                <c:pt idx="157">
                  <c:v>23081.003596279999</c:v>
                </c:pt>
                <c:pt idx="158">
                  <c:v>23704.819095120001</c:v>
                </c:pt>
                <c:pt idx="159">
                  <c:v>24328.63459396</c:v>
                </c:pt>
                <c:pt idx="160">
                  <c:v>24952.450092800002</c:v>
                </c:pt>
                <c:pt idx="161">
                  <c:v>25576.26559164</c:v>
                </c:pt>
                <c:pt idx="162">
                  <c:v>26200.081090480002</c:v>
                </c:pt>
                <c:pt idx="163">
                  <c:v>26823.89658932</c:v>
                </c:pt>
                <c:pt idx="164">
                  <c:v>27447.712088159999</c:v>
                </c:pt>
                <c:pt idx="165">
                  <c:v>28071.527587</c:v>
                </c:pt>
                <c:pt idx="166">
                  <c:v>28695.343085839999</c:v>
                </c:pt>
                <c:pt idx="167">
                  <c:v>29319.158584680001</c:v>
                </c:pt>
                <c:pt idx="168">
                  <c:v>29942.974083519999</c:v>
                </c:pt>
                <c:pt idx="169">
                  <c:v>30566.789582360001</c:v>
                </c:pt>
                <c:pt idx="170">
                  <c:v>31190.605081199999</c:v>
                </c:pt>
                <c:pt idx="171">
                  <c:v>31814.420580040001</c:v>
                </c:pt>
                <c:pt idx="172">
                  <c:v>32438.23607888</c:v>
                </c:pt>
                <c:pt idx="173">
                  <c:v>33062.051577719998</c:v>
                </c:pt>
                <c:pt idx="174">
                  <c:v>33685.867076560004</c:v>
                </c:pt>
                <c:pt idx="175">
                  <c:v>34309.682575400002</c:v>
                </c:pt>
                <c:pt idx="176">
                  <c:v>34933.49807424</c:v>
                </c:pt>
                <c:pt idx="177">
                  <c:v>35557.313573079999</c:v>
                </c:pt>
                <c:pt idx="178">
                  <c:v>36181.129071919997</c:v>
                </c:pt>
                <c:pt idx="179">
                  <c:v>36804.944570760003</c:v>
                </c:pt>
                <c:pt idx="180">
                  <c:v>37428.760069600001</c:v>
                </c:pt>
                <c:pt idx="181">
                  <c:v>38052.575568439999</c:v>
                </c:pt>
                <c:pt idx="182">
                  <c:v>38676.391067279998</c:v>
                </c:pt>
                <c:pt idx="183">
                  <c:v>39300.206566120003</c:v>
                </c:pt>
                <c:pt idx="184">
                  <c:v>39924.022064960001</c:v>
                </c:pt>
                <c:pt idx="185">
                  <c:v>40547.8375638</c:v>
                </c:pt>
                <c:pt idx="186">
                  <c:v>41171.653062639998</c:v>
                </c:pt>
                <c:pt idx="187">
                  <c:v>41795.468561480004</c:v>
                </c:pt>
                <c:pt idx="188">
                  <c:v>42419.284060320002</c:v>
                </c:pt>
                <c:pt idx="189">
                  <c:v>43043.09955916</c:v>
                </c:pt>
                <c:pt idx="190">
                  <c:v>43666.915057999999</c:v>
                </c:pt>
                <c:pt idx="191">
                  <c:v>44290.730556840004</c:v>
                </c:pt>
                <c:pt idx="192">
                  <c:v>44914.546055680003</c:v>
                </c:pt>
                <c:pt idx="193">
                  <c:v>45538.361554520001</c:v>
                </c:pt>
                <c:pt idx="194">
                  <c:v>46162.177053359999</c:v>
                </c:pt>
                <c:pt idx="195">
                  <c:v>46785.992552199998</c:v>
                </c:pt>
                <c:pt idx="196">
                  <c:v>47409.808051040003</c:v>
                </c:pt>
                <c:pt idx="197">
                  <c:v>48033.623549880002</c:v>
                </c:pt>
                <c:pt idx="198">
                  <c:v>48657.43904872</c:v>
                </c:pt>
                <c:pt idx="199">
                  <c:v>49281.254547559998</c:v>
                </c:pt>
                <c:pt idx="200">
                  <c:v>49905.070046400004</c:v>
                </c:pt>
                <c:pt idx="201">
                  <c:v>50528.885545240002</c:v>
                </c:pt>
                <c:pt idx="202">
                  <c:v>51152.70104408</c:v>
                </c:pt>
                <c:pt idx="203">
                  <c:v>51776.516542919999</c:v>
                </c:pt>
                <c:pt idx="204">
                  <c:v>52400.332041760004</c:v>
                </c:pt>
                <c:pt idx="205">
                  <c:v>53024.147540600003</c:v>
                </c:pt>
                <c:pt idx="206">
                  <c:v>53647.963039440001</c:v>
                </c:pt>
                <c:pt idx="207">
                  <c:v>54271.778538279999</c:v>
                </c:pt>
                <c:pt idx="208">
                  <c:v>54895.594037119998</c:v>
                </c:pt>
                <c:pt idx="209">
                  <c:v>55519.409535960003</c:v>
                </c:pt>
                <c:pt idx="210">
                  <c:v>56143.225034800002</c:v>
                </c:pt>
                <c:pt idx="211">
                  <c:v>56767.04053364</c:v>
                </c:pt>
                <c:pt idx="212">
                  <c:v>57390.856032479998</c:v>
                </c:pt>
                <c:pt idx="213">
                  <c:v>58014.671531320004</c:v>
                </c:pt>
                <c:pt idx="214">
                  <c:v>58638.487030160002</c:v>
                </c:pt>
                <c:pt idx="215">
                  <c:v>59262.302529000001</c:v>
                </c:pt>
                <c:pt idx="216">
                  <c:v>59886.118027839999</c:v>
                </c:pt>
                <c:pt idx="217">
                  <c:v>60509.933526680004</c:v>
                </c:pt>
                <c:pt idx="218">
                  <c:v>61133.749025520003</c:v>
                </c:pt>
                <c:pt idx="219">
                  <c:v>61757.564524360001</c:v>
                </c:pt>
                <c:pt idx="220">
                  <c:v>62381.380023199999</c:v>
                </c:pt>
                <c:pt idx="221">
                  <c:v>63005.195522039998</c:v>
                </c:pt>
                <c:pt idx="222">
                  <c:v>63629.011020880003</c:v>
                </c:pt>
                <c:pt idx="223">
                  <c:v>64252.826519720002</c:v>
                </c:pt>
                <c:pt idx="224">
                  <c:v>64876.64201856</c:v>
                </c:pt>
                <c:pt idx="225">
                  <c:v>65500.457517399998</c:v>
                </c:pt>
                <c:pt idx="226">
                  <c:v>66124.273016239997</c:v>
                </c:pt>
                <c:pt idx="227">
                  <c:v>66748.088515080002</c:v>
                </c:pt>
                <c:pt idx="228">
                  <c:v>67371.904013920008</c:v>
                </c:pt>
                <c:pt idx="229">
                  <c:v>67995.719512759999</c:v>
                </c:pt>
                <c:pt idx="230">
                  <c:v>68619.535011600005</c:v>
                </c:pt>
                <c:pt idx="231">
                  <c:v>69243.350510439996</c:v>
                </c:pt>
                <c:pt idx="232">
                  <c:v>69867.166009280001</c:v>
                </c:pt>
                <c:pt idx="233">
                  <c:v>70490.981508120007</c:v>
                </c:pt>
                <c:pt idx="234">
                  <c:v>71114.797006959998</c:v>
                </c:pt>
                <c:pt idx="235">
                  <c:v>71738.612505800003</c:v>
                </c:pt>
                <c:pt idx="236">
                  <c:v>72362.428004639994</c:v>
                </c:pt>
                <c:pt idx="237">
                  <c:v>72986.24350348</c:v>
                </c:pt>
                <c:pt idx="238">
                  <c:v>73610.059002320006</c:v>
                </c:pt>
                <c:pt idx="239">
                  <c:v>74233.874501159997</c:v>
                </c:pt>
                <c:pt idx="240">
                  <c:v>74857.69</c:v>
                </c:pt>
                <c:pt idx="241">
                  <c:v>75481.505498840008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'AFR01'!$N$6:$N$138</c:f>
              <c:numCache>
                <c:formatCode>General</c:formatCode>
                <c:ptCount val="133"/>
                <c:pt idx="0">
                  <c:v>30.861388888888889</c:v>
                </c:pt>
                <c:pt idx="1">
                  <c:v>30.878655092592592</c:v>
                </c:pt>
                <c:pt idx="2">
                  <c:v>30.895921296296297</c:v>
                </c:pt>
                <c:pt idx="3">
                  <c:v>30.913187499999999</c:v>
                </c:pt>
                <c:pt idx="4">
                  <c:v>30.930453703703705</c:v>
                </c:pt>
                <c:pt idx="5">
                  <c:v>30.947719907407407</c:v>
                </c:pt>
                <c:pt idx="6">
                  <c:v>30.964986111111113</c:v>
                </c:pt>
                <c:pt idx="7">
                  <c:v>30.982252314814815</c:v>
                </c:pt>
                <c:pt idx="8">
                  <c:v>30.999518518518517</c:v>
                </c:pt>
                <c:pt idx="9">
                  <c:v>31.016784722222223</c:v>
                </c:pt>
                <c:pt idx="10">
                  <c:v>31.034050925925925</c:v>
                </c:pt>
                <c:pt idx="11">
                  <c:v>31.051317129629631</c:v>
                </c:pt>
                <c:pt idx="12">
                  <c:v>31.068583333333333</c:v>
                </c:pt>
                <c:pt idx="13">
                  <c:v>31.085849537037038</c:v>
                </c:pt>
                <c:pt idx="14">
                  <c:v>31.103115740740741</c:v>
                </c:pt>
                <c:pt idx="15">
                  <c:v>31.120381944444446</c:v>
                </c:pt>
                <c:pt idx="16">
                  <c:v>31.137648148148148</c:v>
                </c:pt>
                <c:pt idx="17">
                  <c:v>31.154914351851851</c:v>
                </c:pt>
                <c:pt idx="18">
                  <c:v>31.172180555555556</c:v>
                </c:pt>
                <c:pt idx="19">
                  <c:v>31.189446759259258</c:v>
                </c:pt>
                <c:pt idx="20">
                  <c:v>31.206712962962964</c:v>
                </c:pt>
                <c:pt idx="21">
                  <c:v>31.223979166666666</c:v>
                </c:pt>
                <c:pt idx="22">
                  <c:v>31.241245370370372</c:v>
                </c:pt>
                <c:pt idx="23">
                  <c:v>31.258511574074074</c:v>
                </c:pt>
                <c:pt idx="24">
                  <c:v>31.275777777777776</c:v>
                </c:pt>
                <c:pt idx="25">
                  <c:v>31.293043981481482</c:v>
                </c:pt>
                <c:pt idx="26">
                  <c:v>31.310310185185184</c:v>
                </c:pt>
                <c:pt idx="27">
                  <c:v>31.32757638888889</c:v>
                </c:pt>
                <c:pt idx="28">
                  <c:v>31.344842592592592</c:v>
                </c:pt>
                <c:pt idx="29">
                  <c:v>31.362108796296297</c:v>
                </c:pt>
                <c:pt idx="30">
                  <c:v>31.379375</c:v>
                </c:pt>
                <c:pt idx="31">
                  <c:v>31.396641203703702</c:v>
                </c:pt>
                <c:pt idx="32">
                  <c:v>31.413907407407407</c:v>
                </c:pt>
                <c:pt idx="33">
                  <c:v>31.43117361111111</c:v>
                </c:pt>
                <c:pt idx="34">
                  <c:v>31.448439814814815</c:v>
                </c:pt>
                <c:pt idx="35">
                  <c:v>31.465706018518517</c:v>
                </c:pt>
                <c:pt idx="36">
                  <c:v>31.482972222222223</c:v>
                </c:pt>
                <c:pt idx="37">
                  <c:v>31.500238425925925</c:v>
                </c:pt>
                <c:pt idx="38">
                  <c:v>31.517504629629627</c:v>
                </c:pt>
                <c:pt idx="39">
                  <c:v>31.534770833333333</c:v>
                </c:pt>
                <c:pt idx="40">
                  <c:v>31.552037037037035</c:v>
                </c:pt>
                <c:pt idx="41">
                  <c:v>31.569303240740741</c:v>
                </c:pt>
                <c:pt idx="42">
                  <c:v>31.586569444444443</c:v>
                </c:pt>
                <c:pt idx="43">
                  <c:v>31.603835648148149</c:v>
                </c:pt>
                <c:pt idx="44">
                  <c:v>31.621101851851851</c:v>
                </c:pt>
                <c:pt idx="45">
                  <c:v>31.638368055555553</c:v>
                </c:pt>
                <c:pt idx="46">
                  <c:v>31.655634259259259</c:v>
                </c:pt>
                <c:pt idx="47">
                  <c:v>31.672900462962961</c:v>
                </c:pt>
                <c:pt idx="48">
                  <c:v>31.690166666666666</c:v>
                </c:pt>
                <c:pt idx="49">
                  <c:v>31.707432870370369</c:v>
                </c:pt>
                <c:pt idx="50">
                  <c:v>31.724699074074074</c:v>
                </c:pt>
                <c:pt idx="51">
                  <c:v>31.741965277777776</c:v>
                </c:pt>
                <c:pt idx="52">
                  <c:v>31.759231481481482</c:v>
                </c:pt>
                <c:pt idx="53">
                  <c:v>31.776497685185184</c:v>
                </c:pt>
                <c:pt idx="54">
                  <c:v>31.793763888888886</c:v>
                </c:pt>
                <c:pt idx="55">
                  <c:v>31.811030092592592</c:v>
                </c:pt>
                <c:pt idx="56">
                  <c:v>31.828296296296294</c:v>
                </c:pt>
                <c:pt idx="57">
                  <c:v>31.8455625</c:v>
                </c:pt>
                <c:pt idx="58">
                  <c:v>31.862828703703702</c:v>
                </c:pt>
                <c:pt idx="59">
                  <c:v>31.880094907407408</c:v>
                </c:pt>
                <c:pt idx="60">
                  <c:v>31.89736111111111</c:v>
                </c:pt>
                <c:pt idx="61">
                  <c:v>31.914627314814812</c:v>
                </c:pt>
                <c:pt idx="62">
                  <c:v>31.931893518518518</c:v>
                </c:pt>
                <c:pt idx="63">
                  <c:v>31.94915972222222</c:v>
                </c:pt>
                <c:pt idx="64">
                  <c:v>31.966425925925925</c:v>
                </c:pt>
                <c:pt idx="65">
                  <c:v>31.983692129629627</c:v>
                </c:pt>
                <c:pt idx="66">
                  <c:v>32.00095833333333</c:v>
                </c:pt>
                <c:pt idx="67">
                  <c:v>32.018224537037035</c:v>
                </c:pt>
                <c:pt idx="68">
                  <c:v>32.035490740740741</c:v>
                </c:pt>
                <c:pt idx="69">
                  <c:v>32.05275694444444</c:v>
                </c:pt>
                <c:pt idx="70">
                  <c:v>32.070023148148145</c:v>
                </c:pt>
                <c:pt idx="71">
                  <c:v>32.087289351851851</c:v>
                </c:pt>
                <c:pt idx="72">
                  <c:v>32.104555555555557</c:v>
                </c:pt>
                <c:pt idx="73">
                  <c:v>32.121821759259255</c:v>
                </c:pt>
                <c:pt idx="74">
                  <c:v>32.139087962962961</c:v>
                </c:pt>
                <c:pt idx="75">
                  <c:v>32.156354166666667</c:v>
                </c:pt>
                <c:pt idx="76">
                  <c:v>32.173620370370365</c:v>
                </c:pt>
                <c:pt idx="77">
                  <c:v>32.190886574074071</c:v>
                </c:pt>
                <c:pt idx="78">
                  <c:v>32.208152777777777</c:v>
                </c:pt>
                <c:pt idx="79">
                  <c:v>32.225418981481482</c:v>
                </c:pt>
                <c:pt idx="80">
                  <c:v>32.242685185185181</c:v>
                </c:pt>
                <c:pt idx="81">
                  <c:v>32.259951388888886</c:v>
                </c:pt>
                <c:pt idx="82">
                  <c:v>32.277217592592592</c:v>
                </c:pt>
                <c:pt idx="83">
                  <c:v>32.294483796296291</c:v>
                </c:pt>
                <c:pt idx="84">
                  <c:v>32.311749999999996</c:v>
                </c:pt>
                <c:pt idx="85">
                  <c:v>32.329016203703702</c:v>
                </c:pt>
                <c:pt idx="86">
                  <c:v>32.346282407407408</c:v>
                </c:pt>
                <c:pt idx="87">
                  <c:v>32.363548611111106</c:v>
                </c:pt>
                <c:pt idx="88">
                  <c:v>32.380814814814812</c:v>
                </c:pt>
                <c:pt idx="89">
                  <c:v>32.398081018518518</c:v>
                </c:pt>
                <c:pt idx="90">
                  <c:v>32.415347222222223</c:v>
                </c:pt>
                <c:pt idx="91">
                  <c:v>32.432613425925922</c:v>
                </c:pt>
                <c:pt idx="92">
                  <c:v>32.449879629629628</c:v>
                </c:pt>
                <c:pt idx="93">
                  <c:v>32.467145833333333</c:v>
                </c:pt>
                <c:pt idx="94">
                  <c:v>32.484412037037032</c:v>
                </c:pt>
                <c:pt idx="95">
                  <c:v>32.501678240740738</c:v>
                </c:pt>
                <c:pt idx="96">
                  <c:v>32.518944444444443</c:v>
                </c:pt>
                <c:pt idx="97">
                  <c:v>32.536210648148142</c:v>
                </c:pt>
                <c:pt idx="98">
                  <c:v>32.553476851851848</c:v>
                </c:pt>
                <c:pt idx="99">
                  <c:v>32.570743055555553</c:v>
                </c:pt>
                <c:pt idx="100">
                  <c:v>32.588009259259259</c:v>
                </c:pt>
                <c:pt idx="101">
                  <c:v>32.605275462962958</c:v>
                </c:pt>
                <c:pt idx="102">
                  <c:v>32.622541666666663</c:v>
                </c:pt>
                <c:pt idx="103">
                  <c:v>32.639807870370369</c:v>
                </c:pt>
                <c:pt idx="104">
                  <c:v>32.657074074074075</c:v>
                </c:pt>
                <c:pt idx="105">
                  <c:v>32.674340277777773</c:v>
                </c:pt>
                <c:pt idx="106">
                  <c:v>32.691606481481479</c:v>
                </c:pt>
                <c:pt idx="107">
                  <c:v>32.708872685185185</c:v>
                </c:pt>
                <c:pt idx="108">
                  <c:v>32.726138888888883</c:v>
                </c:pt>
                <c:pt idx="109">
                  <c:v>32.743405092592589</c:v>
                </c:pt>
                <c:pt idx="110">
                  <c:v>32.760671296296294</c:v>
                </c:pt>
                <c:pt idx="111">
                  <c:v>32.7779375</c:v>
                </c:pt>
                <c:pt idx="112">
                  <c:v>32.795203703703699</c:v>
                </c:pt>
                <c:pt idx="113">
                  <c:v>32.812469907407404</c:v>
                </c:pt>
                <c:pt idx="114">
                  <c:v>32.82973611111111</c:v>
                </c:pt>
                <c:pt idx="115">
                  <c:v>32.847002314814809</c:v>
                </c:pt>
                <c:pt idx="116">
                  <c:v>32.864268518518514</c:v>
                </c:pt>
                <c:pt idx="117">
                  <c:v>32.88153472222222</c:v>
                </c:pt>
                <c:pt idx="118">
                  <c:v>32.898800925925926</c:v>
                </c:pt>
                <c:pt idx="119">
                  <c:v>32.915992187499995</c:v>
                </c:pt>
                <c:pt idx="120">
                  <c:v>32.933033564814814</c:v>
                </c:pt>
                <c:pt idx="121">
                  <c:v>32.94992505787036</c:v>
                </c:pt>
                <c:pt idx="122">
                  <c:v>32.966666666666661</c:v>
                </c:pt>
                <c:pt idx="123">
                  <c:v>32.983333333333327</c:v>
                </c:pt>
                <c:pt idx="124">
                  <c:v>33</c:v>
                </c:pt>
                <c:pt idx="125">
                  <c:v>33.016666666666666</c:v>
                </c:pt>
                <c:pt idx="126">
                  <c:v>33.033333333333331</c:v>
                </c:pt>
                <c:pt idx="127">
                  <c:v>33.049999999999997</c:v>
                </c:pt>
                <c:pt idx="128">
                  <c:v>33.066666666666663</c:v>
                </c:pt>
                <c:pt idx="129">
                  <c:v>33.083333333333329</c:v>
                </c:pt>
                <c:pt idx="130">
                  <c:v>33.099999999999994</c:v>
                </c:pt>
                <c:pt idx="131">
                  <c:v>33.11666666666666</c:v>
                </c:pt>
                <c:pt idx="132">
                  <c:v>33.133333333333333</c:v>
                </c:pt>
              </c:numCache>
            </c:numRef>
          </c:xVal>
          <c:yVal>
            <c:numRef>
              <c:f>'AFR01'!$M$6:$M$138</c:f>
              <c:numCache>
                <c:formatCode>General</c:formatCode>
                <c:ptCount val="133"/>
                <c:pt idx="0">
                  <c:v>55.28</c:v>
                </c:pt>
                <c:pt idx="1">
                  <c:v>55.284750000000003</c:v>
                </c:pt>
                <c:pt idx="2">
                  <c:v>55.289500000000004</c:v>
                </c:pt>
                <c:pt idx="3">
                  <c:v>55.294249999999998</c:v>
                </c:pt>
                <c:pt idx="4">
                  <c:v>55.298999999999999</c:v>
                </c:pt>
                <c:pt idx="5">
                  <c:v>55.303750000000001</c:v>
                </c:pt>
                <c:pt idx="6">
                  <c:v>55.308500000000002</c:v>
                </c:pt>
                <c:pt idx="7">
                  <c:v>55.313250000000004</c:v>
                </c:pt>
                <c:pt idx="8">
                  <c:v>55.317999999999998</c:v>
                </c:pt>
                <c:pt idx="9">
                  <c:v>55.322749999999999</c:v>
                </c:pt>
                <c:pt idx="10">
                  <c:v>55.327500000000001</c:v>
                </c:pt>
                <c:pt idx="11">
                  <c:v>55.332250000000002</c:v>
                </c:pt>
                <c:pt idx="12">
                  <c:v>55.337000000000003</c:v>
                </c:pt>
                <c:pt idx="13">
                  <c:v>55.341750000000005</c:v>
                </c:pt>
                <c:pt idx="14">
                  <c:v>55.346499999999999</c:v>
                </c:pt>
                <c:pt idx="15">
                  <c:v>55.35125</c:v>
                </c:pt>
                <c:pt idx="16">
                  <c:v>55.356000000000002</c:v>
                </c:pt>
                <c:pt idx="17">
                  <c:v>55.360750000000003</c:v>
                </c:pt>
                <c:pt idx="18">
                  <c:v>55.365500000000004</c:v>
                </c:pt>
                <c:pt idx="19">
                  <c:v>55.370249999999999</c:v>
                </c:pt>
                <c:pt idx="20">
                  <c:v>55.375</c:v>
                </c:pt>
                <c:pt idx="21">
                  <c:v>55.379750000000001</c:v>
                </c:pt>
                <c:pt idx="22">
                  <c:v>55.384500000000003</c:v>
                </c:pt>
                <c:pt idx="23">
                  <c:v>55.389250000000004</c:v>
                </c:pt>
                <c:pt idx="24">
                  <c:v>55.393999999999998</c:v>
                </c:pt>
                <c:pt idx="25">
                  <c:v>55.39875</c:v>
                </c:pt>
                <c:pt idx="26">
                  <c:v>55.403500000000001</c:v>
                </c:pt>
                <c:pt idx="27">
                  <c:v>55.408250000000002</c:v>
                </c:pt>
                <c:pt idx="28">
                  <c:v>55.413000000000004</c:v>
                </c:pt>
                <c:pt idx="29">
                  <c:v>55.417749999999998</c:v>
                </c:pt>
                <c:pt idx="30">
                  <c:v>55.422499999999999</c:v>
                </c:pt>
                <c:pt idx="31">
                  <c:v>55.427250000000001</c:v>
                </c:pt>
                <c:pt idx="32">
                  <c:v>55.432000000000002</c:v>
                </c:pt>
                <c:pt idx="33">
                  <c:v>55.436750000000004</c:v>
                </c:pt>
                <c:pt idx="34">
                  <c:v>55.441499999999998</c:v>
                </c:pt>
                <c:pt idx="35">
                  <c:v>55.446249999999999</c:v>
                </c:pt>
                <c:pt idx="36">
                  <c:v>55.451000000000001</c:v>
                </c:pt>
                <c:pt idx="37">
                  <c:v>55.455750000000002</c:v>
                </c:pt>
                <c:pt idx="38">
                  <c:v>55.460500000000003</c:v>
                </c:pt>
                <c:pt idx="39">
                  <c:v>55.465250000000005</c:v>
                </c:pt>
                <c:pt idx="40">
                  <c:v>55.47</c:v>
                </c:pt>
                <c:pt idx="41">
                  <c:v>55.47475</c:v>
                </c:pt>
                <c:pt idx="42">
                  <c:v>55.479500000000002</c:v>
                </c:pt>
                <c:pt idx="43">
                  <c:v>55.484250000000003</c:v>
                </c:pt>
                <c:pt idx="44">
                  <c:v>55.489000000000004</c:v>
                </c:pt>
                <c:pt idx="45">
                  <c:v>55.493749999999999</c:v>
                </c:pt>
                <c:pt idx="46">
                  <c:v>55.4985</c:v>
                </c:pt>
                <c:pt idx="47">
                  <c:v>55.503250000000001</c:v>
                </c:pt>
                <c:pt idx="48">
                  <c:v>55.508000000000003</c:v>
                </c:pt>
                <c:pt idx="49">
                  <c:v>55.512750000000004</c:v>
                </c:pt>
                <c:pt idx="50">
                  <c:v>55.517499999999998</c:v>
                </c:pt>
                <c:pt idx="51">
                  <c:v>55.52225</c:v>
                </c:pt>
                <c:pt idx="52">
                  <c:v>55.527000000000001</c:v>
                </c:pt>
                <c:pt idx="53">
                  <c:v>55.531750000000002</c:v>
                </c:pt>
                <c:pt idx="54">
                  <c:v>55.536500000000004</c:v>
                </c:pt>
                <c:pt idx="55">
                  <c:v>55.541249999999998</c:v>
                </c:pt>
                <c:pt idx="56">
                  <c:v>55.545999999999999</c:v>
                </c:pt>
                <c:pt idx="57">
                  <c:v>55.550750000000001</c:v>
                </c:pt>
                <c:pt idx="58">
                  <c:v>55.555500000000002</c:v>
                </c:pt>
                <c:pt idx="59">
                  <c:v>55.560250000000003</c:v>
                </c:pt>
                <c:pt idx="60">
                  <c:v>55.564999999999998</c:v>
                </c:pt>
                <c:pt idx="61">
                  <c:v>55.569749999999999</c:v>
                </c:pt>
                <c:pt idx="62">
                  <c:v>55.5745</c:v>
                </c:pt>
                <c:pt idx="63">
                  <c:v>55.579250000000002</c:v>
                </c:pt>
                <c:pt idx="64">
                  <c:v>55.584000000000003</c:v>
                </c:pt>
                <c:pt idx="65">
                  <c:v>55.588750000000005</c:v>
                </c:pt>
                <c:pt idx="66">
                  <c:v>55.593499999999999</c:v>
                </c:pt>
                <c:pt idx="67">
                  <c:v>55.59825</c:v>
                </c:pt>
                <c:pt idx="68">
                  <c:v>55.603000000000002</c:v>
                </c:pt>
                <c:pt idx="69">
                  <c:v>55.607750000000003</c:v>
                </c:pt>
                <c:pt idx="70">
                  <c:v>55.612500000000004</c:v>
                </c:pt>
                <c:pt idx="71">
                  <c:v>55.617249999999999</c:v>
                </c:pt>
                <c:pt idx="72">
                  <c:v>55.622</c:v>
                </c:pt>
                <c:pt idx="73">
                  <c:v>55.626750000000001</c:v>
                </c:pt>
                <c:pt idx="74">
                  <c:v>55.631500000000003</c:v>
                </c:pt>
                <c:pt idx="75">
                  <c:v>55.636250000000004</c:v>
                </c:pt>
                <c:pt idx="76">
                  <c:v>55.640999999999998</c:v>
                </c:pt>
                <c:pt idx="77">
                  <c:v>55.64575</c:v>
                </c:pt>
                <c:pt idx="78">
                  <c:v>55.650500000000001</c:v>
                </c:pt>
                <c:pt idx="79">
                  <c:v>55.655250000000002</c:v>
                </c:pt>
                <c:pt idx="80">
                  <c:v>55.660000000000004</c:v>
                </c:pt>
                <c:pt idx="81">
                  <c:v>55.664749999999998</c:v>
                </c:pt>
                <c:pt idx="82">
                  <c:v>55.669499999999999</c:v>
                </c:pt>
                <c:pt idx="83">
                  <c:v>55.674250000000001</c:v>
                </c:pt>
                <c:pt idx="84">
                  <c:v>55.679000000000002</c:v>
                </c:pt>
                <c:pt idx="85">
                  <c:v>55.683750000000003</c:v>
                </c:pt>
                <c:pt idx="86">
                  <c:v>55.688500000000005</c:v>
                </c:pt>
                <c:pt idx="87">
                  <c:v>55.693249999999999</c:v>
                </c:pt>
                <c:pt idx="88">
                  <c:v>55.698</c:v>
                </c:pt>
                <c:pt idx="89">
                  <c:v>55.702750000000002</c:v>
                </c:pt>
                <c:pt idx="90">
                  <c:v>55.707500000000003</c:v>
                </c:pt>
                <c:pt idx="91">
                  <c:v>55.712250000000004</c:v>
                </c:pt>
                <c:pt idx="92">
                  <c:v>55.716999999999999</c:v>
                </c:pt>
                <c:pt idx="93">
                  <c:v>55.72175</c:v>
                </c:pt>
                <c:pt idx="94">
                  <c:v>55.726500000000001</c:v>
                </c:pt>
                <c:pt idx="95">
                  <c:v>55.731250000000003</c:v>
                </c:pt>
                <c:pt idx="96">
                  <c:v>55.736000000000004</c:v>
                </c:pt>
                <c:pt idx="97">
                  <c:v>55.740749999999998</c:v>
                </c:pt>
                <c:pt idx="98">
                  <c:v>55.7455</c:v>
                </c:pt>
                <c:pt idx="99">
                  <c:v>55.750250000000001</c:v>
                </c:pt>
                <c:pt idx="100">
                  <c:v>55.755000000000003</c:v>
                </c:pt>
                <c:pt idx="101">
                  <c:v>55.759750000000004</c:v>
                </c:pt>
                <c:pt idx="102">
                  <c:v>55.764499999999998</c:v>
                </c:pt>
                <c:pt idx="103">
                  <c:v>55.76925</c:v>
                </c:pt>
                <c:pt idx="104">
                  <c:v>55.774000000000001</c:v>
                </c:pt>
                <c:pt idx="105">
                  <c:v>55.778750000000002</c:v>
                </c:pt>
                <c:pt idx="106">
                  <c:v>55.783500000000004</c:v>
                </c:pt>
                <c:pt idx="107">
                  <c:v>55.788249999999998</c:v>
                </c:pt>
                <c:pt idx="108">
                  <c:v>55.792999999999999</c:v>
                </c:pt>
                <c:pt idx="109">
                  <c:v>55.797750000000001</c:v>
                </c:pt>
                <c:pt idx="110">
                  <c:v>55.802500000000002</c:v>
                </c:pt>
                <c:pt idx="111">
                  <c:v>55.807250000000003</c:v>
                </c:pt>
                <c:pt idx="112">
                  <c:v>55.812000000000005</c:v>
                </c:pt>
                <c:pt idx="113">
                  <c:v>55.816749999999999</c:v>
                </c:pt>
                <c:pt idx="114">
                  <c:v>55.8215</c:v>
                </c:pt>
                <c:pt idx="115">
                  <c:v>55.826250000000002</c:v>
                </c:pt>
                <c:pt idx="116">
                  <c:v>55.831000000000003</c:v>
                </c:pt>
                <c:pt idx="117">
                  <c:v>55.835750000000004</c:v>
                </c:pt>
                <c:pt idx="118">
                  <c:v>55.840499999999999</c:v>
                </c:pt>
                <c:pt idx="119">
                  <c:v>55.845350694444448</c:v>
                </c:pt>
                <c:pt idx="120">
                  <c:v>55.850402777777781</c:v>
                </c:pt>
                <c:pt idx="121">
                  <c:v>55.855656250000003</c:v>
                </c:pt>
                <c:pt idx="122">
                  <c:v>55.861111111111114</c:v>
                </c:pt>
                <c:pt idx="123">
                  <c:v>55.866666666666667</c:v>
                </c:pt>
                <c:pt idx="124">
                  <c:v>55.87222222222222</c:v>
                </c:pt>
                <c:pt idx="125">
                  <c:v>55.87777777777778</c:v>
                </c:pt>
                <c:pt idx="126">
                  <c:v>55.883333333333333</c:v>
                </c:pt>
                <c:pt idx="127">
                  <c:v>55.888888888888893</c:v>
                </c:pt>
                <c:pt idx="128">
                  <c:v>55.894444444444446</c:v>
                </c:pt>
                <c:pt idx="129">
                  <c:v>55.9</c:v>
                </c:pt>
                <c:pt idx="130">
                  <c:v>55.905555555555559</c:v>
                </c:pt>
                <c:pt idx="131">
                  <c:v>55.911111111111111</c:v>
                </c:pt>
                <c:pt idx="132">
                  <c:v>55.916666666666671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C-4CAC-AE23-8FB5CC9EF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'AFR01'!$E$120:$E$132</c:f>
              <c:numCache>
                <c:formatCode>General</c:formatCode>
                <c:ptCount val="13"/>
                <c:pt idx="0">
                  <c:v>-6473.5967419299996</c:v>
                </c:pt>
                <c:pt idx="1">
                  <c:v>-5394.6186431750102</c:v>
                </c:pt>
                <c:pt idx="2">
                  <c:v>-4315.6405444200063</c:v>
                </c:pt>
                <c:pt idx="3">
                  <c:v>-3236.6624456650025</c:v>
                </c:pt>
                <c:pt idx="4">
                  <c:v>-2157.6843469099986</c:v>
                </c:pt>
                <c:pt idx="5">
                  <c:v>-1083.3902520104159</c:v>
                </c:pt>
                <c:pt idx="6">
                  <c:v>-18.464164821666259</c:v>
                </c:pt>
                <c:pt idx="7">
                  <c:v>1037.09391465625</c:v>
                </c:pt>
                <c:pt idx="8">
                  <c:v>2083.2839864233333</c:v>
                </c:pt>
                <c:pt idx="9">
                  <c:v>3124.7900543350001</c:v>
                </c:pt>
                <c:pt idx="10">
                  <c:v>4166.2961222466665</c:v>
                </c:pt>
                <c:pt idx="11">
                  <c:v>5207.8021901583334</c:v>
                </c:pt>
                <c:pt idx="12">
                  <c:v>6249.3082580700002</c:v>
                </c:pt>
              </c:numCache>
            </c:numRef>
          </c:xVal>
          <c:yVal>
            <c:numRef>
              <c:f>'AFR01'!$F$120:$F$132</c:f>
              <c:numCache>
                <c:formatCode>General</c:formatCode>
                <c:ptCount val="13"/>
                <c:pt idx="0">
                  <c:v>-3149.7853677599996</c:v>
                </c:pt>
                <c:pt idx="1">
                  <c:v>-2624.8494499333319</c:v>
                </c:pt>
                <c:pt idx="2">
                  <c:v>-2099.9135321066642</c:v>
                </c:pt>
                <c:pt idx="3">
                  <c:v>-1574.9776142799965</c:v>
                </c:pt>
                <c:pt idx="4">
                  <c:v>-1050.041696453336</c:v>
                </c:pt>
                <c:pt idx="5">
                  <c:v>-512.74583100000154</c:v>
                </c:pt>
                <c:pt idx="6">
                  <c:v>49.269929706666005</c:v>
                </c:pt>
                <c:pt idx="7">
                  <c:v>636.00558566666655</c:v>
                </c:pt>
                <c:pt idx="8">
                  <c:v>1247.4611368800001</c:v>
                </c:pt>
                <c:pt idx="9">
                  <c:v>1871.2766357200001</c:v>
                </c:pt>
                <c:pt idx="10">
                  <c:v>2495.09213456</c:v>
                </c:pt>
                <c:pt idx="11">
                  <c:v>3118.9076334000001</c:v>
                </c:pt>
                <c:pt idx="12">
                  <c:v>3742.7231322399998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9-4901-9851-DC7CCF52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'GZP155'!$E$2:$E$4</c:f>
              <c:numCache>
                <c:formatCode>General</c:formatCode>
                <c:ptCount val="3"/>
                <c:pt idx="0">
                  <c:v>147130</c:v>
                </c:pt>
                <c:pt idx="1">
                  <c:v>78702.880000000005</c:v>
                </c:pt>
                <c:pt idx="2">
                  <c:v>-116058.5</c:v>
                </c:pt>
              </c:numCache>
            </c:numRef>
          </c:xVal>
          <c:yVal>
            <c:numRef>
              <c:f>'GZP155'!$F$2:$F$4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47915.05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'GZP155'!$E$6:$E$247</c:f>
              <c:numCache>
                <c:formatCode>General</c:formatCode>
                <c:ptCount val="242"/>
                <c:pt idx="0">
                  <c:v>147130</c:v>
                </c:pt>
                <c:pt idx="1">
                  <c:v>145989.54800000001</c:v>
                </c:pt>
                <c:pt idx="2">
                  <c:v>144849.09599999999</c:v>
                </c:pt>
                <c:pt idx="3">
                  <c:v>143708.644</c:v>
                </c:pt>
                <c:pt idx="4">
                  <c:v>142568.19200000001</c:v>
                </c:pt>
                <c:pt idx="5">
                  <c:v>141427.74</c:v>
                </c:pt>
                <c:pt idx="6">
                  <c:v>140287.288</c:v>
                </c:pt>
                <c:pt idx="7">
                  <c:v>139146.83600000001</c:v>
                </c:pt>
                <c:pt idx="8">
                  <c:v>138006.38399999999</c:v>
                </c:pt>
                <c:pt idx="9">
                  <c:v>136865.932</c:v>
                </c:pt>
                <c:pt idx="10">
                  <c:v>135725.48000000001</c:v>
                </c:pt>
                <c:pt idx="11">
                  <c:v>134585.02799999999</c:v>
                </c:pt>
                <c:pt idx="12">
                  <c:v>133444.576</c:v>
                </c:pt>
                <c:pt idx="13">
                  <c:v>132304.12400000001</c:v>
                </c:pt>
                <c:pt idx="14">
                  <c:v>131163.67199999999</c:v>
                </c:pt>
                <c:pt idx="15">
                  <c:v>130023.22</c:v>
                </c:pt>
                <c:pt idx="16">
                  <c:v>128882.768</c:v>
                </c:pt>
                <c:pt idx="17">
                  <c:v>127742.31600000001</c:v>
                </c:pt>
                <c:pt idx="18">
                  <c:v>126601.864</c:v>
                </c:pt>
                <c:pt idx="19">
                  <c:v>125461.412</c:v>
                </c:pt>
                <c:pt idx="20">
                  <c:v>124320.96000000001</c:v>
                </c:pt>
                <c:pt idx="21">
                  <c:v>123180.508</c:v>
                </c:pt>
                <c:pt idx="22">
                  <c:v>122040.056</c:v>
                </c:pt>
                <c:pt idx="23">
                  <c:v>120899.60400000001</c:v>
                </c:pt>
                <c:pt idx="24">
                  <c:v>119759.152</c:v>
                </c:pt>
                <c:pt idx="25">
                  <c:v>118618.7</c:v>
                </c:pt>
                <c:pt idx="26">
                  <c:v>117478.24800000001</c:v>
                </c:pt>
                <c:pt idx="27">
                  <c:v>116337.796</c:v>
                </c:pt>
                <c:pt idx="28">
                  <c:v>115197.344</c:v>
                </c:pt>
                <c:pt idx="29">
                  <c:v>114056.89199999999</c:v>
                </c:pt>
                <c:pt idx="30">
                  <c:v>112916.44</c:v>
                </c:pt>
                <c:pt idx="31">
                  <c:v>111775.98800000001</c:v>
                </c:pt>
                <c:pt idx="32">
                  <c:v>110635.53599999999</c:v>
                </c:pt>
                <c:pt idx="33">
                  <c:v>109495.084</c:v>
                </c:pt>
                <c:pt idx="34">
                  <c:v>108354.63200000001</c:v>
                </c:pt>
                <c:pt idx="35">
                  <c:v>107214.18</c:v>
                </c:pt>
                <c:pt idx="36">
                  <c:v>106073.728</c:v>
                </c:pt>
                <c:pt idx="37">
                  <c:v>104933.27600000001</c:v>
                </c:pt>
                <c:pt idx="38">
                  <c:v>103792.82399999999</c:v>
                </c:pt>
                <c:pt idx="39">
                  <c:v>102652.372</c:v>
                </c:pt>
                <c:pt idx="40">
                  <c:v>101511.92000000001</c:v>
                </c:pt>
                <c:pt idx="41">
                  <c:v>100371.46799999999</c:v>
                </c:pt>
                <c:pt idx="42">
                  <c:v>99231.016000000003</c:v>
                </c:pt>
                <c:pt idx="43">
                  <c:v>98090.564000000013</c:v>
                </c:pt>
                <c:pt idx="44">
                  <c:v>96950.111999999994</c:v>
                </c:pt>
                <c:pt idx="45">
                  <c:v>95809.66</c:v>
                </c:pt>
                <c:pt idx="46">
                  <c:v>94669.208000000013</c:v>
                </c:pt>
                <c:pt idx="47">
                  <c:v>93528.755999999994</c:v>
                </c:pt>
                <c:pt idx="48">
                  <c:v>92388.304000000004</c:v>
                </c:pt>
                <c:pt idx="49">
                  <c:v>91247.852000000014</c:v>
                </c:pt>
                <c:pt idx="50">
                  <c:v>90107.4</c:v>
                </c:pt>
                <c:pt idx="51">
                  <c:v>88966.948000000004</c:v>
                </c:pt>
                <c:pt idx="52">
                  <c:v>87826.496000000014</c:v>
                </c:pt>
                <c:pt idx="53">
                  <c:v>86686.043999999994</c:v>
                </c:pt>
                <c:pt idx="54">
                  <c:v>85545.592000000004</c:v>
                </c:pt>
                <c:pt idx="55">
                  <c:v>84405.140000000014</c:v>
                </c:pt>
                <c:pt idx="56">
                  <c:v>83264.687999999995</c:v>
                </c:pt>
                <c:pt idx="57">
                  <c:v>82124.236000000004</c:v>
                </c:pt>
                <c:pt idx="58">
                  <c:v>80983.784</c:v>
                </c:pt>
                <c:pt idx="59">
                  <c:v>79840.976758928577</c:v>
                </c:pt>
                <c:pt idx="60">
                  <c:v>78693.459035714288</c:v>
                </c:pt>
                <c:pt idx="61">
                  <c:v>77541.230830357148</c:v>
                </c:pt>
                <c:pt idx="62">
                  <c:v>76384.292142857143</c:v>
                </c:pt>
                <c:pt idx="63">
                  <c:v>75224.998214285719</c:v>
                </c:pt>
                <c:pt idx="64">
                  <c:v>74065.704285714295</c:v>
                </c:pt>
                <c:pt idx="65">
                  <c:v>72906.410357142857</c:v>
                </c:pt>
                <c:pt idx="66">
                  <c:v>71747.116428571433</c:v>
                </c:pt>
                <c:pt idx="67">
                  <c:v>70587.822500000009</c:v>
                </c:pt>
                <c:pt idx="68">
                  <c:v>69428.528571428571</c:v>
                </c:pt>
                <c:pt idx="69">
                  <c:v>68269.234642857147</c:v>
                </c:pt>
                <c:pt idx="70">
                  <c:v>67109.940714285724</c:v>
                </c:pt>
                <c:pt idx="71">
                  <c:v>65950.646785714285</c:v>
                </c:pt>
                <c:pt idx="72">
                  <c:v>64791.352857142861</c:v>
                </c:pt>
                <c:pt idx="73">
                  <c:v>63632.05892857143</c:v>
                </c:pt>
                <c:pt idx="74">
                  <c:v>62472.765000000007</c:v>
                </c:pt>
                <c:pt idx="75">
                  <c:v>61313.471071428576</c:v>
                </c:pt>
                <c:pt idx="76">
                  <c:v>60154.177142857152</c:v>
                </c:pt>
                <c:pt idx="77">
                  <c:v>58994.883214285714</c:v>
                </c:pt>
                <c:pt idx="78">
                  <c:v>57835.58928571429</c:v>
                </c:pt>
                <c:pt idx="79">
                  <c:v>56676.295357142866</c:v>
                </c:pt>
                <c:pt idx="80">
                  <c:v>55517.001428571428</c:v>
                </c:pt>
                <c:pt idx="81">
                  <c:v>54357.707500000004</c:v>
                </c:pt>
                <c:pt idx="82">
                  <c:v>53198.41357142858</c:v>
                </c:pt>
                <c:pt idx="83">
                  <c:v>52039.119642857142</c:v>
                </c:pt>
                <c:pt idx="84">
                  <c:v>50879.825714285718</c:v>
                </c:pt>
                <c:pt idx="85">
                  <c:v>49720.531785714295</c:v>
                </c:pt>
                <c:pt idx="86">
                  <c:v>48561.237857142856</c:v>
                </c:pt>
                <c:pt idx="87">
                  <c:v>47401.943928571432</c:v>
                </c:pt>
                <c:pt idx="88">
                  <c:v>46242.650000000009</c:v>
                </c:pt>
                <c:pt idx="89">
                  <c:v>45083.356071428578</c:v>
                </c:pt>
                <c:pt idx="90">
                  <c:v>43924.062142857147</c:v>
                </c:pt>
                <c:pt idx="91">
                  <c:v>42764.768214285716</c:v>
                </c:pt>
                <c:pt idx="92">
                  <c:v>41605.474285714292</c:v>
                </c:pt>
                <c:pt idx="93">
                  <c:v>40446.180357142861</c:v>
                </c:pt>
                <c:pt idx="94">
                  <c:v>39286.88642857143</c:v>
                </c:pt>
                <c:pt idx="95">
                  <c:v>38127.592500000006</c:v>
                </c:pt>
                <c:pt idx="96">
                  <c:v>36968.298571428575</c:v>
                </c:pt>
                <c:pt idx="97">
                  <c:v>35809.004642857144</c:v>
                </c:pt>
                <c:pt idx="98">
                  <c:v>34649.71071428572</c:v>
                </c:pt>
                <c:pt idx="99">
                  <c:v>33490.416785714289</c:v>
                </c:pt>
                <c:pt idx="100">
                  <c:v>32331.122857142858</c:v>
                </c:pt>
                <c:pt idx="101">
                  <c:v>31171.828928571435</c:v>
                </c:pt>
                <c:pt idx="102">
                  <c:v>30012.535000000003</c:v>
                </c:pt>
                <c:pt idx="103">
                  <c:v>28853.241071428572</c:v>
                </c:pt>
                <c:pt idx="104">
                  <c:v>27693.947142857149</c:v>
                </c:pt>
                <c:pt idx="105">
                  <c:v>26534.653214285718</c:v>
                </c:pt>
                <c:pt idx="106">
                  <c:v>25375.359285714287</c:v>
                </c:pt>
                <c:pt idx="107">
                  <c:v>24216.065357142863</c:v>
                </c:pt>
                <c:pt idx="108">
                  <c:v>23056.771428571432</c:v>
                </c:pt>
                <c:pt idx="109">
                  <c:v>21897.477500000001</c:v>
                </c:pt>
                <c:pt idx="110">
                  <c:v>20738.183571428577</c:v>
                </c:pt>
                <c:pt idx="111">
                  <c:v>19578.889642857146</c:v>
                </c:pt>
                <c:pt idx="112">
                  <c:v>18419.595714285715</c:v>
                </c:pt>
                <c:pt idx="113">
                  <c:v>17260.301785714291</c:v>
                </c:pt>
                <c:pt idx="114">
                  <c:v>16101.00785714286</c:v>
                </c:pt>
                <c:pt idx="115">
                  <c:v>14941.713928571429</c:v>
                </c:pt>
                <c:pt idx="116">
                  <c:v>13782.420000000006</c:v>
                </c:pt>
                <c:pt idx="117">
                  <c:v>12623.126071428575</c:v>
                </c:pt>
                <c:pt idx="118">
                  <c:v>11463.832142857151</c:v>
                </c:pt>
                <c:pt idx="119">
                  <c:v>10304.538214285712</c:v>
                </c:pt>
                <c:pt idx="120">
                  <c:v>9145.2442857142887</c:v>
                </c:pt>
                <c:pt idx="121">
                  <c:v>7985.950357142865</c:v>
                </c:pt>
                <c:pt idx="122">
                  <c:v>6826.6564285714267</c:v>
                </c:pt>
                <c:pt idx="123">
                  <c:v>5667.3625000000029</c:v>
                </c:pt>
                <c:pt idx="124">
                  <c:v>4508.0685714285792</c:v>
                </c:pt>
                <c:pt idx="125">
                  <c:v>3348.7746428571409</c:v>
                </c:pt>
                <c:pt idx="126">
                  <c:v>2189.4807142857171</c:v>
                </c:pt>
                <c:pt idx="127">
                  <c:v>1030.1867857142934</c:v>
                </c:pt>
                <c:pt idx="128">
                  <c:v>-129.10714285714494</c:v>
                </c:pt>
                <c:pt idx="129">
                  <c:v>-1288.4010714285687</c:v>
                </c:pt>
                <c:pt idx="130">
                  <c:v>-2447.6949999999924</c:v>
                </c:pt>
                <c:pt idx="131">
                  <c:v>-3606.9889285714307</c:v>
                </c:pt>
                <c:pt idx="132">
                  <c:v>-4766.2828571428545</c:v>
                </c:pt>
                <c:pt idx="133">
                  <c:v>-5925.5767857142782</c:v>
                </c:pt>
                <c:pt idx="134">
                  <c:v>-7084.8707142857165</c:v>
                </c:pt>
                <c:pt idx="135">
                  <c:v>-8244.1646428571403</c:v>
                </c:pt>
                <c:pt idx="136">
                  <c:v>-9403.458571428564</c:v>
                </c:pt>
                <c:pt idx="137">
                  <c:v>-10562.752500000002</c:v>
                </c:pt>
                <c:pt idx="138">
                  <c:v>-11722.046428571426</c:v>
                </c:pt>
                <c:pt idx="139">
                  <c:v>-12881.34035714285</c:v>
                </c:pt>
                <c:pt idx="140">
                  <c:v>-14040.634285714288</c:v>
                </c:pt>
                <c:pt idx="141">
                  <c:v>-15199.928214285712</c:v>
                </c:pt>
                <c:pt idx="142">
                  <c:v>-16359.222142857136</c:v>
                </c:pt>
                <c:pt idx="143">
                  <c:v>-17518.516071428574</c:v>
                </c:pt>
                <c:pt idx="144">
                  <c:v>-18677.809999999998</c:v>
                </c:pt>
                <c:pt idx="145">
                  <c:v>-19837.103928571421</c:v>
                </c:pt>
                <c:pt idx="146">
                  <c:v>-20996.39785714286</c:v>
                </c:pt>
                <c:pt idx="147">
                  <c:v>-22155.691785714283</c:v>
                </c:pt>
                <c:pt idx="148">
                  <c:v>-23314.985714285707</c:v>
                </c:pt>
                <c:pt idx="149">
                  <c:v>-24474.279642857146</c:v>
                </c:pt>
                <c:pt idx="150">
                  <c:v>-25633.573571428569</c:v>
                </c:pt>
                <c:pt idx="151">
                  <c:v>-26792.867499999993</c:v>
                </c:pt>
                <c:pt idx="152">
                  <c:v>-27952.161428571431</c:v>
                </c:pt>
                <c:pt idx="153">
                  <c:v>-29111.455357142855</c:v>
                </c:pt>
                <c:pt idx="154">
                  <c:v>-30270.749285714279</c:v>
                </c:pt>
                <c:pt idx="155">
                  <c:v>-31430.043214285717</c:v>
                </c:pt>
                <c:pt idx="156">
                  <c:v>-32589.337142857141</c:v>
                </c:pt>
                <c:pt idx="157">
                  <c:v>-33748.631071428565</c:v>
                </c:pt>
                <c:pt idx="158">
                  <c:v>-34907.925000000003</c:v>
                </c:pt>
                <c:pt idx="159">
                  <c:v>-36067.218928571427</c:v>
                </c:pt>
                <c:pt idx="160">
                  <c:v>-37226.51285714285</c:v>
                </c:pt>
                <c:pt idx="161">
                  <c:v>-38385.806785714289</c:v>
                </c:pt>
                <c:pt idx="162">
                  <c:v>-39545.100714285712</c:v>
                </c:pt>
                <c:pt idx="163">
                  <c:v>-40704.394642857136</c:v>
                </c:pt>
                <c:pt idx="164">
                  <c:v>-41863.688571428575</c:v>
                </c:pt>
                <c:pt idx="165">
                  <c:v>-43022.982499999998</c:v>
                </c:pt>
                <c:pt idx="166">
                  <c:v>-44182.276428571422</c:v>
                </c:pt>
                <c:pt idx="167">
                  <c:v>-45341.57035714286</c:v>
                </c:pt>
                <c:pt idx="168">
                  <c:v>-46500.864285714284</c:v>
                </c:pt>
                <c:pt idx="169">
                  <c:v>-47660.158214285708</c:v>
                </c:pt>
                <c:pt idx="170">
                  <c:v>-48819.452142857146</c:v>
                </c:pt>
                <c:pt idx="171">
                  <c:v>-49978.74607142857</c:v>
                </c:pt>
                <c:pt idx="172">
                  <c:v>-51138.039999999994</c:v>
                </c:pt>
                <c:pt idx="173">
                  <c:v>-52297.333928571432</c:v>
                </c:pt>
                <c:pt idx="174">
                  <c:v>-53456.627857142856</c:v>
                </c:pt>
                <c:pt idx="175">
                  <c:v>-54615.921785714279</c:v>
                </c:pt>
                <c:pt idx="176">
                  <c:v>-55775.215714285703</c:v>
                </c:pt>
                <c:pt idx="177">
                  <c:v>-56934.509642857127</c:v>
                </c:pt>
                <c:pt idx="178">
                  <c:v>-58093.80357142858</c:v>
                </c:pt>
                <c:pt idx="179">
                  <c:v>-59253.097500000003</c:v>
                </c:pt>
                <c:pt idx="180">
                  <c:v>-60412.391428571427</c:v>
                </c:pt>
                <c:pt idx="181">
                  <c:v>-61571.685357142851</c:v>
                </c:pt>
                <c:pt idx="182">
                  <c:v>-62730.979285714275</c:v>
                </c:pt>
                <c:pt idx="183">
                  <c:v>-63890.273214285698</c:v>
                </c:pt>
                <c:pt idx="184">
                  <c:v>-65049.567142857151</c:v>
                </c:pt>
                <c:pt idx="185">
                  <c:v>-66208.861071428575</c:v>
                </c:pt>
                <c:pt idx="186">
                  <c:v>-67368.154999999999</c:v>
                </c:pt>
                <c:pt idx="187">
                  <c:v>-68527.448928571423</c:v>
                </c:pt>
                <c:pt idx="188">
                  <c:v>-69686.742857142846</c:v>
                </c:pt>
                <c:pt idx="189">
                  <c:v>-70846.03678571427</c:v>
                </c:pt>
                <c:pt idx="190">
                  <c:v>-72005.330714285723</c:v>
                </c:pt>
                <c:pt idx="191">
                  <c:v>-73164.624642857147</c:v>
                </c:pt>
                <c:pt idx="192">
                  <c:v>-74323.91857142857</c:v>
                </c:pt>
                <c:pt idx="193">
                  <c:v>-75483.212499999994</c:v>
                </c:pt>
                <c:pt idx="194">
                  <c:v>-76642.506428571418</c:v>
                </c:pt>
                <c:pt idx="195">
                  <c:v>-77801.800357142842</c:v>
                </c:pt>
                <c:pt idx="196">
                  <c:v>-78961.094285714295</c:v>
                </c:pt>
                <c:pt idx="197">
                  <c:v>-80120.388214285718</c:v>
                </c:pt>
                <c:pt idx="198">
                  <c:v>-81279.682142857142</c:v>
                </c:pt>
                <c:pt idx="199">
                  <c:v>-82438.976071428566</c:v>
                </c:pt>
                <c:pt idx="200">
                  <c:v>-83598.26999999999</c:v>
                </c:pt>
                <c:pt idx="201">
                  <c:v>-84757.563928571413</c:v>
                </c:pt>
                <c:pt idx="202">
                  <c:v>-85916.857857142866</c:v>
                </c:pt>
                <c:pt idx="203">
                  <c:v>-87076.15178571429</c:v>
                </c:pt>
                <c:pt idx="204">
                  <c:v>-88235.445714285714</c:v>
                </c:pt>
                <c:pt idx="205">
                  <c:v>-89394.739642857137</c:v>
                </c:pt>
                <c:pt idx="206">
                  <c:v>-90554.033571428561</c:v>
                </c:pt>
                <c:pt idx="207">
                  <c:v>-91713.327499999985</c:v>
                </c:pt>
                <c:pt idx="208">
                  <c:v>-92872.621428571438</c:v>
                </c:pt>
                <c:pt idx="209">
                  <c:v>-94031.915357142861</c:v>
                </c:pt>
                <c:pt idx="210">
                  <c:v>-95191.209285714285</c:v>
                </c:pt>
                <c:pt idx="211">
                  <c:v>-96350.503214285709</c:v>
                </c:pt>
                <c:pt idx="212">
                  <c:v>-97509.797142857133</c:v>
                </c:pt>
                <c:pt idx="213">
                  <c:v>-98669.091071428556</c:v>
                </c:pt>
                <c:pt idx="214">
                  <c:v>-99828.385000000009</c:v>
                </c:pt>
                <c:pt idx="215">
                  <c:v>-100987.67892857143</c:v>
                </c:pt>
                <c:pt idx="216">
                  <c:v>-102146.97285714286</c:v>
                </c:pt>
                <c:pt idx="217">
                  <c:v>-103306.26678571428</c:v>
                </c:pt>
                <c:pt idx="218">
                  <c:v>-104465.5607142857</c:v>
                </c:pt>
                <c:pt idx="219">
                  <c:v>-105624.85464285713</c:v>
                </c:pt>
                <c:pt idx="220">
                  <c:v>-106784.14857142858</c:v>
                </c:pt>
                <c:pt idx="221">
                  <c:v>-107943.4425</c:v>
                </c:pt>
                <c:pt idx="222">
                  <c:v>-109102.73642857143</c:v>
                </c:pt>
                <c:pt idx="223">
                  <c:v>-110262.03035714285</c:v>
                </c:pt>
                <c:pt idx="224">
                  <c:v>-111421.32428571428</c:v>
                </c:pt>
                <c:pt idx="225">
                  <c:v>-112580.6182142857</c:v>
                </c:pt>
                <c:pt idx="226">
                  <c:v>-113739.91214285715</c:v>
                </c:pt>
                <c:pt idx="227">
                  <c:v>-114899.20607142858</c:v>
                </c:pt>
                <c:pt idx="228">
                  <c:v>-116058.5</c:v>
                </c:pt>
                <c:pt idx="229">
                  <c:v>-117217.79392857142</c:v>
                </c:pt>
                <c:pt idx="230">
                  <c:v>-118377.08785714285</c:v>
                </c:pt>
                <c:pt idx="231">
                  <c:v>-119536.38178571427</c:v>
                </c:pt>
                <c:pt idx="232">
                  <c:v>-120695.67571428572</c:v>
                </c:pt>
                <c:pt idx="233">
                  <c:v>-121854.96964285715</c:v>
                </c:pt>
                <c:pt idx="234">
                  <c:v>-123014.26357142857</c:v>
                </c:pt>
                <c:pt idx="235">
                  <c:v>-124173.5575</c:v>
                </c:pt>
                <c:pt idx="236">
                  <c:v>-125332.85142857142</c:v>
                </c:pt>
                <c:pt idx="237">
                  <c:v>-126492.14535714284</c:v>
                </c:pt>
                <c:pt idx="238">
                  <c:v>-127651.4392857143</c:v>
                </c:pt>
                <c:pt idx="239">
                  <c:v>-128810.73321428572</c:v>
                </c:pt>
                <c:pt idx="240">
                  <c:v>-129970.02714285714</c:v>
                </c:pt>
                <c:pt idx="241">
                  <c:v>-131129.32107142857</c:v>
                </c:pt>
              </c:numCache>
            </c:numRef>
          </c:xVal>
          <c:yVal>
            <c:numRef>
              <c:f>'GZP155'!$F$6:$F$247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35051.791333333327</c:v>
                </c:pt>
                <c:pt idx="2">
                  <c:v>35269.812666666665</c:v>
                </c:pt>
                <c:pt idx="3">
                  <c:v>35487.833999999995</c:v>
                </c:pt>
                <c:pt idx="4">
                  <c:v>35705.855333333333</c:v>
                </c:pt>
                <c:pt idx="5">
                  <c:v>35923.876666666663</c:v>
                </c:pt>
                <c:pt idx="6">
                  <c:v>36141.898000000001</c:v>
                </c:pt>
                <c:pt idx="7">
                  <c:v>36359.919333333331</c:v>
                </c:pt>
                <c:pt idx="8">
                  <c:v>36577.940666666662</c:v>
                </c:pt>
                <c:pt idx="9">
                  <c:v>36795.962</c:v>
                </c:pt>
                <c:pt idx="10">
                  <c:v>37013.98333333333</c:v>
                </c:pt>
                <c:pt idx="11">
                  <c:v>37232.004666666668</c:v>
                </c:pt>
                <c:pt idx="12">
                  <c:v>37450.025999999998</c:v>
                </c:pt>
                <c:pt idx="13">
                  <c:v>37668.047333333328</c:v>
                </c:pt>
                <c:pt idx="14">
                  <c:v>37886.068666666666</c:v>
                </c:pt>
                <c:pt idx="15">
                  <c:v>38104.089999999997</c:v>
                </c:pt>
                <c:pt idx="16">
                  <c:v>38322.111333333334</c:v>
                </c:pt>
                <c:pt idx="17">
                  <c:v>38540.132666666665</c:v>
                </c:pt>
                <c:pt idx="18">
                  <c:v>38758.153999999995</c:v>
                </c:pt>
                <c:pt idx="19">
                  <c:v>38976.175333333333</c:v>
                </c:pt>
                <c:pt idx="20">
                  <c:v>39194.196666666663</c:v>
                </c:pt>
                <c:pt idx="21">
                  <c:v>39412.218000000001</c:v>
                </c:pt>
                <c:pt idx="22">
                  <c:v>39630.239333333331</c:v>
                </c:pt>
                <c:pt idx="23">
                  <c:v>39848.260666666669</c:v>
                </c:pt>
                <c:pt idx="24">
                  <c:v>40066.281999999999</c:v>
                </c:pt>
                <c:pt idx="25">
                  <c:v>40284.30333333333</c:v>
                </c:pt>
                <c:pt idx="26">
                  <c:v>40502.324666666667</c:v>
                </c:pt>
                <c:pt idx="27">
                  <c:v>40720.345999999998</c:v>
                </c:pt>
                <c:pt idx="28">
                  <c:v>40938.367333333335</c:v>
                </c:pt>
                <c:pt idx="29">
                  <c:v>41156.388666666666</c:v>
                </c:pt>
                <c:pt idx="30">
                  <c:v>41374.410000000003</c:v>
                </c:pt>
                <c:pt idx="31">
                  <c:v>41592.431333333334</c:v>
                </c:pt>
                <c:pt idx="32">
                  <c:v>41810.452666666664</c:v>
                </c:pt>
                <c:pt idx="33">
                  <c:v>42028.474000000002</c:v>
                </c:pt>
                <c:pt idx="34">
                  <c:v>42246.495333333332</c:v>
                </c:pt>
                <c:pt idx="35">
                  <c:v>42464.51666666667</c:v>
                </c:pt>
                <c:pt idx="36">
                  <c:v>42682.538</c:v>
                </c:pt>
                <c:pt idx="37">
                  <c:v>42900.559333333338</c:v>
                </c:pt>
                <c:pt idx="38">
                  <c:v>43118.580666666669</c:v>
                </c:pt>
                <c:pt idx="39">
                  <c:v>43336.601999999999</c:v>
                </c:pt>
                <c:pt idx="40">
                  <c:v>43554.623333333337</c:v>
                </c:pt>
                <c:pt idx="41">
                  <c:v>43772.644666666667</c:v>
                </c:pt>
                <c:pt idx="42">
                  <c:v>43990.665999999997</c:v>
                </c:pt>
                <c:pt idx="43">
                  <c:v>44208.687333333335</c:v>
                </c:pt>
                <c:pt idx="44">
                  <c:v>44426.708666666673</c:v>
                </c:pt>
                <c:pt idx="45">
                  <c:v>44644.73</c:v>
                </c:pt>
                <c:pt idx="46">
                  <c:v>44862.751333333334</c:v>
                </c:pt>
                <c:pt idx="47">
                  <c:v>45080.772666666671</c:v>
                </c:pt>
                <c:pt idx="48">
                  <c:v>45298.794000000002</c:v>
                </c:pt>
                <c:pt idx="49">
                  <c:v>45516.815333333332</c:v>
                </c:pt>
                <c:pt idx="50">
                  <c:v>45734.83666666667</c:v>
                </c:pt>
                <c:pt idx="51">
                  <c:v>45952.858</c:v>
                </c:pt>
                <c:pt idx="52">
                  <c:v>46170.879333333338</c:v>
                </c:pt>
                <c:pt idx="53">
                  <c:v>46388.900666666668</c:v>
                </c:pt>
                <c:pt idx="54">
                  <c:v>46606.922000000006</c:v>
                </c:pt>
                <c:pt idx="55">
                  <c:v>46824.943333333336</c:v>
                </c:pt>
                <c:pt idx="56">
                  <c:v>47042.964666666667</c:v>
                </c:pt>
                <c:pt idx="57">
                  <c:v>47260.986000000004</c:v>
                </c:pt>
                <c:pt idx="58">
                  <c:v>47479.007333333335</c:v>
                </c:pt>
                <c:pt idx="59">
                  <c:v>47692.89115625</c:v>
                </c:pt>
                <c:pt idx="60">
                  <c:v>47898.499958333341</c:v>
                </c:pt>
                <c:pt idx="61">
                  <c:v>48095.833739583337</c:v>
                </c:pt>
                <c:pt idx="62">
                  <c:v>48284.892500000002</c:v>
                </c:pt>
                <c:pt idx="63">
                  <c:v>48469.813750000001</c:v>
                </c:pt>
                <c:pt idx="64">
                  <c:v>48654.735000000001</c:v>
                </c:pt>
                <c:pt idx="65">
                  <c:v>48839.65625</c:v>
                </c:pt>
                <c:pt idx="66">
                  <c:v>49024.577499999999</c:v>
                </c:pt>
                <c:pt idx="67">
                  <c:v>49209.498750000006</c:v>
                </c:pt>
                <c:pt idx="68">
                  <c:v>49394.420000000006</c:v>
                </c:pt>
                <c:pt idx="69">
                  <c:v>49579.341250000005</c:v>
                </c:pt>
                <c:pt idx="70">
                  <c:v>49764.262500000004</c:v>
                </c:pt>
                <c:pt idx="71">
                  <c:v>49949.183750000004</c:v>
                </c:pt>
                <c:pt idx="72">
                  <c:v>50134.105000000003</c:v>
                </c:pt>
                <c:pt idx="73">
                  <c:v>50319.026250000003</c:v>
                </c:pt>
                <c:pt idx="74">
                  <c:v>50503.947500000002</c:v>
                </c:pt>
                <c:pt idx="75">
                  <c:v>50688.868750000001</c:v>
                </c:pt>
                <c:pt idx="76">
                  <c:v>50873.79</c:v>
                </c:pt>
                <c:pt idx="77">
                  <c:v>51058.71125</c:v>
                </c:pt>
                <c:pt idx="78">
                  <c:v>51243.632500000007</c:v>
                </c:pt>
                <c:pt idx="79">
                  <c:v>51428.553750000006</c:v>
                </c:pt>
                <c:pt idx="80">
                  <c:v>51613.475000000006</c:v>
                </c:pt>
                <c:pt idx="81">
                  <c:v>51798.396250000005</c:v>
                </c:pt>
                <c:pt idx="82">
                  <c:v>51983.317500000005</c:v>
                </c:pt>
                <c:pt idx="83">
                  <c:v>52168.238750000004</c:v>
                </c:pt>
                <c:pt idx="84">
                  <c:v>52353.16</c:v>
                </c:pt>
                <c:pt idx="85">
                  <c:v>52538.081250000003</c:v>
                </c:pt>
                <c:pt idx="86">
                  <c:v>52723.002500000002</c:v>
                </c:pt>
                <c:pt idx="87">
                  <c:v>52907.923750000002</c:v>
                </c:pt>
                <c:pt idx="88">
                  <c:v>53092.845000000001</c:v>
                </c:pt>
                <c:pt idx="89">
                  <c:v>53277.766250000001</c:v>
                </c:pt>
                <c:pt idx="90">
                  <c:v>53462.6875</c:v>
                </c:pt>
                <c:pt idx="91">
                  <c:v>53647.608749999999</c:v>
                </c:pt>
                <c:pt idx="92">
                  <c:v>53832.530000000006</c:v>
                </c:pt>
                <c:pt idx="93">
                  <c:v>54017.451250000006</c:v>
                </c:pt>
                <c:pt idx="94">
                  <c:v>54202.372500000005</c:v>
                </c:pt>
                <c:pt idx="95">
                  <c:v>54387.293750000004</c:v>
                </c:pt>
                <c:pt idx="96">
                  <c:v>54572.215000000004</c:v>
                </c:pt>
                <c:pt idx="97">
                  <c:v>54757.136250000003</c:v>
                </c:pt>
                <c:pt idx="98">
                  <c:v>54942.057500000003</c:v>
                </c:pt>
                <c:pt idx="99">
                  <c:v>55126.978750000002</c:v>
                </c:pt>
                <c:pt idx="100">
                  <c:v>55311.9</c:v>
                </c:pt>
                <c:pt idx="101">
                  <c:v>55496.821250000001</c:v>
                </c:pt>
                <c:pt idx="102">
                  <c:v>55681.742500000008</c:v>
                </c:pt>
                <c:pt idx="103">
                  <c:v>55866.663750000007</c:v>
                </c:pt>
                <c:pt idx="104">
                  <c:v>56051.585000000006</c:v>
                </c:pt>
                <c:pt idx="105">
                  <c:v>56236.506250000006</c:v>
                </c:pt>
                <c:pt idx="106">
                  <c:v>56421.427500000005</c:v>
                </c:pt>
                <c:pt idx="107">
                  <c:v>56606.348750000005</c:v>
                </c:pt>
                <c:pt idx="108">
                  <c:v>56791.270000000004</c:v>
                </c:pt>
                <c:pt idx="109">
                  <c:v>56976.191250000003</c:v>
                </c:pt>
                <c:pt idx="110">
                  <c:v>57161.112500000003</c:v>
                </c:pt>
                <c:pt idx="111">
                  <c:v>57346.033750000002</c:v>
                </c:pt>
                <c:pt idx="112">
                  <c:v>57530.955000000002</c:v>
                </c:pt>
                <c:pt idx="113">
                  <c:v>57715.876250000001</c:v>
                </c:pt>
                <c:pt idx="114">
                  <c:v>57900.797500000001</c:v>
                </c:pt>
                <c:pt idx="115">
                  <c:v>58085.71875</c:v>
                </c:pt>
                <c:pt idx="116">
                  <c:v>58270.64</c:v>
                </c:pt>
                <c:pt idx="117">
                  <c:v>58455.561250000006</c:v>
                </c:pt>
                <c:pt idx="118">
                  <c:v>58640.482500000006</c:v>
                </c:pt>
                <c:pt idx="119">
                  <c:v>58825.403750000005</c:v>
                </c:pt>
                <c:pt idx="120">
                  <c:v>59010.325000000004</c:v>
                </c:pt>
                <c:pt idx="121">
                  <c:v>59195.246250000004</c:v>
                </c:pt>
                <c:pt idx="122">
                  <c:v>59380.167500000003</c:v>
                </c:pt>
                <c:pt idx="123">
                  <c:v>59565.088750000003</c:v>
                </c:pt>
                <c:pt idx="124">
                  <c:v>59750.01</c:v>
                </c:pt>
                <c:pt idx="125">
                  <c:v>59934.931250000001</c:v>
                </c:pt>
                <c:pt idx="126">
                  <c:v>60119.852500000008</c:v>
                </c:pt>
                <c:pt idx="127">
                  <c:v>60304.773750000008</c:v>
                </c:pt>
                <c:pt idx="128">
                  <c:v>60489.695000000007</c:v>
                </c:pt>
                <c:pt idx="129">
                  <c:v>60674.616250000006</c:v>
                </c:pt>
                <c:pt idx="130">
                  <c:v>60859.537500000006</c:v>
                </c:pt>
                <c:pt idx="131">
                  <c:v>61044.458750000005</c:v>
                </c:pt>
                <c:pt idx="132">
                  <c:v>61229.380000000005</c:v>
                </c:pt>
                <c:pt idx="133">
                  <c:v>61414.301250000004</c:v>
                </c:pt>
                <c:pt idx="134">
                  <c:v>61599.222500000003</c:v>
                </c:pt>
                <c:pt idx="135">
                  <c:v>61784.143750000003</c:v>
                </c:pt>
                <c:pt idx="136">
                  <c:v>61969.065000000002</c:v>
                </c:pt>
                <c:pt idx="137">
                  <c:v>62153.986250000002</c:v>
                </c:pt>
                <c:pt idx="138">
                  <c:v>62338.907500000001</c:v>
                </c:pt>
                <c:pt idx="139">
                  <c:v>62523.828750000001</c:v>
                </c:pt>
                <c:pt idx="140">
                  <c:v>62708.75</c:v>
                </c:pt>
                <c:pt idx="141">
                  <c:v>62893.671250000007</c:v>
                </c:pt>
                <c:pt idx="142">
                  <c:v>63078.592500000006</c:v>
                </c:pt>
                <c:pt idx="143">
                  <c:v>63263.513750000006</c:v>
                </c:pt>
                <c:pt idx="144">
                  <c:v>63448.435000000005</c:v>
                </c:pt>
                <c:pt idx="145">
                  <c:v>63633.356250000004</c:v>
                </c:pt>
                <c:pt idx="146">
                  <c:v>63818.277500000004</c:v>
                </c:pt>
                <c:pt idx="147">
                  <c:v>64003.198750000003</c:v>
                </c:pt>
                <c:pt idx="148">
                  <c:v>64188.12</c:v>
                </c:pt>
                <c:pt idx="149">
                  <c:v>64373.041250000009</c:v>
                </c:pt>
                <c:pt idx="150">
                  <c:v>64557.962500000009</c:v>
                </c:pt>
                <c:pt idx="151">
                  <c:v>64742.883750000008</c:v>
                </c:pt>
                <c:pt idx="152">
                  <c:v>64927.805000000008</c:v>
                </c:pt>
                <c:pt idx="153">
                  <c:v>65112.726250000007</c:v>
                </c:pt>
                <c:pt idx="154">
                  <c:v>65297.647500000006</c:v>
                </c:pt>
                <c:pt idx="155">
                  <c:v>65482.568750000006</c:v>
                </c:pt>
                <c:pt idx="156">
                  <c:v>65667.490000000005</c:v>
                </c:pt>
                <c:pt idx="157">
                  <c:v>65852.411250000005</c:v>
                </c:pt>
                <c:pt idx="158">
                  <c:v>66037.332500000004</c:v>
                </c:pt>
                <c:pt idx="159">
                  <c:v>66222.253750000003</c:v>
                </c:pt>
                <c:pt idx="160">
                  <c:v>66407.175000000003</c:v>
                </c:pt>
                <c:pt idx="161">
                  <c:v>66592.096250000002</c:v>
                </c:pt>
                <c:pt idx="162">
                  <c:v>66777.017500000002</c:v>
                </c:pt>
                <c:pt idx="163">
                  <c:v>66961.938750000001</c:v>
                </c:pt>
                <c:pt idx="164">
                  <c:v>67146.86</c:v>
                </c:pt>
                <c:pt idx="165">
                  <c:v>67331.78125</c:v>
                </c:pt>
                <c:pt idx="166">
                  <c:v>67516.702499999999</c:v>
                </c:pt>
                <c:pt idx="167">
                  <c:v>67701.623749999999</c:v>
                </c:pt>
                <c:pt idx="168">
                  <c:v>67886.545000000013</c:v>
                </c:pt>
                <c:pt idx="169">
                  <c:v>68071.466249999998</c:v>
                </c:pt>
                <c:pt idx="170">
                  <c:v>68256.387500000012</c:v>
                </c:pt>
                <c:pt idx="171">
                  <c:v>68441.308749999997</c:v>
                </c:pt>
                <c:pt idx="172">
                  <c:v>68626.23000000001</c:v>
                </c:pt>
                <c:pt idx="173">
                  <c:v>68811.15125000001</c:v>
                </c:pt>
                <c:pt idx="174">
                  <c:v>68996.072500000009</c:v>
                </c:pt>
                <c:pt idx="175">
                  <c:v>69180.993750000009</c:v>
                </c:pt>
                <c:pt idx="176">
                  <c:v>69365.915000000008</c:v>
                </c:pt>
                <c:pt idx="177">
                  <c:v>69550.836250000008</c:v>
                </c:pt>
                <c:pt idx="178">
                  <c:v>69735.757500000007</c:v>
                </c:pt>
                <c:pt idx="179">
                  <c:v>69920.678750000006</c:v>
                </c:pt>
                <c:pt idx="180">
                  <c:v>70105.600000000006</c:v>
                </c:pt>
                <c:pt idx="181">
                  <c:v>70290.521250000005</c:v>
                </c:pt>
                <c:pt idx="182">
                  <c:v>70475.442500000005</c:v>
                </c:pt>
                <c:pt idx="183">
                  <c:v>70660.363750000004</c:v>
                </c:pt>
                <c:pt idx="184">
                  <c:v>70845.285000000003</c:v>
                </c:pt>
                <c:pt idx="185">
                  <c:v>71030.206250000003</c:v>
                </c:pt>
                <c:pt idx="186">
                  <c:v>71215.127500000002</c:v>
                </c:pt>
                <c:pt idx="187">
                  <c:v>71400.048750000002</c:v>
                </c:pt>
                <c:pt idx="188">
                  <c:v>71584.97</c:v>
                </c:pt>
                <c:pt idx="189">
                  <c:v>71769.891250000001</c:v>
                </c:pt>
                <c:pt idx="190">
                  <c:v>71954.8125</c:v>
                </c:pt>
                <c:pt idx="191">
                  <c:v>72139.733749999999</c:v>
                </c:pt>
                <c:pt idx="192">
                  <c:v>72324.654999999999</c:v>
                </c:pt>
                <c:pt idx="193">
                  <c:v>72509.576250000013</c:v>
                </c:pt>
                <c:pt idx="194">
                  <c:v>72694.497499999998</c:v>
                </c:pt>
                <c:pt idx="195">
                  <c:v>72879.418750000012</c:v>
                </c:pt>
                <c:pt idx="196">
                  <c:v>73064.34</c:v>
                </c:pt>
                <c:pt idx="197">
                  <c:v>73249.26125000001</c:v>
                </c:pt>
                <c:pt idx="198">
                  <c:v>73434.18250000001</c:v>
                </c:pt>
                <c:pt idx="199">
                  <c:v>73619.103750000009</c:v>
                </c:pt>
                <c:pt idx="200">
                  <c:v>73804.025000000009</c:v>
                </c:pt>
                <c:pt idx="201">
                  <c:v>73988.946250000008</c:v>
                </c:pt>
                <c:pt idx="202">
                  <c:v>74173.867500000008</c:v>
                </c:pt>
                <c:pt idx="203">
                  <c:v>74358.788750000007</c:v>
                </c:pt>
                <c:pt idx="204">
                  <c:v>74543.710000000006</c:v>
                </c:pt>
                <c:pt idx="205">
                  <c:v>74728.631250000006</c:v>
                </c:pt>
                <c:pt idx="206">
                  <c:v>74913.552500000005</c:v>
                </c:pt>
                <c:pt idx="207">
                  <c:v>75098.473750000005</c:v>
                </c:pt>
                <c:pt idx="208">
                  <c:v>75283.395000000004</c:v>
                </c:pt>
                <c:pt idx="209">
                  <c:v>75468.316250000003</c:v>
                </c:pt>
                <c:pt idx="210">
                  <c:v>75653.237500000003</c:v>
                </c:pt>
                <c:pt idx="211">
                  <c:v>75838.158750000002</c:v>
                </c:pt>
                <c:pt idx="212">
                  <c:v>76023.08</c:v>
                </c:pt>
                <c:pt idx="213">
                  <c:v>76208.001250000001</c:v>
                </c:pt>
                <c:pt idx="214">
                  <c:v>76392.922500000001</c:v>
                </c:pt>
                <c:pt idx="215">
                  <c:v>76577.84375</c:v>
                </c:pt>
                <c:pt idx="216">
                  <c:v>76762.765000000014</c:v>
                </c:pt>
                <c:pt idx="217">
                  <c:v>76947.686249999999</c:v>
                </c:pt>
                <c:pt idx="218">
                  <c:v>77132.607500000013</c:v>
                </c:pt>
                <c:pt idx="219">
                  <c:v>77317.528749999998</c:v>
                </c:pt>
                <c:pt idx="220">
                  <c:v>77502.450000000012</c:v>
                </c:pt>
                <c:pt idx="221">
                  <c:v>77687.371249999997</c:v>
                </c:pt>
                <c:pt idx="222">
                  <c:v>77872.29250000001</c:v>
                </c:pt>
                <c:pt idx="223">
                  <c:v>78057.21375000001</c:v>
                </c:pt>
                <c:pt idx="224">
                  <c:v>78242.135000000009</c:v>
                </c:pt>
                <c:pt idx="225">
                  <c:v>78427.056250000009</c:v>
                </c:pt>
                <c:pt idx="226">
                  <c:v>78611.977500000008</c:v>
                </c:pt>
                <c:pt idx="227">
                  <c:v>78796.898750000008</c:v>
                </c:pt>
                <c:pt idx="228">
                  <c:v>78981.820000000007</c:v>
                </c:pt>
                <c:pt idx="229">
                  <c:v>79166.741250000006</c:v>
                </c:pt>
                <c:pt idx="230">
                  <c:v>79351.662500000006</c:v>
                </c:pt>
                <c:pt idx="231">
                  <c:v>79536.583750000005</c:v>
                </c:pt>
                <c:pt idx="232">
                  <c:v>79721.505000000005</c:v>
                </c:pt>
                <c:pt idx="233">
                  <c:v>79906.426250000004</c:v>
                </c:pt>
                <c:pt idx="234">
                  <c:v>80091.347500000003</c:v>
                </c:pt>
                <c:pt idx="235">
                  <c:v>80276.268750000003</c:v>
                </c:pt>
                <c:pt idx="236">
                  <c:v>80461.19</c:v>
                </c:pt>
                <c:pt idx="237">
                  <c:v>80646.111250000002</c:v>
                </c:pt>
                <c:pt idx="238">
                  <c:v>80831.032500000001</c:v>
                </c:pt>
                <c:pt idx="239">
                  <c:v>81015.953750000015</c:v>
                </c:pt>
                <c:pt idx="240">
                  <c:v>81200.875</c:v>
                </c:pt>
                <c:pt idx="241">
                  <c:v>81385.796250000014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'GZP155'!$N$6:$N$138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35.269527777777775</c:v>
                </c:pt>
                <c:pt idx="2">
                  <c:v>35.25127777777778</c:v>
                </c:pt>
                <c:pt idx="3">
                  <c:v>35.233027777777778</c:v>
                </c:pt>
                <c:pt idx="4">
                  <c:v>35.214777777777776</c:v>
                </c:pt>
                <c:pt idx="5">
                  <c:v>35.196527777777774</c:v>
                </c:pt>
                <c:pt idx="6">
                  <c:v>35.17827777777778</c:v>
                </c:pt>
                <c:pt idx="7">
                  <c:v>35.160027777777778</c:v>
                </c:pt>
                <c:pt idx="8">
                  <c:v>35.141777777777776</c:v>
                </c:pt>
                <c:pt idx="9">
                  <c:v>35.123527777777774</c:v>
                </c:pt>
                <c:pt idx="10">
                  <c:v>35.105277777777779</c:v>
                </c:pt>
                <c:pt idx="11">
                  <c:v>35.087027777777777</c:v>
                </c:pt>
                <c:pt idx="12">
                  <c:v>35.068777777777775</c:v>
                </c:pt>
                <c:pt idx="13">
                  <c:v>35.050527777777774</c:v>
                </c:pt>
                <c:pt idx="14">
                  <c:v>35.032277777777779</c:v>
                </c:pt>
                <c:pt idx="15">
                  <c:v>35.014027777777777</c:v>
                </c:pt>
                <c:pt idx="16">
                  <c:v>34.995777777777775</c:v>
                </c:pt>
                <c:pt idx="17">
                  <c:v>34.97752777777778</c:v>
                </c:pt>
                <c:pt idx="18">
                  <c:v>34.959277777777778</c:v>
                </c:pt>
                <c:pt idx="19">
                  <c:v>34.941027777777776</c:v>
                </c:pt>
                <c:pt idx="20">
                  <c:v>34.922777777777775</c:v>
                </c:pt>
                <c:pt idx="21">
                  <c:v>34.90452777777778</c:v>
                </c:pt>
                <c:pt idx="22">
                  <c:v>34.886277777777778</c:v>
                </c:pt>
                <c:pt idx="23">
                  <c:v>34.868027777777776</c:v>
                </c:pt>
                <c:pt idx="24">
                  <c:v>34.849777777777774</c:v>
                </c:pt>
                <c:pt idx="25">
                  <c:v>34.831527777777779</c:v>
                </c:pt>
                <c:pt idx="26">
                  <c:v>34.813277777777778</c:v>
                </c:pt>
                <c:pt idx="27">
                  <c:v>34.795027777777776</c:v>
                </c:pt>
                <c:pt idx="28">
                  <c:v>34.776777777777774</c:v>
                </c:pt>
                <c:pt idx="29">
                  <c:v>34.758527777777779</c:v>
                </c:pt>
                <c:pt idx="30">
                  <c:v>34.740277777777777</c:v>
                </c:pt>
                <c:pt idx="31">
                  <c:v>34.722027777777775</c:v>
                </c:pt>
                <c:pt idx="32">
                  <c:v>34.70377777777778</c:v>
                </c:pt>
                <c:pt idx="33">
                  <c:v>34.685527777777779</c:v>
                </c:pt>
                <c:pt idx="34">
                  <c:v>34.667277777777777</c:v>
                </c:pt>
                <c:pt idx="35">
                  <c:v>34.649027777777775</c:v>
                </c:pt>
                <c:pt idx="36">
                  <c:v>34.63077777777778</c:v>
                </c:pt>
                <c:pt idx="37">
                  <c:v>34.612527777777778</c:v>
                </c:pt>
                <c:pt idx="38">
                  <c:v>34.594277777777776</c:v>
                </c:pt>
                <c:pt idx="39">
                  <c:v>34.576027777777774</c:v>
                </c:pt>
                <c:pt idx="40">
                  <c:v>34.55777777777778</c:v>
                </c:pt>
                <c:pt idx="41">
                  <c:v>34.539527777777778</c:v>
                </c:pt>
                <c:pt idx="42">
                  <c:v>34.521277777777776</c:v>
                </c:pt>
                <c:pt idx="43">
                  <c:v>34.503027777777774</c:v>
                </c:pt>
                <c:pt idx="44">
                  <c:v>34.484777777777779</c:v>
                </c:pt>
                <c:pt idx="45">
                  <c:v>34.466527777777777</c:v>
                </c:pt>
                <c:pt idx="46">
                  <c:v>34.448277777777776</c:v>
                </c:pt>
                <c:pt idx="47">
                  <c:v>34.430027777777781</c:v>
                </c:pt>
                <c:pt idx="48">
                  <c:v>34.411777777777779</c:v>
                </c:pt>
                <c:pt idx="49">
                  <c:v>34.393527777777777</c:v>
                </c:pt>
                <c:pt idx="50">
                  <c:v>34.375277777777775</c:v>
                </c:pt>
                <c:pt idx="51">
                  <c:v>34.35702777777778</c:v>
                </c:pt>
                <c:pt idx="52">
                  <c:v>34.338777777777779</c:v>
                </c:pt>
                <c:pt idx="53">
                  <c:v>34.320527777777777</c:v>
                </c:pt>
                <c:pt idx="54">
                  <c:v>34.302277777777775</c:v>
                </c:pt>
                <c:pt idx="55">
                  <c:v>34.28402777777778</c:v>
                </c:pt>
                <c:pt idx="56">
                  <c:v>34.265777777777778</c:v>
                </c:pt>
                <c:pt idx="57">
                  <c:v>34.247527777777776</c:v>
                </c:pt>
                <c:pt idx="58">
                  <c:v>34.229277777777774</c:v>
                </c:pt>
                <c:pt idx="59">
                  <c:v>34.210990079365075</c:v>
                </c:pt>
                <c:pt idx="60">
                  <c:v>34.192626984126989</c:v>
                </c:pt>
                <c:pt idx="61">
                  <c:v>34.174188492063493</c:v>
                </c:pt>
                <c:pt idx="62">
                  <c:v>34.155674603174603</c:v>
                </c:pt>
                <c:pt idx="63">
                  <c:v>34.137123015873016</c:v>
                </c:pt>
                <c:pt idx="64">
                  <c:v>34.118571428571428</c:v>
                </c:pt>
                <c:pt idx="65">
                  <c:v>34.100019841269841</c:v>
                </c:pt>
                <c:pt idx="66">
                  <c:v>34.081468253968254</c:v>
                </c:pt>
                <c:pt idx="67">
                  <c:v>34.062916666666666</c:v>
                </c:pt>
                <c:pt idx="68">
                  <c:v>34.044365079365079</c:v>
                </c:pt>
                <c:pt idx="69">
                  <c:v>34.025813492063492</c:v>
                </c:pt>
                <c:pt idx="70">
                  <c:v>34.007261904761904</c:v>
                </c:pt>
                <c:pt idx="71">
                  <c:v>33.988710317460317</c:v>
                </c:pt>
                <c:pt idx="72">
                  <c:v>33.97015873015873</c:v>
                </c:pt>
                <c:pt idx="73">
                  <c:v>33.951607142857142</c:v>
                </c:pt>
                <c:pt idx="74">
                  <c:v>33.933055555555555</c:v>
                </c:pt>
                <c:pt idx="75">
                  <c:v>33.914503968253968</c:v>
                </c:pt>
                <c:pt idx="76">
                  <c:v>33.89595238095238</c:v>
                </c:pt>
                <c:pt idx="77">
                  <c:v>33.877400793650793</c:v>
                </c:pt>
                <c:pt idx="78">
                  <c:v>33.858849206349205</c:v>
                </c:pt>
                <c:pt idx="79">
                  <c:v>33.840297619047618</c:v>
                </c:pt>
                <c:pt idx="80">
                  <c:v>33.821746031746031</c:v>
                </c:pt>
                <c:pt idx="81">
                  <c:v>33.803194444444443</c:v>
                </c:pt>
                <c:pt idx="82">
                  <c:v>33.784642857142856</c:v>
                </c:pt>
                <c:pt idx="83">
                  <c:v>33.766091269841269</c:v>
                </c:pt>
                <c:pt idx="84">
                  <c:v>33.747539682539681</c:v>
                </c:pt>
                <c:pt idx="85">
                  <c:v>33.728988095238094</c:v>
                </c:pt>
                <c:pt idx="86">
                  <c:v>33.710436507936507</c:v>
                </c:pt>
                <c:pt idx="87">
                  <c:v>33.691884920634919</c:v>
                </c:pt>
                <c:pt idx="88">
                  <c:v>33.673333333333332</c:v>
                </c:pt>
                <c:pt idx="89">
                  <c:v>33.654781746031745</c:v>
                </c:pt>
                <c:pt idx="90">
                  <c:v>33.636230158730157</c:v>
                </c:pt>
                <c:pt idx="91">
                  <c:v>33.61767857142857</c:v>
                </c:pt>
                <c:pt idx="92">
                  <c:v>33.599126984126983</c:v>
                </c:pt>
                <c:pt idx="93">
                  <c:v>33.580575396825395</c:v>
                </c:pt>
                <c:pt idx="94">
                  <c:v>33.562023809523808</c:v>
                </c:pt>
                <c:pt idx="95">
                  <c:v>33.543472222222221</c:v>
                </c:pt>
                <c:pt idx="96">
                  <c:v>33.524920634920633</c:v>
                </c:pt>
                <c:pt idx="97">
                  <c:v>33.506369047619046</c:v>
                </c:pt>
                <c:pt idx="98">
                  <c:v>33.487817460317459</c:v>
                </c:pt>
                <c:pt idx="99">
                  <c:v>33.469265873015871</c:v>
                </c:pt>
                <c:pt idx="100">
                  <c:v>33.450714285714284</c:v>
                </c:pt>
                <c:pt idx="101">
                  <c:v>33.432162698412696</c:v>
                </c:pt>
                <c:pt idx="102">
                  <c:v>33.413611111111109</c:v>
                </c:pt>
                <c:pt idx="103">
                  <c:v>33.395059523809522</c:v>
                </c:pt>
                <c:pt idx="104">
                  <c:v>33.376507936507934</c:v>
                </c:pt>
                <c:pt idx="105">
                  <c:v>33.357956349206347</c:v>
                </c:pt>
                <c:pt idx="106">
                  <c:v>33.33940476190476</c:v>
                </c:pt>
                <c:pt idx="107">
                  <c:v>33.320853174603172</c:v>
                </c:pt>
                <c:pt idx="108">
                  <c:v>33.302301587301585</c:v>
                </c:pt>
                <c:pt idx="109">
                  <c:v>33.283749999999998</c:v>
                </c:pt>
                <c:pt idx="110">
                  <c:v>33.26519841269841</c:v>
                </c:pt>
                <c:pt idx="111">
                  <c:v>33.246646825396823</c:v>
                </c:pt>
                <c:pt idx="112">
                  <c:v>33.228095238095236</c:v>
                </c:pt>
                <c:pt idx="113">
                  <c:v>33.209543650793648</c:v>
                </c:pt>
                <c:pt idx="114">
                  <c:v>33.190992063492061</c:v>
                </c:pt>
                <c:pt idx="115">
                  <c:v>33.172440476190474</c:v>
                </c:pt>
                <c:pt idx="116">
                  <c:v>33.153888888888886</c:v>
                </c:pt>
                <c:pt idx="117">
                  <c:v>33.135337301587299</c:v>
                </c:pt>
                <c:pt idx="118">
                  <c:v>33.116785714285712</c:v>
                </c:pt>
                <c:pt idx="119">
                  <c:v>33.098234126984124</c:v>
                </c:pt>
                <c:pt idx="120">
                  <c:v>33.079682539682537</c:v>
                </c:pt>
                <c:pt idx="121">
                  <c:v>33.06113095238095</c:v>
                </c:pt>
                <c:pt idx="122">
                  <c:v>33.042579365079362</c:v>
                </c:pt>
                <c:pt idx="123">
                  <c:v>33.024027777777775</c:v>
                </c:pt>
                <c:pt idx="124">
                  <c:v>33.005476190476188</c:v>
                </c:pt>
                <c:pt idx="125">
                  <c:v>32.9869246031746</c:v>
                </c:pt>
                <c:pt idx="126">
                  <c:v>32.968373015873013</c:v>
                </c:pt>
                <c:pt idx="127">
                  <c:v>32.949821428571425</c:v>
                </c:pt>
                <c:pt idx="128">
                  <c:v>32.931269841269838</c:v>
                </c:pt>
                <c:pt idx="129">
                  <c:v>32.912718253968251</c:v>
                </c:pt>
                <c:pt idx="130">
                  <c:v>32.894166666666663</c:v>
                </c:pt>
                <c:pt idx="131">
                  <c:v>32.875615079365076</c:v>
                </c:pt>
                <c:pt idx="132">
                  <c:v>32.857063492063489</c:v>
                </c:pt>
              </c:numCache>
            </c:numRef>
          </c:xVal>
          <c:yVal>
            <c:numRef>
              <c:f>'GZP155'!$M$6:$M$138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56.16360648148148</c:v>
                </c:pt>
                <c:pt idx="2">
                  <c:v>56.165546296296291</c:v>
                </c:pt>
                <c:pt idx="3">
                  <c:v>56.167486111111103</c:v>
                </c:pt>
                <c:pt idx="4">
                  <c:v>56.169425925925921</c:v>
                </c:pt>
                <c:pt idx="5">
                  <c:v>56.17136574074074</c:v>
                </c:pt>
                <c:pt idx="6">
                  <c:v>56.173305555555551</c:v>
                </c:pt>
                <c:pt idx="7">
                  <c:v>56.175245370370362</c:v>
                </c:pt>
                <c:pt idx="8">
                  <c:v>56.177185185185181</c:v>
                </c:pt>
                <c:pt idx="9">
                  <c:v>56.179124999999999</c:v>
                </c:pt>
                <c:pt idx="10">
                  <c:v>56.18106481481481</c:v>
                </c:pt>
                <c:pt idx="11">
                  <c:v>56.183004629629622</c:v>
                </c:pt>
                <c:pt idx="12">
                  <c:v>56.18494444444444</c:v>
                </c:pt>
                <c:pt idx="13">
                  <c:v>56.186884259259259</c:v>
                </c:pt>
                <c:pt idx="14">
                  <c:v>56.18882407407407</c:v>
                </c:pt>
                <c:pt idx="15">
                  <c:v>56.190763888888881</c:v>
                </c:pt>
                <c:pt idx="16">
                  <c:v>56.1927037037037</c:v>
                </c:pt>
                <c:pt idx="17">
                  <c:v>56.194643518518518</c:v>
                </c:pt>
                <c:pt idx="18">
                  <c:v>56.196583333333329</c:v>
                </c:pt>
                <c:pt idx="19">
                  <c:v>56.198523148148141</c:v>
                </c:pt>
                <c:pt idx="20">
                  <c:v>56.200462962962959</c:v>
                </c:pt>
                <c:pt idx="21">
                  <c:v>56.202402777777777</c:v>
                </c:pt>
                <c:pt idx="22">
                  <c:v>56.204342592592589</c:v>
                </c:pt>
                <c:pt idx="23">
                  <c:v>56.2062824074074</c:v>
                </c:pt>
                <c:pt idx="24">
                  <c:v>56.208222222222219</c:v>
                </c:pt>
                <c:pt idx="25">
                  <c:v>56.210162037037037</c:v>
                </c:pt>
                <c:pt idx="26">
                  <c:v>56.212101851851848</c:v>
                </c:pt>
                <c:pt idx="27">
                  <c:v>56.21404166666666</c:v>
                </c:pt>
                <c:pt idx="28">
                  <c:v>56.215981481481478</c:v>
                </c:pt>
                <c:pt idx="29">
                  <c:v>56.217921296296296</c:v>
                </c:pt>
                <c:pt idx="30">
                  <c:v>56.219861111111108</c:v>
                </c:pt>
                <c:pt idx="31">
                  <c:v>56.221800925925919</c:v>
                </c:pt>
                <c:pt idx="32">
                  <c:v>56.223740740740737</c:v>
                </c:pt>
                <c:pt idx="33">
                  <c:v>56.225680555555556</c:v>
                </c:pt>
                <c:pt idx="34">
                  <c:v>56.227620370370367</c:v>
                </c:pt>
                <c:pt idx="35">
                  <c:v>56.229560185185179</c:v>
                </c:pt>
                <c:pt idx="36">
                  <c:v>56.231499999999997</c:v>
                </c:pt>
                <c:pt idx="37">
                  <c:v>56.233439814814815</c:v>
                </c:pt>
                <c:pt idx="38">
                  <c:v>56.235379629629627</c:v>
                </c:pt>
                <c:pt idx="39">
                  <c:v>56.237319444444438</c:v>
                </c:pt>
                <c:pt idx="40">
                  <c:v>56.239259259259256</c:v>
                </c:pt>
                <c:pt idx="41">
                  <c:v>56.241199074074075</c:v>
                </c:pt>
                <c:pt idx="42">
                  <c:v>56.243138888888886</c:v>
                </c:pt>
                <c:pt idx="43">
                  <c:v>56.245078703703697</c:v>
                </c:pt>
                <c:pt idx="44">
                  <c:v>56.247018518518516</c:v>
                </c:pt>
                <c:pt idx="45">
                  <c:v>56.248958333333334</c:v>
                </c:pt>
                <c:pt idx="46">
                  <c:v>56.250898148148146</c:v>
                </c:pt>
                <c:pt idx="47">
                  <c:v>56.252837962962957</c:v>
                </c:pt>
                <c:pt idx="48">
                  <c:v>56.254777777777775</c:v>
                </c:pt>
                <c:pt idx="49">
                  <c:v>56.256717592592594</c:v>
                </c:pt>
                <c:pt idx="50">
                  <c:v>56.258657407407405</c:v>
                </c:pt>
                <c:pt idx="51">
                  <c:v>56.260597222222216</c:v>
                </c:pt>
                <c:pt idx="52">
                  <c:v>56.262537037037035</c:v>
                </c:pt>
                <c:pt idx="53">
                  <c:v>56.264476851851853</c:v>
                </c:pt>
                <c:pt idx="54">
                  <c:v>56.266416666666665</c:v>
                </c:pt>
                <c:pt idx="55">
                  <c:v>56.268356481481476</c:v>
                </c:pt>
                <c:pt idx="56">
                  <c:v>56.270296296296294</c:v>
                </c:pt>
                <c:pt idx="57">
                  <c:v>56.272236111111113</c:v>
                </c:pt>
                <c:pt idx="58">
                  <c:v>56.274175925925924</c:v>
                </c:pt>
                <c:pt idx="59">
                  <c:v>56.276077876984125</c:v>
                </c:pt>
                <c:pt idx="60">
                  <c:v>56.277904100529099</c:v>
                </c:pt>
                <c:pt idx="61">
                  <c:v>56.279654596560846</c:v>
                </c:pt>
                <c:pt idx="62">
                  <c:v>56.281329365079365</c:v>
                </c:pt>
                <c:pt idx="63">
                  <c:v>56.282966269841268</c:v>
                </c:pt>
                <c:pt idx="64">
                  <c:v>56.28460317460317</c:v>
                </c:pt>
                <c:pt idx="65">
                  <c:v>56.286240079365079</c:v>
                </c:pt>
                <c:pt idx="66">
                  <c:v>56.287876984126981</c:v>
                </c:pt>
                <c:pt idx="67">
                  <c:v>56.289513888888884</c:v>
                </c:pt>
                <c:pt idx="68">
                  <c:v>56.291150793650793</c:v>
                </c:pt>
                <c:pt idx="69">
                  <c:v>56.292787698412695</c:v>
                </c:pt>
                <c:pt idx="70">
                  <c:v>56.294424603174605</c:v>
                </c:pt>
                <c:pt idx="71">
                  <c:v>56.296061507936507</c:v>
                </c:pt>
                <c:pt idx="72">
                  <c:v>56.297698412698409</c:v>
                </c:pt>
                <c:pt idx="73">
                  <c:v>56.299335317460319</c:v>
                </c:pt>
                <c:pt idx="74">
                  <c:v>56.300972222222221</c:v>
                </c:pt>
                <c:pt idx="75">
                  <c:v>56.302609126984123</c:v>
                </c:pt>
                <c:pt idx="76">
                  <c:v>56.304246031746032</c:v>
                </c:pt>
                <c:pt idx="77">
                  <c:v>56.305882936507935</c:v>
                </c:pt>
                <c:pt idx="78">
                  <c:v>56.307519841269837</c:v>
                </c:pt>
                <c:pt idx="79">
                  <c:v>56.309156746031746</c:v>
                </c:pt>
                <c:pt idx="80">
                  <c:v>56.310793650793649</c:v>
                </c:pt>
                <c:pt idx="81">
                  <c:v>56.312430555555551</c:v>
                </c:pt>
                <c:pt idx="82">
                  <c:v>56.31406746031746</c:v>
                </c:pt>
                <c:pt idx="83">
                  <c:v>56.315704365079363</c:v>
                </c:pt>
                <c:pt idx="84">
                  <c:v>56.317341269841265</c:v>
                </c:pt>
                <c:pt idx="85">
                  <c:v>56.318978174603174</c:v>
                </c:pt>
                <c:pt idx="86">
                  <c:v>56.320615079365076</c:v>
                </c:pt>
                <c:pt idx="87">
                  <c:v>56.322251984126979</c:v>
                </c:pt>
                <c:pt idx="88">
                  <c:v>56.323888888888888</c:v>
                </c:pt>
                <c:pt idx="89">
                  <c:v>56.32552579365079</c:v>
                </c:pt>
                <c:pt idx="90">
                  <c:v>56.3271626984127</c:v>
                </c:pt>
                <c:pt idx="91">
                  <c:v>56.328799603174602</c:v>
                </c:pt>
                <c:pt idx="92">
                  <c:v>56.330436507936504</c:v>
                </c:pt>
                <c:pt idx="93">
                  <c:v>56.332073412698414</c:v>
                </c:pt>
                <c:pt idx="94">
                  <c:v>56.333710317460316</c:v>
                </c:pt>
                <c:pt idx="95">
                  <c:v>56.335347222222218</c:v>
                </c:pt>
                <c:pt idx="96">
                  <c:v>56.336984126984127</c:v>
                </c:pt>
                <c:pt idx="97">
                  <c:v>56.33862103174603</c:v>
                </c:pt>
                <c:pt idx="98">
                  <c:v>56.340257936507932</c:v>
                </c:pt>
                <c:pt idx="99">
                  <c:v>56.341894841269841</c:v>
                </c:pt>
                <c:pt idx="100">
                  <c:v>56.343531746031744</c:v>
                </c:pt>
                <c:pt idx="101">
                  <c:v>56.345168650793646</c:v>
                </c:pt>
                <c:pt idx="102">
                  <c:v>56.346805555555555</c:v>
                </c:pt>
                <c:pt idx="103">
                  <c:v>56.348442460317457</c:v>
                </c:pt>
                <c:pt idx="104">
                  <c:v>56.35007936507936</c:v>
                </c:pt>
                <c:pt idx="105">
                  <c:v>56.351716269841269</c:v>
                </c:pt>
                <c:pt idx="106">
                  <c:v>56.353353174603171</c:v>
                </c:pt>
                <c:pt idx="107">
                  <c:v>56.354990079365081</c:v>
                </c:pt>
                <c:pt idx="108">
                  <c:v>56.356626984126983</c:v>
                </c:pt>
                <c:pt idx="109">
                  <c:v>56.358263888888885</c:v>
                </c:pt>
                <c:pt idx="110">
                  <c:v>56.359900793650795</c:v>
                </c:pt>
                <c:pt idx="111">
                  <c:v>56.361537698412697</c:v>
                </c:pt>
                <c:pt idx="112">
                  <c:v>56.363174603174599</c:v>
                </c:pt>
                <c:pt idx="113">
                  <c:v>56.364811507936508</c:v>
                </c:pt>
                <c:pt idx="114">
                  <c:v>56.366448412698411</c:v>
                </c:pt>
                <c:pt idx="115">
                  <c:v>56.368085317460313</c:v>
                </c:pt>
                <c:pt idx="116">
                  <c:v>56.369722222222222</c:v>
                </c:pt>
                <c:pt idx="117">
                  <c:v>56.371359126984125</c:v>
                </c:pt>
                <c:pt idx="118">
                  <c:v>56.372996031746027</c:v>
                </c:pt>
                <c:pt idx="119">
                  <c:v>56.374632936507936</c:v>
                </c:pt>
                <c:pt idx="120">
                  <c:v>56.376269841269838</c:v>
                </c:pt>
                <c:pt idx="121">
                  <c:v>56.377906746031741</c:v>
                </c:pt>
                <c:pt idx="122">
                  <c:v>56.37954365079365</c:v>
                </c:pt>
                <c:pt idx="123">
                  <c:v>56.381180555555552</c:v>
                </c:pt>
                <c:pt idx="124">
                  <c:v>56.382817460317455</c:v>
                </c:pt>
                <c:pt idx="125">
                  <c:v>56.384454365079364</c:v>
                </c:pt>
                <c:pt idx="126">
                  <c:v>56.386091269841266</c:v>
                </c:pt>
                <c:pt idx="127">
                  <c:v>56.387728174603176</c:v>
                </c:pt>
                <c:pt idx="128">
                  <c:v>56.389365079365078</c:v>
                </c:pt>
                <c:pt idx="129">
                  <c:v>56.39100198412698</c:v>
                </c:pt>
                <c:pt idx="130">
                  <c:v>56.392638888888889</c:v>
                </c:pt>
                <c:pt idx="131">
                  <c:v>56.394275793650792</c:v>
                </c:pt>
                <c:pt idx="132">
                  <c:v>56.395912698412694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75B-B644-D196D737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'GZP155'!$E$60:$E$72</c:f>
              <c:numCache>
                <c:formatCode>General</c:formatCode>
                <c:ptCount val="13"/>
                <c:pt idx="0">
                  <c:v>85545.592000000004</c:v>
                </c:pt>
                <c:pt idx="1">
                  <c:v>84405.140000000014</c:v>
                </c:pt>
                <c:pt idx="2">
                  <c:v>83264.687999999995</c:v>
                </c:pt>
                <c:pt idx="3">
                  <c:v>82124.236000000004</c:v>
                </c:pt>
                <c:pt idx="4">
                  <c:v>80983.784</c:v>
                </c:pt>
                <c:pt idx="5">
                  <c:v>79840.976758928577</c:v>
                </c:pt>
                <c:pt idx="6">
                  <c:v>78693.459035714288</c:v>
                </c:pt>
                <c:pt idx="7">
                  <c:v>77541.230830357148</c:v>
                </c:pt>
                <c:pt idx="8">
                  <c:v>76384.292142857143</c:v>
                </c:pt>
                <c:pt idx="9">
                  <c:v>75224.998214285719</c:v>
                </c:pt>
                <c:pt idx="10">
                  <c:v>74065.704285714295</c:v>
                </c:pt>
                <c:pt idx="11">
                  <c:v>72906.410357142857</c:v>
                </c:pt>
                <c:pt idx="12">
                  <c:v>71747.116428571433</c:v>
                </c:pt>
              </c:numCache>
            </c:numRef>
          </c:xVal>
          <c:yVal>
            <c:numRef>
              <c:f>'GZP155'!$F$60:$F$72</c:f>
              <c:numCache>
                <c:formatCode>General</c:formatCode>
                <c:ptCount val="13"/>
                <c:pt idx="0">
                  <c:v>46606.922000000006</c:v>
                </c:pt>
                <c:pt idx="1">
                  <c:v>46824.943333333336</c:v>
                </c:pt>
                <c:pt idx="2">
                  <c:v>47042.964666666667</c:v>
                </c:pt>
                <c:pt idx="3">
                  <c:v>47260.986000000004</c:v>
                </c:pt>
                <c:pt idx="4">
                  <c:v>47479.007333333335</c:v>
                </c:pt>
                <c:pt idx="5">
                  <c:v>47692.89115625</c:v>
                </c:pt>
                <c:pt idx="6">
                  <c:v>47898.499958333341</c:v>
                </c:pt>
                <c:pt idx="7">
                  <c:v>48095.833739583337</c:v>
                </c:pt>
                <c:pt idx="8">
                  <c:v>48284.892500000002</c:v>
                </c:pt>
                <c:pt idx="9">
                  <c:v>48469.813750000001</c:v>
                </c:pt>
                <c:pt idx="10">
                  <c:v>48654.735000000001</c:v>
                </c:pt>
                <c:pt idx="11">
                  <c:v>48839.65625</c:v>
                </c:pt>
                <c:pt idx="12">
                  <c:v>49024.577499999999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A-483D-8A71-1BF91D9FE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152400</xdr:colOff>
      <xdr:row>130</xdr:row>
      <xdr:rowOff>76200</xdr:rowOff>
    </xdr:from>
    <xdr:to>
      <xdr:col>27</xdr:col>
      <xdr:colOff>133350</xdr:colOff>
      <xdr:row>145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209550</xdr:colOff>
      <xdr:row>118</xdr:row>
      <xdr:rowOff>66675</xdr:rowOff>
    </xdr:from>
    <xdr:to>
      <xdr:col>22</xdr:col>
      <xdr:colOff>190500</xdr:colOff>
      <xdr:row>133</xdr:row>
      <xdr:rowOff>142875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64</xdr:row>
      <xdr:rowOff>38100</xdr:rowOff>
    </xdr:from>
    <xdr:to>
      <xdr:col>24</xdr:col>
      <xdr:colOff>161925</xdr:colOff>
      <xdr:row>79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O38"/>
  <sheetViews>
    <sheetView topLeftCell="A4" workbookViewId="0">
      <selection activeCell="K17" sqref="K17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15" x14ac:dyDescent="0.25">
      <c r="A1" t="s">
        <v>58</v>
      </c>
      <c r="N1" t="s">
        <v>59</v>
      </c>
      <c r="O1" t="s">
        <v>60</v>
      </c>
    </row>
    <row r="2" spans="1:15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15" x14ac:dyDescent="0.25">
      <c r="B4" s="14" t="s">
        <v>0</v>
      </c>
      <c r="C4" s="14"/>
      <c r="D4" s="14"/>
      <c r="E4" s="14" t="s">
        <v>1</v>
      </c>
      <c r="F4" s="14"/>
      <c r="G4" s="14"/>
    </row>
    <row r="5" spans="1:15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15" t="s">
        <v>17</v>
      </c>
      <c r="I5" s="15"/>
      <c r="J5" s="15" t="s">
        <v>133</v>
      </c>
      <c r="K5" s="15"/>
      <c r="L5" s="1" t="s">
        <v>135</v>
      </c>
      <c r="M5" s="1" t="s">
        <v>136</v>
      </c>
      <c r="N5" s="1" t="s">
        <v>12</v>
      </c>
      <c r="O5" s="1" t="s">
        <v>13</v>
      </c>
    </row>
    <row r="6" spans="1:15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>B6+C6/60+D6/3600</f>
        <v>55.85</v>
      </c>
      <c r="I6">
        <f>E6+F6/60+G6/3600</f>
        <v>32.93333333333333</v>
      </c>
      <c r="J6" t="str">
        <f>CONCATENATE(ROUNDDOWN(H6,0),".",TEXT(ROUNDDOWN((H6-ROUNDDOWN(H6,0))*100000,0),"00000"))</f>
        <v>55.85000</v>
      </c>
      <c r="K6" t="str">
        <f>CONCATENATE(ROUNDDOWN(I6,0),".",TEXT(ROUNDDOWN((I6-ROUNDDOWN(I6,0))*100000,0),"00000"))</f>
        <v>32.93333</v>
      </c>
      <c r="L6" t="s">
        <v>62</v>
      </c>
      <c r="M6" s="11" t="s">
        <v>63</v>
      </c>
      <c r="N6">
        <f>VALUE(SUBSTITUTE(L6,".",",",1))</f>
        <v>0.2718506</v>
      </c>
      <c r="O6">
        <f>VALUE(SUBSTITUTE(M6,".",",",1))</f>
        <v>-0.16986080000000001</v>
      </c>
    </row>
    <row r="7" spans="1:15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>B7+C7/60+D7/3600</f>
        <v>55.191666666666663</v>
      </c>
      <c r="I7">
        <f>E7+F7/60+G7/3600</f>
        <v>30.964722222222221</v>
      </c>
      <c r="J7" t="str">
        <f>CONCATENATE(ROUNDDOWN(H7,0),".",TEXT(ROUNDDOWN((H7-ROUNDDOWN(H7,0))*100000,0),"00000"))</f>
        <v>55.19166</v>
      </c>
      <c r="K7" t="str">
        <f>CONCATENATE(ROUNDDOWN(I7,0),".",TEXT(ROUNDDOWN((I7-ROUNDDOWN(I7,0))*100000,0),"00000"))</f>
        <v>30.96472</v>
      </c>
      <c r="L7" t="s">
        <v>65</v>
      </c>
      <c r="M7" t="s">
        <v>66</v>
      </c>
      <c r="N7">
        <f>VALUE(SUBSTITUTE(L7,".",",",1))</f>
        <v>-123019.3</v>
      </c>
      <c r="O7">
        <f>VALUE(SUBSTITUTE(M7,".",",",1))</f>
        <v>-72673.259999999995</v>
      </c>
    </row>
    <row r="8" spans="1:15" x14ac:dyDescent="0.25">
      <c r="A8" s="12" t="s">
        <v>67</v>
      </c>
      <c r="B8">
        <v>55</v>
      </c>
      <c r="C8">
        <v>27</v>
      </c>
      <c r="D8">
        <v>11</v>
      </c>
      <c r="E8">
        <v>33</v>
      </c>
      <c r="F8">
        <v>45</v>
      </c>
      <c r="G8">
        <v>59</v>
      </c>
      <c r="H8">
        <f>B8+C8/60+D8/3600</f>
        <v>55.453055555555558</v>
      </c>
      <c r="I8">
        <f>E8+F8/60+G8/3600</f>
        <v>33.766388888888891</v>
      </c>
      <c r="J8" t="str">
        <f>CONCATENATE(ROUNDDOWN(H8,0),".",TEXT(ROUNDDOWN((H8-ROUNDDOWN(H8,0))*100000,0),"00000"))</f>
        <v>55.45305</v>
      </c>
      <c r="K8" t="str">
        <f>CONCATENATE(ROUNDDOWN(I8,0),".",TEXT(ROUNDDOWN((I8-ROUNDDOWN(I8,0))*100000,0),"00000"))</f>
        <v>33.76638</v>
      </c>
      <c r="L8" t="s">
        <v>68</v>
      </c>
      <c r="M8" t="s">
        <v>69</v>
      </c>
      <c r="N8">
        <f>VALUE(SUBSTITUTE(L8,".",",",1))</f>
        <v>52058.18</v>
      </c>
      <c r="O8">
        <f>VALUE(SUBSTITUTE(M8,".",",",1))</f>
        <v>-43963.79</v>
      </c>
    </row>
    <row r="9" spans="1:15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>B9+C9/60+D9/3600</f>
        <v>55.555277777777775</v>
      </c>
      <c r="I9">
        <f>E9+F9/60+G9/3600</f>
        <v>35.021944444444443</v>
      </c>
      <c r="J9" t="str">
        <f>CONCATENATE(ROUNDDOWN(H9,0),".",TEXT(ROUNDDOWN((H9-ROUNDDOWN(H9,0))*100000,0),"00000"))</f>
        <v>55.55527</v>
      </c>
      <c r="K9" t="str">
        <f>CONCATENATE(ROUNDDOWN(I9,0),".",TEXT(ROUNDDOWN((I9-ROUNDDOWN(I9,0))*100000,0),"00000"))</f>
        <v>35.02194</v>
      </c>
      <c r="L9" t="s">
        <v>120</v>
      </c>
      <c r="M9" t="s">
        <v>121</v>
      </c>
      <c r="N9">
        <f>VALUE(SUBSTITUTE(L9,".",",",1))</f>
        <v>130518.1</v>
      </c>
      <c r="O9">
        <f>VALUE(SUBSTITUTE(M9,".",",",1))</f>
        <v>-32685.439999999999</v>
      </c>
    </row>
    <row r="10" spans="1:15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>B10+C10/60+D10/3600</f>
        <v>54.668333333333329</v>
      </c>
      <c r="I10">
        <f>E10+F10/60+G10/3600</f>
        <v>31.041388888888889</v>
      </c>
      <c r="J10" t="str">
        <f>CONCATENATE(ROUNDDOWN(H10,0),".",TEXT(ROUNDDOWN((H10-ROUNDDOWN(H10,0))*100000,0),"00000"))</f>
        <v>54.66833</v>
      </c>
      <c r="K10" t="str">
        <f>CONCATENATE(ROUNDDOWN(I10,0),".",TEXT(ROUNDDOWN((I10-ROUNDDOWN(I10,0))*100000,0),"00000"))</f>
        <v>31.04138</v>
      </c>
      <c r="L10" t="s">
        <v>88</v>
      </c>
      <c r="M10" t="s">
        <v>75</v>
      </c>
      <c r="N10">
        <f>VALUE(SUBSTITUTE(L10,".",",",1))</f>
        <v>-118228.8</v>
      </c>
      <c r="O10">
        <f>VALUE(SUBSTITUTE(M10,".",",",1))</f>
        <v>-129591.7</v>
      </c>
    </row>
    <row r="11" spans="1:15" x14ac:dyDescent="0.25">
      <c r="A11" s="12" t="s">
        <v>72</v>
      </c>
      <c r="B11">
        <v>55</v>
      </c>
      <c r="C11">
        <v>8</v>
      </c>
      <c r="D11">
        <v>27</v>
      </c>
      <c r="E11">
        <v>33</v>
      </c>
      <c r="F11">
        <v>4</v>
      </c>
      <c r="G11">
        <v>0</v>
      </c>
      <c r="H11">
        <f>B11+C11/60+D11/3600</f>
        <v>55.140833333333333</v>
      </c>
      <c r="I11">
        <f>E11+F11/60+G11/3600</f>
        <v>33.06666666666667</v>
      </c>
      <c r="J11" t="str">
        <f>CONCATENATE(ROUNDDOWN(H11,0),".",TEXT(ROUNDDOWN((H11-ROUNDDOWN(H11,0))*100000,0),"00000"))</f>
        <v>55.14083</v>
      </c>
      <c r="K11" t="str">
        <f>CONCATENATE(ROUNDDOWN(I11,0),".",TEXT(ROUNDDOWN((I11-ROUNDDOWN(I11,0))*100000,0),"00000"))</f>
        <v>33.06666</v>
      </c>
      <c r="L11" t="s">
        <v>89</v>
      </c>
      <c r="M11" t="s">
        <v>74</v>
      </c>
      <c r="N11">
        <f>VALUE(SUBSTITUTE(L11,".",",",1))</f>
        <v>8331.9689999999991</v>
      </c>
      <c r="O11">
        <f>VALUE(SUBSTITUTE(M11,".",",",1))</f>
        <v>-78234.7</v>
      </c>
    </row>
    <row r="12" spans="1:15" x14ac:dyDescent="0.25">
      <c r="A12" s="12" t="s">
        <v>73</v>
      </c>
      <c r="B12">
        <v>55</v>
      </c>
      <c r="C12">
        <v>20</v>
      </c>
      <c r="D12">
        <v>34</v>
      </c>
      <c r="E12">
        <v>33</v>
      </c>
      <c r="F12">
        <v>59</v>
      </c>
      <c r="G12">
        <v>50</v>
      </c>
      <c r="H12">
        <f>B12+C12/60+D12/3600</f>
        <v>55.342777777777783</v>
      </c>
      <c r="I12">
        <f>E12+F12/60+G12/3600</f>
        <v>33.99722222222222</v>
      </c>
      <c r="J12" t="str">
        <f>CONCATENATE(ROUNDDOWN(H12,0),".",TEXT(ROUNDDOWN((H12-ROUNDDOWN(H12,0))*100000,0),"00000"))</f>
        <v>55.34277</v>
      </c>
      <c r="K12" t="str">
        <f>CONCATENATE(ROUNDDOWN(I12,0),".",TEXT(ROUNDDOWN((I12-ROUNDDOWN(I12,0))*100000,0),"00000"))</f>
        <v>33.99722</v>
      </c>
      <c r="L12" t="s">
        <v>76</v>
      </c>
      <c r="M12" t="s">
        <v>77</v>
      </c>
      <c r="N12">
        <f>VALUE(SUBSTITUTE(L12,".",",",1))</f>
        <v>66482.929999999993</v>
      </c>
      <c r="O12">
        <f>VALUE(SUBSTITUTE(M12,".",",",1))</f>
        <v>-56100.07</v>
      </c>
    </row>
    <row r="13" spans="1:15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>B13+C13/60+D13/3600</f>
        <v>55.146388888888886</v>
      </c>
      <c r="I13">
        <f>E13+F13/60+G13/3600</f>
        <v>34.403055555555554</v>
      </c>
      <c r="J13" t="str">
        <f>CONCATENATE(ROUNDDOWN(H13,0),".",TEXT(ROUNDDOWN((H13-ROUNDDOWN(H13,0))*100000,0),"00000"))</f>
        <v>55.14638</v>
      </c>
      <c r="K13" t="str">
        <f>CONCATENATE(ROUNDDOWN(I13,0),".",TEXT(ROUNDDOWN((I13-ROUNDDOWN(I13,0))*100000,0),"00000"))</f>
        <v>34.40305</v>
      </c>
      <c r="L13" t="s">
        <v>80</v>
      </c>
      <c r="M13" t="s">
        <v>81</v>
      </c>
      <c r="N13">
        <f>VALUE(SUBSTITUTE(L13,".",",",1))</f>
        <v>91843.46</v>
      </c>
      <c r="O13">
        <f>VALUE(SUBSTITUTE(M13,".",",",1))</f>
        <v>-77627.820000000007</v>
      </c>
    </row>
    <row r="14" spans="1:15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>B14+C14/60+D14/3600</f>
        <v>54.854722222222222</v>
      </c>
      <c r="I14">
        <f>E14+F14/60+G14/3600</f>
        <v>33.116388888888892</v>
      </c>
      <c r="J14" t="str">
        <f>CONCATENATE(ROUNDDOWN(H14,0),".",TEXT(ROUNDDOWN((H14-ROUNDDOWN(H14,0))*100000,0),"00000"))</f>
        <v>54.85472</v>
      </c>
      <c r="K14" t="str">
        <f>CONCATENATE(ROUNDDOWN(I14,0),".",TEXT(ROUNDDOWN((I14-ROUNDDOWN(I14,0))*100000,0),"00000"))</f>
        <v>33.11638</v>
      </c>
      <c r="L14" t="s">
        <v>82</v>
      </c>
      <c r="M14" t="s">
        <v>83</v>
      </c>
      <c r="N14">
        <f>VALUE(SUBSTITUTE(L14,".",",",1))</f>
        <v>11438.8</v>
      </c>
      <c r="O14">
        <f>VALUE(SUBSTITUTE(M14,".",",",1))</f>
        <v>-109404.5</v>
      </c>
    </row>
    <row r="15" spans="1:15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>B15+C15/60+D15/3600</f>
        <v>55.28</v>
      </c>
      <c r="I15">
        <f>E15+F15/60+G15/3600</f>
        <v>30.861388888888889</v>
      </c>
      <c r="J15" t="str">
        <f>CONCATENATE(ROUNDDOWN(H15,0),".",TEXT(ROUNDDOWN((H15-ROUNDDOWN(H15,0))*100000,0),"00000"))</f>
        <v>55.28000</v>
      </c>
      <c r="K15" t="str">
        <f>CONCATENATE(ROUNDDOWN(I15,0),".",TEXT(ROUNDDOWN((I15-ROUNDDOWN(I15,0))*100000,0),"00000"))</f>
        <v>30.86138</v>
      </c>
      <c r="L15" s="11" t="s">
        <v>85</v>
      </c>
      <c r="M15" s="11" t="s">
        <v>86</v>
      </c>
      <c r="N15">
        <f>VALUE(SUBSTITUTE(L15,".",",",1))</f>
        <v>-129477.1</v>
      </c>
      <c r="O15">
        <f>VALUE(SUBSTITUTE(M15,".",",",1))</f>
        <v>-62992.480000000003</v>
      </c>
    </row>
    <row r="16" spans="1:15" x14ac:dyDescent="0.25">
      <c r="A16" s="12" t="s">
        <v>87</v>
      </c>
      <c r="B16">
        <v>56</v>
      </c>
      <c r="C16">
        <v>1</v>
      </c>
      <c r="D16">
        <v>17</v>
      </c>
      <c r="E16">
        <v>33</v>
      </c>
      <c r="F16">
        <v>25</v>
      </c>
      <c r="G16">
        <v>52</v>
      </c>
      <c r="H16">
        <f>B16+C16/60+D16/3600</f>
        <v>56.021388888888886</v>
      </c>
      <c r="I16">
        <f>E16+F16/60+G16/3600</f>
        <v>33.431111111111107</v>
      </c>
      <c r="J16" t="str">
        <f>CONCATENATE(ROUNDDOWN(H16,0),".",TEXT(ROUNDDOWN((H16-ROUNDDOWN(H16,0))*100000,0),"00000"))</f>
        <v>56.02138</v>
      </c>
      <c r="K16" t="str">
        <f>CONCATENATE(ROUNDDOWN(I16,0),".",TEXT(ROUNDDOWN((I16-ROUNDDOWN(I16,0))*100000,0),"00000"))</f>
        <v>33.43111</v>
      </c>
      <c r="L16" t="s">
        <v>90</v>
      </c>
      <c r="M16" t="s">
        <v>91</v>
      </c>
      <c r="N16">
        <f>VALUE(SUBSTITUTE(L16,".",",",1))</f>
        <v>31106.53</v>
      </c>
      <c r="O16">
        <f>VALUE(SUBSTITUTE(M16,".",",",1))</f>
        <v>19120.3</v>
      </c>
    </row>
    <row r="17" spans="1:15" x14ac:dyDescent="0.25">
      <c r="A17" s="12" t="s">
        <v>92</v>
      </c>
      <c r="B17">
        <v>56</v>
      </c>
      <c r="C17">
        <v>16</v>
      </c>
      <c r="D17">
        <v>41</v>
      </c>
      <c r="E17">
        <v>34</v>
      </c>
      <c r="F17">
        <v>11</v>
      </c>
      <c r="G17">
        <v>34</v>
      </c>
      <c r="H17">
        <f>B17+C17/60+D17/3600</f>
        <v>56.278055555555554</v>
      </c>
      <c r="I17">
        <f>E17+F17/60+G17/3600</f>
        <v>34.192777777777778</v>
      </c>
      <c r="J17" t="str">
        <f>CONCATENATE(ROUNDDOWN(H17,0),".",TEXT(ROUNDDOWN((H17-ROUNDDOWN(H17,0))*100000,0),"00000"))</f>
        <v>56.27805</v>
      </c>
      <c r="K17" t="str">
        <f>CONCATENATE(ROUNDDOWN(I17,0),".",TEXT(ROUNDDOWN((I17-ROUNDDOWN(I17,0))*100000,0),"00000"))</f>
        <v>34.19277</v>
      </c>
      <c r="L17" t="s">
        <v>96</v>
      </c>
      <c r="M17" t="s">
        <v>97</v>
      </c>
      <c r="N17">
        <f>VALUE(SUBSTITUTE(L17,".",",",1))</f>
        <v>78702.880000000005</v>
      </c>
      <c r="O17">
        <f>VALUE(SUBSTITUTE(M17,".",",",1))</f>
        <v>47915.05</v>
      </c>
    </row>
    <row r="18" spans="1:15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>B18+C18/60+D18/3600</f>
        <v>56.516666666666666</v>
      </c>
      <c r="I18">
        <f>E18+F18/60+G18/3600</f>
        <v>34.93333333333333</v>
      </c>
      <c r="J18" t="str">
        <f>CONCATENATE(ROUNDDOWN(H18,0),".",TEXT(ROUNDDOWN((H18-ROUNDDOWN(H18,0))*100000,0),"00000"))</f>
        <v>56.51666</v>
      </c>
      <c r="K18" t="str">
        <f>CONCATENATE(ROUNDDOWN(I18,0),".",TEXT(ROUNDDOWN((I18-ROUNDDOWN(I18,0))*100000,0),"00000"))</f>
        <v>34.93333</v>
      </c>
      <c r="L18">
        <v>124981</v>
      </c>
      <c r="M18" t="s">
        <v>98</v>
      </c>
      <c r="N18">
        <f>VALUE(SUBSTITUTE(L18,".",",",1))</f>
        <v>124981</v>
      </c>
      <c r="O18">
        <f>VALUE(SUBSTITUTE(M18,".",",",1))</f>
        <v>74857.69</v>
      </c>
    </row>
    <row r="19" spans="1:15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>B19+C19/60+D19/3600</f>
        <v>55.583333333333336</v>
      </c>
      <c r="I19">
        <f>E19+F19/60+G19/3600</f>
        <v>30.948055555555555</v>
      </c>
      <c r="J19" t="str">
        <f>CONCATENATE(ROUNDDOWN(H19,0),".",TEXT(ROUNDDOWN((H19-ROUNDDOWN(H19,0))*100000,0),"00000"))</f>
        <v>55.58333</v>
      </c>
      <c r="K19" t="str">
        <f>CONCATENATE(ROUNDDOWN(I19,0),".",TEXT(ROUNDDOWN((I19-ROUNDDOWN(I19,0))*100000,0),"00000"))</f>
        <v>30.94805</v>
      </c>
      <c r="L19" t="s">
        <v>99</v>
      </c>
      <c r="M19" t="s">
        <v>100</v>
      </c>
      <c r="N19">
        <f>VALUE(SUBSTITUTE(L19,".",",",1))</f>
        <v>-124061.1</v>
      </c>
      <c r="O19">
        <f>VALUE(SUBSTITUTE(M19,".",",",1))</f>
        <v>-29584.49</v>
      </c>
    </row>
    <row r="20" spans="1:15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>B20+C20/60+D20/3600</f>
        <v>55.833333333333336</v>
      </c>
      <c r="I20">
        <f>E20+F20/60+G20/3600</f>
        <v>34.859722222222224</v>
      </c>
      <c r="J20" t="str">
        <f>CONCATENATE(ROUNDDOWN(H20,0),".",TEXT(ROUNDDOWN((H20-ROUNDDOWN(H20,0))*100000,0),"00000"))</f>
        <v>55.83333</v>
      </c>
      <c r="K20" t="str">
        <f>CONCATENATE(ROUNDDOWN(I20,0),".",TEXT(ROUNDDOWN((I20-ROUNDDOWN(I20,0))*100000,0),"00000"))</f>
        <v>34.85972</v>
      </c>
      <c r="L20" t="s">
        <v>129</v>
      </c>
      <c r="M20" t="s">
        <v>130</v>
      </c>
      <c r="N20">
        <f>VALUE(SUBSTITUTE(L20,".",",",1))</f>
        <v>120380.9</v>
      </c>
      <c r="O20">
        <f>VALUE(SUBSTITUTE(M20,".",",",1))</f>
        <v>-1855.4929999999999</v>
      </c>
    </row>
    <row r="21" spans="1:15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>B21+C21/60+D21/3600</f>
        <v>56.081388888888895</v>
      </c>
      <c r="I21">
        <f>E21+F21/60+G21/3600</f>
        <v>31.001111111111111</v>
      </c>
      <c r="J21" t="str">
        <f>CONCATENATE(ROUNDDOWN(H21,0),".",TEXT(ROUNDDOWN((H21-ROUNDDOWN(H21,0))*100000,0),"00000"))</f>
        <v>56.08138</v>
      </c>
      <c r="K21" t="str">
        <f>CONCATENATE(ROUNDDOWN(I21,0),".",TEXT(ROUNDDOWN((I21-ROUNDDOWN(I21,0))*100000,0),"00000"))</f>
        <v>31.00111</v>
      </c>
      <c r="L21" t="s">
        <v>102</v>
      </c>
      <c r="M21" t="s">
        <v>103</v>
      </c>
      <c r="N21">
        <f>VALUE(SUBSTITUTE(L21,".",",",1))</f>
        <v>-120745.3</v>
      </c>
      <c r="O21">
        <f>VALUE(SUBSTITUTE(M21,".",",",1))</f>
        <v>25834.03</v>
      </c>
    </row>
    <row r="22" spans="1:15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>B22+C22/60+D22/3600</f>
        <v>56.299722222222222</v>
      </c>
      <c r="I22">
        <f>E22+F22/60+G22/3600</f>
        <v>30.997777777777777</v>
      </c>
      <c r="J22" t="str">
        <f>CONCATENATE(ROUNDDOWN(H22,0),".",TEXT(ROUNDDOWN((H22-ROUNDDOWN(H22,0))*100000,0),"00000"))</f>
        <v>56.29972</v>
      </c>
      <c r="K22" t="str">
        <f>CONCATENATE(ROUNDDOWN(I22,0),".",TEXT(ROUNDDOWN((I22-ROUNDDOWN(I22,0))*100000,0),"00000"))</f>
        <v>30.99777</v>
      </c>
      <c r="L22">
        <v>-120954</v>
      </c>
      <c r="M22" t="s">
        <v>105</v>
      </c>
      <c r="N22">
        <f>VALUE(SUBSTITUTE(L22,".",",",1))</f>
        <v>-120954</v>
      </c>
      <c r="O22">
        <f>VALUE(SUBSTITUTE(M22,".",",",1))</f>
        <v>50355.11</v>
      </c>
    </row>
    <row r="23" spans="1:15" x14ac:dyDescent="0.25">
      <c r="A23" s="12" t="s">
        <v>106</v>
      </c>
      <c r="B23">
        <v>56</v>
      </c>
      <c r="C23">
        <v>10</v>
      </c>
      <c r="D23">
        <v>41</v>
      </c>
      <c r="E23">
        <v>32</v>
      </c>
      <c r="F23">
        <v>7</v>
      </c>
      <c r="G23">
        <v>4</v>
      </c>
      <c r="H23">
        <f>B23+C23/60+D23/3600</f>
        <v>56.178055555555552</v>
      </c>
      <c r="I23">
        <f>E23+F23/60+G23/3600</f>
        <v>32.117777777777775</v>
      </c>
      <c r="J23" t="str">
        <f>CONCATENATE(ROUNDDOWN(H23,0),".",TEXT(ROUNDDOWN((H23-ROUNDDOWN(H23,0))*100000,0),"00000"))</f>
        <v>56.17805</v>
      </c>
      <c r="K23" t="str">
        <f>CONCATENATE(ROUNDDOWN(I23,0),".",TEXT(ROUNDDOWN((I23-ROUNDDOWN(I23,0))*100000,0),"00000"))</f>
        <v>32.11777</v>
      </c>
      <c r="L23" t="s">
        <v>107</v>
      </c>
      <c r="M23" t="s">
        <v>108</v>
      </c>
      <c r="N23">
        <f>VALUE(SUBSTITUTE(L23,".",",",1))</f>
        <v>-50964.65</v>
      </c>
      <c r="O23">
        <f>VALUE(SUBSTITUTE(M23,".",",",1))</f>
        <v>36673.67</v>
      </c>
    </row>
    <row r="24" spans="1:15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>B24+C24/60+D24/3600</f>
        <v>56.553055555555552</v>
      </c>
      <c r="I24">
        <f>E24+F24/60+G24/3600</f>
        <v>31.076111111111111</v>
      </c>
      <c r="J24" t="str">
        <f>CONCATENATE(ROUNDDOWN(H24,0),".",TEXT(ROUNDDOWN((H24-ROUNDDOWN(H24,0))*100000,0),"00000"))</f>
        <v>56.55305</v>
      </c>
      <c r="K24" t="str">
        <f>CONCATENATE(ROUNDDOWN(I24,0),".",TEXT(ROUNDDOWN((I24-ROUNDDOWN(I24,0))*100000,0),"00000"))</f>
        <v>31.07611</v>
      </c>
      <c r="L24" t="s">
        <v>110</v>
      </c>
      <c r="M24" t="s">
        <v>111</v>
      </c>
      <c r="N24">
        <f>VALUE(SUBSTITUTE(L24,".",",",1))</f>
        <v>-116058.5</v>
      </c>
      <c r="O24">
        <f>VALUE(SUBSTITUTE(M24,".",",",1))</f>
        <v>78981.820000000007</v>
      </c>
    </row>
    <row r="25" spans="1:15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>B25+C25/60+D25/3600</f>
        <v>56.203055555555558</v>
      </c>
      <c r="I25">
        <f>E25+F25/60+G25/3600</f>
        <v>34.901111111111106</v>
      </c>
      <c r="J25" t="str">
        <f>CONCATENATE(ROUNDDOWN(H25,0),".",TEXT(ROUNDDOWN((H25-ROUNDDOWN(H25,0))*100000,0),"00000"))</f>
        <v>56.20305</v>
      </c>
      <c r="K25" t="str">
        <f>CONCATENATE(ROUNDDOWN(I25,0),".",TEXT(ROUNDDOWN((I25-ROUNDDOWN(I25,0))*100000,0),"00000"))</f>
        <v>34.90111</v>
      </c>
      <c r="L25" t="s">
        <v>113</v>
      </c>
      <c r="M25" t="s">
        <v>114</v>
      </c>
      <c r="N25">
        <f>VALUE(SUBSTITUTE(L25,".",",",1))</f>
        <v>122967.6</v>
      </c>
      <c r="O25">
        <f>VALUE(SUBSTITUTE(M25,".",",",1))</f>
        <v>39481.050000000003</v>
      </c>
    </row>
    <row r="26" spans="1:15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>B26+C26/60+D26/3600</f>
        <v>56.161666666666662</v>
      </c>
      <c r="I26">
        <f>E26+F26/60+G26/3600</f>
        <v>35.287777777777777</v>
      </c>
      <c r="J26" t="str">
        <f>CONCATENATE(ROUNDDOWN(H26,0),".",TEXT(ROUNDDOWN((H26-ROUNDDOWN(H26,0))*100000,0),"00000"))</f>
        <v>56.16166</v>
      </c>
      <c r="K26" t="str">
        <f>CONCATENATE(ROUNDDOWN(I26,0),".",TEXT(ROUNDDOWN((I26-ROUNDDOWN(I26,0))*100000,0),"00000"))</f>
        <v>35.28777</v>
      </c>
      <c r="L26">
        <v>147130</v>
      </c>
      <c r="M26" t="s">
        <v>116</v>
      </c>
      <c r="N26">
        <f>VALUE(SUBSTITUTE(L26,".",",",1))</f>
        <v>147130</v>
      </c>
      <c r="O26">
        <f>VALUE(SUBSTITUTE(M26,".",",",1))</f>
        <v>34833.769999999997</v>
      </c>
    </row>
    <row r="27" spans="1:15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>B27+C27/60+D27/3600</f>
        <v>57.289722222222217</v>
      </c>
      <c r="I27">
        <f>E27+F27/60+G27/3600</f>
        <v>32.394444444444446</v>
      </c>
      <c r="J27" t="str">
        <f>CONCATENATE(ROUNDDOWN(H27,0),".",TEXT(ROUNDDOWN((H27-ROUNDDOWN(H27,0))*100000,0),"00000"))</f>
        <v>57.28972</v>
      </c>
      <c r="K27" t="str">
        <f>CONCATENATE(ROUNDDOWN(I27,0),".",TEXT(ROUNDDOWN((I27-ROUNDDOWN(I27,0))*100000,0),"00000"))</f>
        <v>32.39444</v>
      </c>
      <c r="L27" t="s">
        <v>118</v>
      </c>
      <c r="M27" t="s">
        <v>119</v>
      </c>
      <c r="N27">
        <f>VALUE(SUBSTITUTE(L27,".",",",1))</f>
        <v>-33675.51</v>
      </c>
      <c r="O27">
        <f>VALUE(SUBSTITUTE(M27,".",",",1))</f>
        <v>163330.29999999999</v>
      </c>
    </row>
    <row r="28" spans="1:15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>B28+C28/60+D28/3600</f>
        <v>55.387222222222221</v>
      </c>
      <c r="I28">
        <f>E28+F28/60+G28/3600</f>
        <v>33.023055555555551</v>
      </c>
      <c r="J28" t="str">
        <f>CONCATENATE(ROUNDDOWN(H28,0),".",TEXT(ROUNDDOWN((H28-ROUNDDOWN(H28,0))*100000,0),"00000"))</f>
        <v>55.38722</v>
      </c>
      <c r="K28" t="str">
        <f>CONCATENATE(ROUNDDOWN(I28,0),".",TEXT(ROUNDDOWN((I28-ROUNDDOWN(I28,0))*100000,0),"00000"))</f>
        <v>33.02305</v>
      </c>
      <c r="L28" t="s">
        <v>125</v>
      </c>
      <c r="M28" t="s">
        <v>126</v>
      </c>
      <c r="N28">
        <f>VALUE(SUBSTITUTE(L28,".",",",1))</f>
        <v>5606.5450000000001</v>
      </c>
      <c r="O28">
        <f>VALUE(SUBSTITUTE(M28,".",",",1))</f>
        <v>-51212.86</v>
      </c>
    </row>
    <row r="29" spans="1:15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>B29+C29/60+D29/3600</f>
        <v>56.087777777777781</v>
      </c>
      <c r="I29">
        <f>E29+F29/60+G29/3600</f>
        <v>32.855277777777779</v>
      </c>
      <c r="J29" t="str">
        <f>CONCATENATE(ROUNDDOWN(H29,0),".",TEXT(ROUNDDOWN((H29-ROUNDDOWN(H29,0))*100000,0),"00000"))</f>
        <v>56.08777</v>
      </c>
      <c r="K29" t="str">
        <f>CONCATENATE(ROUNDDOWN(I29,0),".",TEXT(ROUNDDOWN((I29-ROUNDDOWN(I29,0))*100000,0),"00000"))</f>
        <v>32.85527</v>
      </c>
      <c r="L29" t="s">
        <v>127</v>
      </c>
      <c r="M29" t="s">
        <v>128</v>
      </c>
      <c r="N29">
        <f>VALUE(SUBSTITUTE(L29,".",",",1))</f>
        <v>-4877.982</v>
      </c>
      <c r="O29">
        <f>VALUE(SUBSTITUTE(M29,".",",",1))</f>
        <v>26549.65</v>
      </c>
    </row>
    <row r="30" spans="1:15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>B30+C30/60+D30/3600</f>
        <v>56.414999999999999</v>
      </c>
      <c r="I30">
        <f>E30+F30/60+G30/3600</f>
        <v>32.730555555555554</v>
      </c>
      <c r="J30" t="str">
        <f>CONCATENATE(ROUNDDOWN(H30,0),".",TEXT(ROUNDDOWN((H30-ROUNDDOWN(H30,0))*100000,0),"00000"))</f>
        <v>56.41499</v>
      </c>
      <c r="K30" t="str">
        <f>CONCATENATE(ROUNDDOWN(I30,0),".",TEXT(ROUNDDOWN((I30-ROUNDDOWN(I30,0))*100000,0),"00000"))</f>
        <v>32.73055</v>
      </c>
      <c r="L30" t="s">
        <v>131</v>
      </c>
      <c r="M30" t="s">
        <v>132</v>
      </c>
      <c r="N30">
        <f>VALUE(SUBSTITUTE(L30,".",",",1))</f>
        <v>-12671.89</v>
      </c>
      <c r="O30">
        <f>VALUE(SUBSTITUTE(M30,".",",",1))</f>
        <v>63357.02</v>
      </c>
    </row>
    <row r="33" spans="8:10" x14ac:dyDescent="0.25">
      <c r="H33" s="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55.453055555555558</v>
      </c>
      <c r="J35">
        <f>VLOOKUP(H35,A$6:O$30,9,FALSE)</f>
        <v>33.766388888888891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3"/>
  <sheetViews>
    <sheetView workbookViewId="0">
      <selection activeCell="D29" sqref="D29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1" spans="1:6" x14ac:dyDescent="0.25">
      <c r="A31" t="s">
        <v>137</v>
      </c>
    </row>
    <row r="32" spans="1:6" x14ac:dyDescent="0.25">
      <c r="A32" t="s">
        <v>3</v>
      </c>
      <c r="B32" t="s">
        <v>2</v>
      </c>
    </row>
    <row r="33" spans="1:2" x14ac:dyDescent="0.25">
      <c r="A33" t="s">
        <v>4</v>
      </c>
      <c r="B33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253"/>
  <sheetViews>
    <sheetView topLeftCell="A120" workbookViewId="0">
      <selection activeCell="F138" sqref="F138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>
        <v>424201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109</v>
      </c>
      <c r="C2" s="7">
        <v>350</v>
      </c>
      <c r="D2" s="7"/>
      <c r="E2" s="7">
        <f>VLOOKUP($B2,Beacons!$A$6:$O$30,14,FALSE)</f>
        <v>-116058.5</v>
      </c>
      <c r="F2" s="7">
        <f>VLOOKUP($B2,Beacons!$A$6:$O$30,15,FALSE)</f>
        <v>78981.820000000007</v>
      </c>
      <c r="G2" s="7">
        <f>C2*Params!F$2</f>
        <v>10668</v>
      </c>
      <c r="H2" s="9">
        <f t="shared" ref="H2:J3" si="0">(E3-E2)/(MINUTE($A3-$A2)*60+SECOND($A3-$A2))</f>
        <v>175.84662401606059</v>
      </c>
      <c r="I2" s="9">
        <f t="shared" si="0"/>
        <v>-119.66968160727274</v>
      </c>
      <c r="J2" s="9">
        <f t="shared" si="0"/>
        <v>0</v>
      </c>
      <c r="K2" s="9">
        <f>SQRT(H2*H2+I2*I2)</f>
        <v>212.70370912100194</v>
      </c>
      <c r="L2" s="9">
        <f>DEGREES(ATAN2(I2,H2))</f>
        <v>124.23663541539261</v>
      </c>
      <c r="M2" s="7">
        <f>VLOOKUP($B2,Beacons!$A$6:$O$30,8,FALSE)</f>
        <v>56.553055555555552</v>
      </c>
      <c r="N2" s="7">
        <f>VLOOKUP($B2,Beacons!$A$6:$O$30,9,FALSE)</f>
        <v>31.076111111111111</v>
      </c>
      <c r="O2" s="10">
        <f>(M3-M2)/(MINUTE($A3-$A2)*60+SECOND($A3-$A2))</f>
        <v>-1.0652356902356832E-3</v>
      </c>
      <c r="P2" s="10">
        <f>(N3-N2)/(MINUTE($A3-$A2)*60+SECOND($A3-$A2))</f>
        <v>2.8139730639730599E-3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170.07997805444447</v>
      </c>
      <c r="I3" s="9">
        <f t="shared" si="0"/>
        <v>-143.75490766518519</v>
      </c>
      <c r="J3" s="9">
        <f t="shared" si="0"/>
        <v>0</v>
      </c>
      <c r="K3" s="9">
        <f>SQRT(H3*H3+I3*I3)</f>
        <v>222.69412298672415</v>
      </c>
      <c r="L3" s="9">
        <f>DEGREES(ATAN2(I3,H3))</f>
        <v>130.20514523201822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-1.3029835390946582E-3</v>
      </c>
      <c r="P3" s="10">
        <f>(N4-N3)/(MINUTE($A4-$A3)*60+SECOND($A4-$A3))</f>
        <v>2.7217078189300439E-3</v>
      </c>
    </row>
    <row r="4" spans="1:16" x14ac:dyDescent="0.25">
      <c r="A4" s="5">
        <v>0.43124999999999997</v>
      </c>
      <c r="B4" s="6" t="s">
        <v>78</v>
      </c>
      <c r="C4" s="7">
        <v>350</v>
      </c>
      <c r="D4" s="7"/>
      <c r="E4" s="7">
        <f>VLOOKUP($B4,Beacons!$A$6:$O$30,14,FALSE)</f>
        <v>91843.46</v>
      </c>
      <c r="F4" s="7">
        <f>VLOOKUP($B4,Beacons!$A$6:$O$30,15,FALSE)</f>
        <v>-77627.820000000007</v>
      </c>
      <c r="G4" s="7">
        <f>C4*Params!F$2</f>
        <v>10668</v>
      </c>
      <c r="M4" s="7">
        <f>VLOOKUP($B4,Beacons!$A$6:$O$30,8,FALSE)</f>
        <v>55.146388888888886</v>
      </c>
      <c r="N4" s="7">
        <f>VLOOKUP($B4,Beacons!$A$6:$O$30,9,FALSE)</f>
        <v>34.403055555555554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0.41736111111111113</v>
      </c>
      <c r="B6" s="3">
        <f>Params!D29+MINUTE(A6-Params!C29)*60+SECOND(A6-Params!C29)</f>
        <v>1553300060</v>
      </c>
      <c r="C6">
        <v>2</v>
      </c>
      <c r="D6">
        <f>ROW()</f>
        <v>6</v>
      </c>
      <c r="E6">
        <f ca="1">INDIRECT("E$"&amp;C6)+INDIRECT("H$"&amp;C6)*($B6-INDIRECT("B$"&amp;D6))</f>
        <v>-116058.5</v>
      </c>
      <c r="F6">
        <f ca="1">INDIRECT("F$"&amp;C6)+INDIRECT("I$"&amp;C6)*($B6-INDIRECT("B$"&amp;D6))</f>
        <v>78981.820000000007</v>
      </c>
      <c r="G6">
        <f ca="1">INDIRECT("G$"&amp;C6)+INDIRECT("J$"&amp;C6)*($B6-INDIRECT("B$"&amp;D6))</f>
        <v>10668</v>
      </c>
      <c r="H6" s="9">
        <f ca="1">(E7-E6)/($B7-$B6)</f>
        <v>175.84662401606039</v>
      </c>
      <c r="I6" s="9">
        <f ca="1">(F7-F6)/($B7-$B6)</f>
        <v>-119.6696816072741</v>
      </c>
      <c r="J6" s="9">
        <f ca="1">(G7-G6)/($B7-$B6)</f>
        <v>0</v>
      </c>
      <c r="K6" s="9">
        <f ca="1">SQRT(H6*H6+I6*I6)</f>
        <v>212.70370912100256</v>
      </c>
      <c r="L6" s="9">
        <f ca="1">DEGREES(ATAN2(I6,H6))</f>
        <v>124.23663541539294</v>
      </c>
      <c r="M6">
        <f ca="1">INDIRECT("M$"&amp;C6)+INDIRECT("O$"&amp;C6)*($B6-INDIRECT("B$"&amp;D6))</f>
        <v>56.553055555555552</v>
      </c>
      <c r="N6">
        <f ca="1">INDIRECT("N$"&amp;C6)+INDIRECT("P$"&amp;C6)*($B6-INDIRECT("B$"&amp;D6))</f>
        <v>31.076111111111111</v>
      </c>
      <c r="P6" s="3"/>
    </row>
    <row r="7" spans="1:16" x14ac:dyDescent="0.25">
      <c r="A7" s="4">
        <f>A6+5/24/3600</f>
        <v>0.41741898148148149</v>
      </c>
      <c r="B7" s="3">
        <f>B6+SECOND(A7-A6)</f>
        <v>1553300065</v>
      </c>
      <c r="C7">
        <f>C6</f>
        <v>2</v>
      </c>
      <c r="D7">
        <f>D6</f>
        <v>6</v>
      </c>
      <c r="E7">
        <f ca="1">INDIRECT("E$"&amp;C7)+INDIRECT("H$"&amp;C7)*($B7-INDIRECT("B$"&amp;D7))</f>
        <v>-115179.2668799197</v>
      </c>
      <c r="F7">
        <f ca="1">INDIRECT("F$"&amp;C7)+INDIRECT("I$"&amp;C7)*($B7-INDIRECT("B$"&amp;D7))</f>
        <v>78383.471591963636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175.84662401606039</v>
      </c>
      <c r="I7" s="9">
        <f t="shared" ca="1" si="2"/>
        <v>-119.6696816072712</v>
      </c>
      <c r="J7" s="9">
        <f t="shared" ca="1" si="2"/>
        <v>0</v>
      </c>
      <c r="K7" s="9">
        <f t="shared" ref="K7:K70" ca="1" si="3">SQRT(H7*H7+I7*I7)</f>
        <v>212.70370912100094</v>
      </c>
      <c r="L7" s="9">
        <f t="shared" ref="L7:L70" ca="1" si="4">DEGREES(ATAN2(I7,H7))</f>
        <v>124.23663541539231</v>
      </c>
      <c r="M7">
        <f ca="1">INDIRECT("M$"&amp;C7)+INDIRECT("O$"&amp;C7)*($B7-INDIRECT("B$"&amp;D7))</f>
        <v>56.547729377104375</v>
      </c>
      <c r="N7">
        <f ca="1">INDIRECT("N$"&amp;C7)+INDIRECT("P$"&amp;C7)*($B7-INDIRECT("B$"&amp;D7))</f>
        <v>31.090180976430975</v>
      </c>
      <c r="P7" s="3"/>
    </row>
    <row r="8" spans="1:16" x14ac:dyDescent="0.25">
      <c r="A8" s="4">
        <f>A7+5/24/3600</f>
        <v>0.41747685185185185</v>
      </c>
      <c r="B8" s="3">
        <f>B7+SECOND(A8-A7)</f>
        <v>1553300070</v>
      </c>
      <c r="C8">
        <f t="shared" ref="C8:C71" si="5">C7</f>
        <v>2</v>
      </c>
      <c r="D8">
        <f t="shared" ref="D8:D71" si="6">D7</f>
        <v>6</v>
      </c>
      <c r="E8">
        <f t="shared" ref="E8:E33" ca="1" si="7">INDIRECT("E$"&amp;C8)+INDIRECT("H$"&amp;C8)*($B8-INDIRECT("B$"&amp;D8))</f>
        <v>-114300.0337598394</v>
      </c>
      <c r="F8">
        <f t="shared" ref="F8:F33" ca="1" si="8">INDIRECT("F$"&amp;C8)+INDIRECT("I$"&amp;C8)*($B8-INDIRECT("B$"&amp;D8))</f>
        <v>77785.12318392728</v>
      </c>
      <c r="G8">
        <f t="shared" ca="1" si="1"/>
        <v>10668</v>
      </c>
      <c r="H8" s="9">
        <f t="shared" ca="1" si="2"/>
        <v>175.84662401606039</v>
      </c>
      <c r="I8" s="9">
        <f t="shared" ca="1" si="2"/>
        <v>-119.6696816072741</v>
      </c>
      <c r="J8" s="9">
        <f t="shared" ca="1" si="2"/>
        <v>0</v>
      </c>
      <c r="K8" s="9">
        <f t="shared" ca="1" si="3"/>
        <v>212.70370912100256</v>
      </c>
      <c r="L8" s="9">
        <f t="shared" ca="1" si="4"/>
        <v>124.23663541539294</v>
      </c>
      <c r="M8">
        <f t="shared" ref="M8:M52" ca="1" si="9">INDIRECT("M$"&amp;C8)+INDIRECT("O$"&amp;C8)*($B8-INDIRECT("B$"&amp;D8))</f>
        <v>56.542403198653197</v>
      </c>
      <c r="N8">
        <f t="shared" ref="N8:N52" ca="1" si="10">INDIRECT("N$"&amp;C8)+INDIRECT("P$"&amp;C8)*($B8-INDIRECT("B$"&amp;D8))</f>
        <v>31.10425084175084</v>
      </c>
      <c r="P8" s="3"/>
    </row>
    <row r="9" spans="1:16" x14ac:dyDescent="0.25">
      <c r="A9" s="4">
        <f t="shared" ref="A9:A72" si="11">A8+5/24/3600</f>
        <v>0.41753472222222221</v>
      </c>
      <c r="B9" s="3">
        <f t="shared" ref="B9:B72" si="12">B8+SECOND(A9-A8)</f>
        <v>1553300075</v>
      </c>
      <c r="C9">
        <f t="shared" si="5"/>
        <v>2</v>
      </c>
      <c r="D9">
        <f t="shared" si="6"/>
        <v>6</v>
      </c>
      <c r="E9">
        <f t="shared" ca="1" si="7"/>
        <v>-113420.80063975909</v>
      </c>
      <c r="F9">
        <f t="shared" ca="1" si="8"/>
        <v>77186.77477589091</v>
      </c>
      <c r="G9">
        <f t="shared" ca="1" si="1"/>
        <v>10668</v>
      </c>
      <c r="H9" s="9">
        <f t="shared" ca="1" si="2"/>
        <v>175.84662401606039</v>
      </c>
      <c r="I9" s="9">
        <f t="shared" ca="1" si="2"/>
        <v>-119.6696816072712</v>
      </c>
      <c r="J9" s="9">
        <f t="shared" ca="1" si="2"/>
        <v>0</v>
      </c>
      <c r="K9" s="9">
        <f t="shared" ca="1" si="3"/>
        <v>212.70370912100094</v>
      </c>
      <c r="L9" s="9">
        <f t="shared" ca="1" si="4"/>
        <v>124.23663541539231</v>
      </c>
      <c r="M9">
        <f t="shared" ca="1" si="9"/>
        <v>56.53707702020202</v>
      </c>
      <c r="N9">
        <f t="shared" ca="1" si="10"/>
        <v>31.118320707070705</v>
      </c>
    </row>
    <row r="10" spans="1:16" x14ac:dyDescent="0.25">
      <c r="A10" s="4">
        <f t="shared" si="11"/>
        <v>0.41759259259259257</v>
      </c>
      <c r="B10" s="3">
        <f t="shared" si="12"/>
        <v>1553300080</v>
      </c>
      <c r="C10">
        <f t="shared" si="5"/>
        <v>2</v>
      </c>
      <c r="D10">
        <f t="shared" si="6"/>
        <v>6</v>
      </c>
      <c r="E10">
        <f t="shared" ca="1" si="7"/>
        <v>-112541.56751967879</v>
      </c>
      <c r="F10">
        <f t="shared" ca="1" si="8"/>
        <v>76588.426367854554</v>
      </c>
      <c r="G10">
        <f t="shared" ca="1" si="1"/>
        <v>10668</v>
      </c>
      <c r="H10" s="9">
        <f t="shared" ca="1" si="2"/>
        <v>175.84662401606039</v>
      </c>
      <c r="I10" s="9">
        <f t="shared" ca="1" si="2"/>
        <v>-119.6696816072741</v>
      </c>
      <c r="J10" s="9">
        <f t="shared" ca="1" si="2"/>
        <v>0</v>
      </c>
      <c r="K10" s="9">
        <f t="shared" ca="1" si="3"/>
        <v>212.70370912100256</v>
      </c>
      <c r="L10" s="9">
        <f t="shared" ca="1" si="4"/>
        <v>124.23663541539294</v>
      </c>
      <c r="M10">
        <f t="shared" ca="1" si="9"/>
        <v>56.531750841750842</v>
      </c>
      <c r="N10">
        <f t="shared" ca="1" si="10"/>
        <v>31.132390572390573</v>
      </c>
      <c r="P10" s="9"/>
    </row>
    <row r="11" spans="1:16" x14ac:dyDescent="0.25">
      <c r="A11" s="4">
        <f t="shared" si="11"/>
        <v>0.41765046296296293</v>
      </c>
      <c r="B11" s="3">
        <f t="shared" si="12"/>
        <v>1553300085</v>
      </c>
      <c r="C11">
        <f t="shared" si="5"/>
        <v>2</v>
      </c>
      <c r="D11">
        <f t="shared" si="6"/>
        <v>6</v>
      </c>
      <c r="E11">
        <f t="shared" ca="1" si="7"/>
        <v>-111662.33439959849</v>
      </c>
      <c r="F11">
        <f t="shared" ca="1" si="8"/>
        <v>75990.077959818183</v>
      </c>
      <c r="G11">
        <f t="shared" ca="1" si="1"/>
        <v>10668</v>
      </c>
      <c r="H11" s="9">
        <f t="shared" ca="1" si="2"/>
        <v>175.84662401606039</v>
      </c>
      <c r="I11" s="9">
        <f t="shared" ca="1" si="2"/>
        <v>-119.6696816072712</v>
      </c>
      <c r="J11" s="9">
        <f t="shared" ca="1" si="2"/>
        <v>0</v>
      </c>
      <c r="K11" s="9">
        <f t="shared" ca="1" si="3"/>
        <v>212.70370912100094</v>
      </c>
      <c r="L11" s="9">
        <f t="shared" ca="1" si="4"/>
        <v>124.23663541539231</v>
      </c>
      <c r="M11">
        <f t="shared" ca="1" si="9"/>
        <v>56.526424663299657</v>
      </c>
      <c r="N11">
        <f t="shared" ca="1" si="10"/>
        <v>31.146460437710438</v>
      </c>
    </row>
    <row r="12" spans="1:16" x14ac:dyDescent="0.25">
      <c r="A12" s="4">
        <f t="shared" si="11"/>
        <v>0.41770833333333329</v>
      </c>
      <c r="B12" s="3">
        <f t="shared" si="12"/>
        <v>1553300090</v>
      </c>
      <c r="C12">
        <f t="shared" si="5"/>
        <v>2</v>
      </c>
      <c r="D12">
        <f t="shared" si="6"/>
        <v>6</v>
      </c>
      <c r="E12">
        <f t="shared" ca="1" si="7"/>
        <v>-110783.10127951819</v>
      </c>
      <c r="F12">
        <f t="shared" ca="1" si="8"/>
        <v>75391.729551781827</v>
      </c>
      <c r="G12">
        <f t="shared" ca="1" si="1"/>
        <v>10668</v>
      </c>
      <c r="H12" s="9">
        <f t="shared" ca="1" si="2"/>
        <v>175.84662401606329</v>
      </c>
      <c r="I12" s="9">
        <f t="shared" ca="1" si="2"/>
        <v>-119.6696816072741</v>
      </c>
      <c r="J12" s="9">
        <f t="shared" ca="1" si="2"/>
        <v>0</v>
      </c>
      <c r="K12" s="9">
        <f t="shared" ca="1" si="3"/>
        <v>212.70370912100495</v>
      </c>
      <c r="L12" s="9">
        <f t="shared" ca="1" si="4"/>
        <v>124.23663541539251</v>
      </c>
      <c r="M12">
        <f t="shared" ca="1" si="9"/>
        <v>56.52109848484848</v>
      </c>
      <c r="N12">
        <f t="shared" ca="1" si="10"/>
        <v>31.160530303030303</v>
      </c>
    </row>
    <row r="13" spans="1:16" x14ac:dyDescent="0.25">
      <c r="A13" s="4">
        <f t="shared" si="11"/>
        <v>0.41776620370370365</v>
      </c>
      <c r="B13" s="3">
        <f t="shared" si="12"/>
        <v>1553300095</v>
      </c>
      <c r="C13">
        <f t="shared" si="5"/>
        <v>2</v>
      </c>
      <c r="D13">
        <f t="shared" si="6"/>
        <v>6</v>
      </c>
      <c r="E13">
        <f t="shared" ca="1" si="7"/>
        <v>-109903.86815943787</v>
      </c>
      <c r="F13">
        <f t="shared" ca="1" si="8"/>
        <v>74793.381143745457</v>
      </c>
      <c r="G13">
        <f t="shared" ca="1" si="1"/>
        <v>10668</v>
      </c>
      <c r="H13" s="9">
        <f t="shared" ca="1" si="2"/>
        <v>175.84662401606039</v>
      </c>
      <c r="I13" s="9">
        <f t="shared" ca="1" si="2"/>
        <v>-119.6696816072712</v>
      </c>
      <c r="J13" s="9">
        <f t="shared" ca="1" si="2"/>
        <v>0</v>
      </c>
      <c r="K13" s="9">
        <f t="shared" ca="1" si="3"/>
        <v>212.70370912100094</v>
      </c>
      <c r="L13" s="9">
        <f t="shared" ca="1" si="4"/>
        <v>124.23663541539231</v>
      </c>
      <c r="M13">
        <f t="shared" ca="1" si="9"/>
        <v>56.515772306397302</v>
      </c>
      <c r="N13">
        <f t="shared" ca="1" si="10"/>
        <v>31.174600168350167</v>
      </c>
    </row>
    <row r="14" spans="1:16" x14ac:dyDescent="0.25">
      <c r="A14" s="4">
        <f t="shared" si="11"/>
        <v>0.41782407407407401</v>
      </c>
      <c r="B14" s="3">
        <f t="shared" si="12"/>
        <v>1553300100</v>
      </c>
      <c r="C14">
        <f t="shared" si="5"/>
        <v>2</v>
      </c>
      <c r="D14">
        <f t="shared" si="6"/>
        <v>6</v>
      </c>
      <c r="E14">
        <f t="shared" ca="1" si="7"/>
        <v>-109024.63503935757</v>
      </c>
      <c r="F14">
        <f t="shared" ca="1" si="8"/>
        <v>74195.032735709101</v>
      </c>
      <c r="G14">
        <f t="shared" ca="1" si="1"/>
        <v>10668</v>
      </c>
      <c r="H14" s="9">
        <f t="shared" ca="1" si="2"/>
        <v>175.84662401606039</v>
      </c>
      <c r="I14" s="9">
        <f t="shared" ca="1" si="2"/>
        <v>-119.6696816072741</v>
      </c>
      <c r="J14" s="9">
        <f t="shared" ca="1" si="2"/>
        <v>0</v>
      </c>
      <c r="K14" s="9">
        <f t="shared" ca="1" si="3"/>
        <v>212.70370912100256</v>
      </c>
      <c r="L14" s="9">
        <f t="shared" ca="1" si="4"/>
        <v>124.23663541539294</v>
      </c>
      <c r="M14">
        <f t="shared" ca="1" si="9"/>
        <v>56.510446127946125</v>
      </c>
      <c r="N14">
        <f t="shared" ca="1" si="10"/>
        <v>31.188670033670032</v>
      </c>
    </row>
    <row r="15" spans="1:16" x14ac:dyDescent="0.25">
      <c r="A15" s="4">
        <f t="shared" si="11"/>
        <v>0.41788194444444438</v>
      </c>
      <c r="B15" s="3">
        <f t="shared" si="12"/>
        <v>1553300105</v>
      </c>
      <c r="C15">
        <f t="shared" si="5"/>
        <v>2</v>
      </c>
      <c r="D15">
        <f t="shared" si="6"/>
        <v>6</v>
      </c>
      <c r="E15">
        <f t="shared" ca="1" si="7"/>
        <v>-108145.40191927727</v>
      </c>
      <c r="F15">
        <f t="shared" ca="1" si="8"/>
        <v>73596.68432767273</v>
      </c>
      <c r="G15">
        <f t="shared" ca="1" si="1"/>
        <v>10668</v>
      </c>
      <c r="H15" s="9">
        <f t="shared" ca="1" si="2"/>
        <v>175.84662401606039</v>
      </c>
      <c r="I15" s="9">
        <f t="shared" ca="1" si="2"/>
        <v>-119.6696816072712</v>
      </c>
      <c r="J15" s="9">
        <f t="shared" ca="1" si="2"/>
        <v>0</v>
      </c>
      <c r="K15" s="9">
        <f t="shared" ca="1" si="3"/>
        <v>212.70370912100094</v>
      </c>
      <c r="L15" s="9">
        <f t="shared" ca="1" si="4"/>
        <v>124.23663541539231</v>
      </c>
      <c r="M15">
        <f t="shared" ca="1" si="9"/>
        <v>56.505119949494947</v>
      </c>
      <c r="N15">
        <f t="shared" ca="1" si="10"/>
        <v>31.202739898989897</v>
      </c>
    </row>
    <row r="16" spans="1:16" x14ac:dyDescent="0.25">
      <c r="A16" s="4">
        <f t="shared" si="11"/>
        <v>0.41793981481481474</v>
      </c>
      <c r="B16" s="3">
        <f t="shared" si="12"/>
        <v>1553300110</v>
      </c>
      <c r="C16">
        <f t="shared" si="5"/>
        <v>2</v>
      </c>
      <c r="D16">
        <f t="shared" si="6"/>
        <v>6</v>
      </c>
      <c r="E16">
        <f t="shared" ca="1" si="7"/>
        <v>-107266.16879919697</v>
      </c>
      <c r="F16">
        <f t="shared" ca="1" si="8"/>
        <v>72998.335919636374</v>
      </c>
      <c r="G16">
        <f t="shared" ca="1" si="1"/>
        <v>10668</v>
      </c>
      <c r="H16" s="9">
        <f t="shared" ca="1" si="2"/>
        <v>175.84662401606039</v>
      </c>
      <c r="I16" s="9">
        <f t="shared" ca="1" si="2"/>
        <v>-119.6696816072741</v>
      </c>
      <c r="J16" s="9">
        <f t="shared" ca="1" si="2"/>
        <v>0</v>
      </c>
      <c r="K16" s="9">
        <f t="shared" ca="1" si="3"/>
        <v>212.70370912100256</v>
      </c>
      <c r="L16" s="9">
        <f t="shared" ca="1" si="4"/>
        <v>124.23663541539294</v>
      </c>
      <c r="M16">
        <f t="shared" ca="1" si="9"/>
        <v>56.49979377104377</v>
      </c>
      <c r="N16">
        <f t="shared" ca="1" si="10"/>
        <v>31.216809764309765</v>
      </c>
    </row>
    <row r="17" spans="1:14" x14ac:dyDescent="0.25">
      <c r="A17" s="4">
        <f t="shared" si="11"/>
        <v>0.4179976851851851</v>
      </c>
      <c r="B17" s="3">
        <f t="shared" si="12"/>
        <v>1553300115</v>
      </c>
      <c r="C17">
        <f t="shared" si="5"/>
        <v>2</v>
      </c>
      <c r="D17">
        <f t="shared" si="6"/>
        <v>6</v>
      </c>
      <c r="E17">
        <f t="shared" ca="1" si="7"/>
        <v>-106386.93567911666</v>
      </c>
      <c r="F17">
        <f t="shared" ca="1" si="8"/>
        <v>72399.987511600004</v>
      </c>
      <c r="G17">
        <f t="shared" ca="1" si="1"/>
        <v>10668</v>
      </c>
      <c r="H17" s="9">
        <f t="shared" ca="1" si="2"/>
        <v>175.84662401606039</v>
      </c>
      <c r="I17" s="9">
        <f t="shared" ca="1" si="2"/>
        <v>-119.6696816072712</v>
      </c>
      <c r="J17" s="9">
        <f t="shared" ca="1" si="2"/>
        <v>0</v>
      </c>
      <c r="K17" s="9">
        <f t="shared" ca="1" si="3"/>
        <v>212.70370912100094</v>
      </c>
      <c r="L17" s="9">
        <f t="shared" ca="1" si="4"/>
        <v>124.23663541539231</v>
      </c>
      <c r="M17">
        <f t="shared" ca="1" si="9"/>
        <v>56.494467592592592</v>
      </c>
      <c r="N17">
        <f t="shared" ca="1" si="10"/>
        <v>31.23087962962963</v>
      </c>
    </row>
    <row r="18" spans="1:14" x14ac:dyDescent="0.25">
      <c r="A18" s="4">
        <f t="shared" si="11"/>
        <v>0.41805555555555546</v>
      </c>
      <c r="B18" s="3">
        <f t="shared" si="12"/>
        <v>1553300120</v>
      </c>
      <c r="C18">
        <f t="shared" si="5"/>
        <v>2</v>
      </c>
      <c r="D18">
        <f t="shared" si="6"/>
        <v>6</v>
      </c>
      <c r="E18">
        <f t="shared" ca="1" si="7"/>
        <v>-105507.70255903636</v>
      </c>
      <c r="F18">
        <f t="shared" ca="1" si="8"/>
        <v>71801.639103563648</v>
      </c>
      <c r="G18">
        <f t="shared" ca="1" si="1"/>
        <v>10668</v>
      </c>
      <c r="H18" s="9">
        <f t="shared" ca="1" si="2"/>
        <v>175.84662401606039</v>
      </c>
      <c r="I18" s="9">
        <f t="shared" ca="1" si="2"/>
        <v>-119.6696816072741</v>
      </c>
      <c r="J18" s="9">
        <f t="shared" ca="1" si="2"/>
        <v>0</v>
      </c>
      <c r="K18" s="9">
        <f t="shared" ca="1" si="3"/>
        <v>212.70370912100256</v>
      </c>
      <c r="L18" s="9">
        <f t="shared" ca="1" si="4"/>
        <v>124.23663541539294</v>
      </c>
      <c r="M18">
        <f t="shared" ca="1" si="9"/>
        <v>56.489141414141415</v>
      </c>
      <c r="N18">
        <f t="shared" ca="1" si="10"/>
        <v>31.244949494949495</v>
      </c>
    </row>
    <row r="19" spans="1:14" x14ac:dyDescent="0.25">
      <c r="A19" s="4">
        <f t="shared" si="11"/>
        <v>0.41811342592592582</v>
      </c>
      <c r="B19" s="3">
        <f t="shared" si="12"/>
        <v>1553300125</v>
      </c>
      <c r="C19">
        <f t="shared" si="5"/>
        <v>2</v>
      </c>
      <c r="D19">
        <f t="shared" si="6"/>
        <v>6</v>
      </c>
      <c r="E19">
        <f t="shared" ca="1" si="7"/>
        <v>-104628.46943895606</v>
      </c>
      <c r="F19">
        <f t="shared" ca="1" si="8"/>
        <v>71203.290695527277</v>
      </c>
      <c r="G19">
        <f t="shared" ca="1" si="1"/>
        <v>10668</v>
      </c>
      <c r="H19" s="9">
        <f t="shared" ca="1" si="2"/>
        <v>175.84662401606039</v>
      </c>
      <c r="I19" s="9">
        <f t="shared" ca="1" si="2"/>
        <v>-119.6696816072712</v>
      </c>
      <c r="J19" s="9">
        <f t="shared" ca="1" si="2"/>
        <v>0</v>
      </c>
      <c r="K19" s="9">
        <f t="shared" ca="1" si="3"/>
        <v>212.70370912100094</v>
      </c>
      <c r="L19" s="9">
        <f t="shared" ca="1" si="4"/>
        <v>124.23663541539231</v>
      </c>
      <c r="M19">
        <f t="shared" ca="1" si="9"/>
        <v>56.48381523569023</v>
      </c>
      <c r="N19">
        <f t="shared" ca="1" si="10"/>
        <v>31.25901936026936</v>
      </c>
    </row>
    <row r="20" spans="1:14" x14ac:dyDescent="0.25">
      <c r="A20" s="4">
        <f t="shared" si="11"/>
        <v>0.41817129629629618</v>
      </c>
      <c r="B20" s="3">
        <f t="shared" si="12"/>
        <v>1553300130</v>
      </c>
      <c r="C20">
        <f t="shared" si="5"/>
        <v>2</v>
      </c>
      <c r="D20">
        <f t="shared" si="6"/>
        <v>6</v>
      </c>
      <c r="E20">
        <f t="shared" ca="1" si="7"/>
        <v>-103749.23631887576</v>
      </c>
      <c r="F20">
        <f t="shared" ca="1" si="8"/>
        <v>70604.942287490921</v>
      </c>
      <c r="G20">
        <f t="shared" ca="1" si="1"/>
        <v>10668</v>
      </c>
      <c r="H20" s="9">
        <f t="shared" ca="1" si="2"/>
        <v>175.84662401606039</v>
      </c>
      <c r="I20" s="9">
        <f t="shared" ca="1" si="2"/>
        <v>-119.6696816072741</v>
      </c>
      <c r="J20" s="9">
        <f t="shared" ca="1" si="2"/>
        <v>0</v>
      </c>
      <c r="K20" s="9">
        <f t="shared" ca="1" si="3"/>
        <v>212.70370912100256</v>
      </c>
      <c r="L20" s="9">
        <f t="shared" ca="1" si="4"/>
        <v>124.23663541539294</v>
      </c>
      <c r="M20">
        <f t="shared" ca="1" si="9"/>
        <v>56.478489057239052</v>
      </c>
      <c r="N20">
        <f t="shared" ca="1" si="10"/>
        <v>31.273089225589224</v>
      </c>
    </row>
    <row r="21" spans="1:14" x14ac:dyDescent="0.25">
      <c r="A21" s="4">
        <f t="shared" si="11"/>
        <v>0.41822916666666654</v>
      </c>
      <c r="B21" s="3">
        <f t="shared" si="12"/>
        <v>1553300135</v>
      </c>
      <c r="C21">
        <f t="shared" si="5"/>
        <v>2</v>
      </c>
      <c r="D21">
        <f t="shared" si="6"/>
        <v>6</v>
      </c>
      <c r="E21">
        <f t="shared" ca="1" si="7"/>
        <v>-102870.00319879546</v>
      </c>
      <c r="F21">
        <f t="shared" ca="1" si="8"/>
        <v>70006.593879454551</v>
      </c>
      <c r="G21">
        <f t="shared" ca="1" si="1"/>
        <v>10668</v>
      </c>
      <c r="H21" s="9">
        <f t="shared" ca="1" si="2"/>
        <v>175.84662401606039</v>
      </c>
      <c r="I21" s="9">
        <f t="shared" ca="1" si="2"/>
        <v>-119.6696816072712</v>
      </c>
      <c r="J21" s="9">
        <f t="shared" ca="1" si="2"/>
        <v>0</v>
      </c>
      <c r="K21" s="9">
        <f t="shared" ca="1" si="3"/>
        <v>212.70370912100094</v>
      </c>
      <c r="L21" s="9">
        <f t="shared" ca="1" si="4"/>
        <v>124.23663541539231</v>
      </c>
      <c r="M21">
        <f t="shared" ca="1" si="9"/>
        <v>56.473162878787875</v>
      </c>
      <c r="N21">
        <f t="shared" ca="1" si="10"/>
        <v>31.287159090909089</v>
      </c>
    </row>
    <row r="22" spans="1:14" x14ac:dyDescent="0.25">
      <c r="A22" s="4">
        <f t="shared" si="11"/>
        <v>0.4182870370370369</v>
      </c>
      <c r="B22" s="3">
        <f t="shared" si="12"/>
        <v>1553300140</v>
      </c>
      <c r="C22">
        <f t="shared" si="5"/>
        <v>2</v>
      </c>
      <c r="D22">
        <f t="shared" si="6"/>
        <v>6</v>
      </c>
      <c r="E22">
        <f t="shared" ca="1" si="7"/>
        <v>-101990.77007871516</v>
      </c>
      <c r="F22">
        <f t="shared" ca="1" si="8"/>
        <v>69408.245471418195</v>
      </c>
      <c r="G22">
        <f t="shared" ca="1" si="1"/>
        <v>10668</v>
      </c>
      <c r="H22" s="9">
        <f t="shared" ca="1" si="2"/>
        <v>175.84662401606039</v>
      </c>
      <c r="I22" s="9">
        <f t="shared" ca="1" si="2"/>
        <v>-119.6696816072741</v>
      </c>
      <c r="J22" s="9">
        <f t="shared" ca="1" si="2"/>
        <v>0</v>
      </c>
      <c r="K22" s="9">
        <f t="shared" ca="1" si="3"/>
        <v>212.70370912100256</v>
      </c>
      <c r="L22" s="9">
        <f t="shared" ca="1" si="4"/>
        <v>124.23663541539294</v>
      </c>
      <c r="M22">
        <f t="shared" ca="1" si="9"/>
        <v>56.467836700336697</v>
      </c>
      <c r="N22">
        <f t="shared" ca="1" si="10"/>
        <v>31.301228956228954</v>
      </c>
    </row>
    <row r="23" spans="1:14" x14ac:dyDescent="0.25">
      <c r="A23" s="4">
        <f t="shared" si="11"/>
        <v>0.41834490740740726</v>
      </c>
      <c r="B23" s="3">
        <f t="shared" si="12"/>
        <v>1553300145</v>
      </c>
      <c r="C23">
        <f t="shared" si="5"/>
        <v>2</v>
      </c>
      <c r="D23">
        <f t="shared" si="6"/>
        <v>6</v>
      </c>
      <c r="E23">
        <f t="shared" ca="1" si="7"/>
        <v>-101111.53695863485</v>
      </c>
      <c r="F23">
        <f t="shared" ca="1" si="8"/>
        <v>68809.897063381824</v>
      </c>
      <c r="G23">
        <f t="shared" ca="1" si="1"/>
        <v>10668</v>
      </c>
      <c r="H23" s="9">
        <f t="shared" ca="1" si="2"/>
        <v>175.84662401606039</v>
      </c>
      <c r="I23" s="9">
        <f t="shared" ca="1" si="2"/>
        <v>-119.6696816072741</v>
      </c>
      <c r="J23" s="9">
        <f t="shared" ca="1" si="2"/>
        <v>0</v>
      </c>
      <c r="K23" s="9">
        <f t="shared" ca="1" si="3"/>
        <v>212.70370912100256</v>
      </c>
      <c r="L23" s="9">
        <f t="shared" ca="1" si="4"/>
        <v>124.23663541539294</v>
      </c>
      <c r="M23">
        <f t="shared" ca="1" si="9"/>
        <v>56.46251052188552</v>
      </c>
      <c r="N23">
        <f t="shared" ca="1" si="10"/>
        <v>31.315298821548822</v>
      </c>
    </row>
    <row r="24" spans="1:14" x14ac:dyDescent="0.25">
      <c r="A24" s="4">
        <f t="shared" si="11"/>
        <v>0.41840277777777762</v>
      </c>
      <c r="B24" s="3">
        <f t="shared" si="12"/>
        <v>1553300150</v>
      </c>
      <c r="C24">
        <f t="shared" si="5"/>
        <v>2</v>
      </c>
      <c r="D24">
        <f t="shared" si="6"/>
        <v>6</v>
      </c>
      <c r="E24">
        <f t="shared" ca="1" si="7"/>
        <v>-100232.30383855455</v>
      </c>
      <c r="F24">
        <f t="shared" ca="1" si="8"/>
        <v>68211.548655345454</v>
      </c>
      <c r="G24">
        <f t="shared" ca="1" si="1"/>
        <v>10668</v>
      </c>
      <c r="H24" s="9">
        <f t="shared" ca="1" si="2"/>
        <v>175.84662401606039</v>
      </c>
      <c r="I24" s="9">
        <f t="shared" ca="1" si="2"/>
        <v>-119.6696816072712</v>
      </c>
      <c r="J24" s="9">
        <f t="shared" ca="1" si="2"/>
        <v>0</v>
      </c>
      <c r="K24" s="9">
        <f t="shared" ca="1" si="3"/>
        <v>212.70370912100094</v>
      </c>
      <c r="L24" s="9">
        <f t="shared" ca="1" si="4"/>
        <v>124.23663541539231</v>
      </c>
      <c r="M24">
        <f t="shared" ca="1" si="9"/>
        <v>56.457184343434342</v>
      </c>
      <c r="N24">
        <f t="shared" ca="1" si="10"/>
        <v>31.329368686868687</v>
      </c>
    </row>
    <row r="25" spans="1:14" x14ac:dyDescent="0.25">
      <c r="A25" s="4">
        <f t="shared" si="11"/>
        <v>0.41846064814814798</v>
      </c>
      <c r="B25" s="3">
        <f t="shared" si="12"/>
        <v>1553300155</v>
      </c>
      <c r="C25">
        <f t="shared" si="5"/>
        <v>2</v>
      </c>
      <c r="D25">
        <f t="shared" si="6"/>
        <v>6</v>
      </c>
      <c r="E25">
        <f t="shared" ca="1" si="7"/>
        <v>-99353.07071847425</v>
      </c>
      <c r="F25">
        <f t="shared" ca="1" si="8"/>
        <v>67613.200247309098</v>
      </c>
      <c r="G25">
        <f t="shared" ca="1" si="1"/>
        <v>10668</v>
      </c>
      <c r="H25" s="9">
        <f t="shared" ca="1" si="2"/>
        <v>175.84662401606329</v>
      </c>
      <c r="I25" s="9">
        <f t="shared" ca="1" si="2"/>
        <v>-119.6696816072741</v>
      </c>
      <c r="J25" s="9">
        <f t="shared" ca="1" si="2"/>
        <v>0</v>
      </c>
      <c r="K25" s="9">
        <f t="shared" ca="1" si="3"/>
        <v>212.70370912100495</v>
      </c>
      <c r="L25" s="9">
        <f t="shared" ca="1" si="4"/>
        <v>124.23663541539251</v>
      </c>
      <c r="M25">
        <f t="shared" ca="1" si="9"/>
        <v>56.451858164983165</v>
      </c>
      <c r="N25">
        <f t="shared" ca="1" si="10"/>
        <v>31.343438552188552</v>
      </c>
    </row>
    <row r="26" spans="1:14" x14ac:dyDescent="0.25">
      <c r="A26" s="4">
        <f t="shared" si="11"/>
        <v>0.41851851851851835</v>
      </c>
      <c r="B26" s="3">
        <f t="shared" si="12"/>
        <v>1553300160</v>
      </c>
      <c r="C26">
        <f t="shared" si="5"/>
        <v>2</v>
      </c>
      <c r="D26">
        <f t="shared" si="6"/>
        <v>6</v>
      </c>
      <c r="E26">
        <f t="shared" ca="1" si="7"/>
        <v>-98473.837598393933</v>
      </c>
      <c r="F26">
        <f t="shared" ca="1" si="8"/>
        <v>67014.851839272727</v>
      </c>
      <c r="G26">
        <f t="shared" ca="1" si="1"/>
        <v>10668</v>
      </c>
      <c r="H26" s="9">
        <f t="shared" ca="1" si="2"/>
        <v>175.84662401605746</v>
      </c>
      <c r="I26" s="9">
        <f t="shared" ca="1" si="2"/>
        <v>-119.6696816072712</v>
      </c>
      <c r="J26" s="9">
        <f t="shared" ca="1" si="2"/>
        <v>0</v>
      </c>
      <c r="K26" s="9">
        <f t="shared" ca="1" si="3"/>
        <v>212.7037091209985</v>
      </c>
      <c r="L26" s="9">
        <f t="shared" ca="1" si="4"/>
        <v>124.23663541539274</v>
      </c>
      <c r="M26">
        <f t="shared" ca="1" si="9"/>
        <v>56.446531986531987</v>
      </c>
      <c r="N26">
        <f t="shared" ca="1" si="10"/>
        <v>31.357508417508416</v>
      </c>
    </row>
    <row r="27" spans="1:14" x14ac:dyDescent="0.25">
      <c r="A27" s="4">
        <f t="shared" si="11"/>
        <v>0.41857638888888871</v>
      </c>
      <c r="B27" s="3">
        <f t="shared" si="12"/>
        <v>1553300165</v>
      </c>
      <c r="C27">
        <f t="shared" si="5"/>
        <v>2</v>
      </c>
      <c r="D27">
        <f t="shared" si="6"/>
        <v>6</v>
      </c>
      <c r="E27">
        <f t="shared" ca="1" si="7"/>
        <v>-97594.604478313646</v>
      </c>
      <c r="F27">
        <f t="shared" ca="1" si="8"/>
        <v>66416.503431236371</v>
      </c>
      <c r="G27">
        <f t="shared" ca="1" si="1"/>
        <v>10668</v>
      </c>
      <c r="H27" s="9">
        <f t="shared" ca="1" si="2"/>
        <v>175.84662401606329</v>
      </c>
      <c r="I27" s="9">
        <f t="shared" ca="1" si="2"/>
        <v>-119.6696816072741</v>
      </c>
      <c r="J27" s="9">
        <f t="shared" ca="1" si="2"/>
        <v>0</v>
      </c>
      <c r="K27" s="9">
        <f t="shared" ca="1" si="3"/>
        <v>212.70370912100495</v>
      </c>
      <c r="L27" s="9">
        <f t="shared" ca="1" si="4"/>
        <v>124.23663541539251</v>
      </c>
      <c r="M27">
        <f t="shared" ca="1" si="9"/>
        <v>56.441205808080802</v>
      </c>
      <c r="N27">
        <f t="shared" ca="1" si="10"/>
        <v>31.371578282828281</v>
      </c>
    </row>
    <row r="28" spans="1:14" x14ac:dyDescent="0.25">
      <c r="A28" s="4">
        <f t="shared" si="11"/>
        <v>0.41863425925925907</v>
      </c>
      <c r="B28" s="3">
        <f t="shared" si="12"/>
        <v>1553300170</v>
      </c>
      <c r="C28">
        <f t="shared" si="5"/>
        <v>2</v>
      </c>
      <c r="D28">
        <f t="shared" si="6"/>
        <v>6</v>
      </c>
      <c r="E28">
        <f t="shared" ca="1" si="7"/>
        <v>-96715.371358233329</v>
      </c>
      <c r="F28">
        <f t="shared" ca="1" si="8"/>
        <v>65818.155023200001</v>
      </c>
      <c r="G28">
        <f t="shared" ca="1" si="1"/>
        <v>10668</v>
      </c>
      <c r="H28" s="9">
        <f t="shared" ca="1" si="2"/>
        <v>175.84662401606039</v>
      </c>
      <c r="I28" s="9">
        <f t="shared" ca="1" si="2"/>
        <v>-119.6696816072712</v>
      </c>
      <c r="J28" s="9">
        <f t="shared" ca="1" si="2"/>
        <v>0</v>
      </c>
      <c r="K28" s="9">
        <f t="shared" ca="1" si="3"/>
        <v>212.70370912100094</v>
      </c>
      <c r="L28" s="9">
        <f t="shared" ca="1" si="4"/>
        <v>124.23663541539231</v>
      </c>
      <c r="M28">
        <f t="shared" ca="1" si="9"/>
        <v>56.435879629629625</v>
      </c>
      <c r="N28">
        <f t="shared" ca="1" si="10"/>
        <v>31.385648148148146</v>
      </c>
    </row>
    <row r="29" spans="1:14" x14ac:dyDescent="0.25">
      <c r="A29" s="4">
        <f t="shared" si="11"/>
        <v>0.41869212962962943</v>
      </c>
      <c r="B29" s="3">
        <f t="shared" si="12"/>
        <v>1553300175</v>
      </c>
      <c r="C29">
        <f t="shared" si="5"/>
        <v>2</v>
      </c>
      <c r="D29">
        <f t="shared" si="6"/>
        <v>6</v>
      </c>
      <c r="E29">
        <f t="shared" ca="1" si="7"/>
        <v>-95836.138238153027</v>
      </c>
      <c r="F29">
        <f t="shared" ca="1" si="8"/>
        <v>65219.806615163645</v>
      </c>
      <c r="G29">
        <f t="shared" ca="1" si="1"/>
        <v>10668</v>
      </c>
      <c r="H29" s="9">
        <f t="shared" ca="1" si="2"/>
        <v>175.84662401606039</v>
      </c>
      <c r="I29" s="9">
        <f t="shared" ca="1" si="2"/>
        <v>-119.6696816072741</v>
      </c>
      <c r="J29" s="9">
        <f t="shared" ca="1" si="2"/>
        <v>0</v>
      </c>
      <c r="K29" s="9">
        <f t="shared" ca="1" si="3"/>
        <v>212.70370912100256</v>
      </c>
      <c r="L29" s="9">
        <f t="shared" ca="1" si="4"/>
        <v>124.23663541539294</v>
      </c>
      <c r="M29">
        <f t="shared" ca="1" si="9"/>
        <v>56.430553451178447</v>
      </c>
      <c r="N29">
        <f t="shared" ca="1" si="10"/>
        <v>31.399718013468011</v>
      </c>
    </row>
    <row r="30" spans="1:14" x14ac:dyDescent="0.25">
      <c r="A30" s="4">
        <f t="shared" si="11"/>
        <v>0.41874999999999979</v>
      </c>
      <c r="B30" s="3">
        <f t="shared" si="12"/>
        <v>1553300180</v>
      </c>
      <c r="C30">
        <f t="shared" si="5"/>
        <v>2</v>
      </c>
      <c r="D30">
        <f t="shared" si="6"/>
        <v>6</v>
      </c>
      <c r="E30">
        <f t="shared" ca="1" si="7"/>
        <v>-94956.905118072726</v>
      </c>
      <c r="F30">
        <f t="shared" ca="1" si="8"/>
        <v>64621.458207127274</v>
      </c>
      <c r="G30">
        <f t="shared" ca="1" si="1"/>
        <v>10668</v>
      </c>
      <c r="H30" s="9">
        <f t="shared" ca="1" si="2"/>
        <v>175.84662401606039</v>
      </c>
      <c r="I30" s="9">
        <f t="shared" ca="1" si="2"/>
        <v>-119.6696816072712</v>
      </c>
      <c r="J30" s="9">
        <f t="shared" ca="1" si="2"/>
        <v>0</v>
      </c>
      <c r="K30" s="9">
        <f t="shared" ca="1" si="3"/>
        <v>212.70370912100094</v>
      </c>
      <c r="L30" s="9">
        <f t="shared" ca="1" si="4"/>
        <v>124.23663541539231</v>
      </c>
      <c r="M30">
        <f t="shared" ca="1" si="9"/>
        <v>56.42522727272727</v>
      </c>
      <c r="N30">
        <f t="shared" ca="1" si="10"/>
        <v>31.413787878787879</v>
      </c>
    </row>
    <row r="31" spans="1:14" x14ac:dyDescent="0.25">
      <c r="A31" s="4">
        <f t="shared" si="11"/>
        <v>0.41880787037037015</v>
      </c>
      <c r="B31" s="3">
        <f t="shared" si="12"/>
        <v>1553300185</v>
      </c>
      <c r="C31">
        <f t="shared" si="5"/>
        <v>2</v>
      </c>
      <c r="D31">
        <f t="shared" si="6"/>
        <v>6</v>
      </c>
      <c r="E31">
        <f t="shared" ca="1" si="7"/>
        <v>-94077.671997992424</v>
      </c>
      <c r="F31">
        <f t="shared" ca="1" si="8"/>
        <v>64023.109799090918</v>
      </c>
      <c r="G31">
        <f t="shared" ca="1" si="1"/>
        <v>10668</v>
      </c>
      <c r="H31" s="9">
        <f t="shared" ca="1" si="2"/>
        <v>175.84662401606039</v>
      </c>
      <c r="I31" s="9">
        <f t="shared" ca="1" si="2"/>
        <v>-119.6696816072741</v>
      </c>
      <c r="J31" s="9">
        <f t="shared" ca="1" si="2"/>
        <v>0</v>
      </c>
      <c r="K31" s="9">
        <f t="shared" ca="1" si="3"/>
        <v>212.70370912100256</v>
      </c>
      <c r="L31" s="9">
        <f t="shared" ca="1" si="4"/>
        <v>124.23663541539294</v>
      </c>
      <c r="M31">
        <f t="shared" ca="1" si="9"/>
        <v>56.419901094276092</v>
      </c>
      <c r="N31">
        <f t="shared" ca="1" si="10"/>
        <v>31.427857744107744</v>
      </c>
    </row>
    <row r="32" spans="1:14" x14ac:dyDescent="0.25">
      <c r="A32" s="4">
        <f t="shared" si="11"/>
        <v>0.41886574074074051</v>
      </c>
      <c r="B32" s="3">
        <f t="shared" si="12"/>
        <v>1553300190</v>
      </c>
      <c r="C32">
        <f t="shared" si="5"/>
        <v>2</v>
      </c>
      <c r="D32">
        <f t="shared" si="6"/>
        <v>6</v>
      </c>
      <c r="E32">
        <f t="shared" ca="1" si="7"/>
        <v>-93198.438877912122</v>
      </c>
      <c r="F32">
        <f t="shared" ca="1" si="8"/>
        <v>63424.761391054548</v>
      </c>
      <c r="G32">
        <f t="shared" ca="1" si="1"/>
        <v>10668</v>
      </c>
      <c r="H32" s="9">
        <f t="shared" ca="1" si="2"/>
        <v>175.84662401606039</v>
      </c>
      <c r="I32" s="9">
        <f t="shared" ca="1" si="2"/>
        <v>-119.6696816072712</v>
      </c>
      <c r="J32" s="9">
        <f t="shared" ca="1" si="2"/>
        <v>0</v>
      </c>
      <c r="K32" s="9">
        <f t="shared" ca="1" si="3"/>
        <v>212.70370912100094</v>
      </c>
      <c r="L32" s="9">
        <f t="shared" ca="1" si="4"/>
        <v>124.23663541539231</v>
      </c>
      <c r="M32">
        <f t="shared" ca="1" si="9"/>
        <v>56.414574915824915</v>
      </c>
      <c r="N32">
        <f t="shared" ca="1" si="10"/>
        <v>31.441927609427609</v>
      </c>
    </row>
    <row r="33" spans="1:14" x14ac:dyDescent="0.25">
      <c r="A33" s="4">
        <f>A32+5/24/3600</f>
        <v>0.41892361111111087</v>
      </c>
      <c r="B33" s="3">
        <f t="shared" si="12"/>
        <v>1553300195</v>
      </c>
      <c r="C33">
        <f t="shared" si="5"/>
        <v>2</v>
      </c>
      <c r="D33">
        <f t="shared" si="6"/>
        <v>6</v>
      </c>
      <c r="E33">
        <f t="shared" ca="1" si="7"/>
        <v>-92319.20575783182</v>
      </c>
      <c r="F33">
        <f t="shared" ca="1" si="8"/>
        <v>62826.412983018192</v>
      </c>
      <c r="G33">
        <f t="shared" ca="1" si="1"/>
        <v>10668</v>
      </c>
      <c r="H33" s="9">
        <f t="shared" ca="1" si="2"/>
        <v>175.84662401606039</v>
      </c>
      <c r="I33" s="9">
        <f t="shared" ca="1" si="2"/>
        <v>-119.6696816072741</v>
      </c>
      <c r="J33" s="9">
        <f t="shared" ca="1" si="2"/>
        <v>0</v>
      </c>
      <c r="K33" s="9">
        <f t="shared" ca="1" si="3"/>
        <v>212.70370912100256</v>
      </c>
      <c r="L33" s="9">
        <f t="shared" ca="1" si="4"/>
        <v>124.23663541539294</v>
      </c>
      <c r="M33">
        <f t="shared" ca="1" si="9"/>
        <v>56.409248737373737</v>
      </c>
      <c r="N33">
        <f t="shared" ca="1" si="10"/>
        <v>31.455997474747473</v>
      </c>
    </row>
    <row r="34" spans="1:14" x14ac:dyDescent="0.25">
      <c r="A34" s="4">
        <f t="shared" si="11"/>
        <v>0.41898148148148123</v>
      </c>
      <c r="B34" s="3">
        <f t="shared" si="12"/>
        <v>1553300200</v>
      </c>
      <c r="C34">
        <f t="shared" si="5"/>
        <v>2</v>
      </c>
      <c r="D34">
        <f t="shared" si="6"/>
        <v>6</v>
      </c>
      <c r="E34">
        <f ca="1">INDIRECT("E$"&amp;C34)+INDIRECT("H$"&amp;C34)*($B34-INDIRECT("B$"&amp;D34))</f>
        <v>-91439.972637751518</v>
      </c>
      <c r="F34">
        <f ca="1">INDIRECT("F$"&amp;C34)+INDIRECT("I$"&amp;C34)*($B34-INDIRECT("B$"&amp;D34))</f>
        <v>62228.064574981821</v>
      </c>
      <c r="G34">
        <f t="shared" ca="1" si="1"/>
        <v>10668</v>
      </c>
      <c r="H34" s="9">
        <f t="shared" ca="1" si="2"/>
        <v>175.84662401606039</v>
      </c>
      <c r="I34" s="9">
        <f t="shared" ca="1" si="2"/>
        <v>-119.6696816072712</v>
      </c>
      <c r="J34" s="9">
        <f t="shared" ca="1" si="2"/>
        <v>0</v>
      </c>
      <c r="K34" s="9">
        <f t="shared" ca="1" si="3"/>
        <v>212.70370912100094</v>
      </c>
      <c r="L34" s="9">
        <f t="shared" ca="1" si="4"/>
        <v>124.23663541539231</v>
      </c>
      <c r="M34">
        <f t="shared" ca="1" si="9"/>
        <v>56.403922558922559</v>
      </c>
      <c r="N34">
        <f t="shared" ca="1" si="10"/>
        <v>31.470067340067338</v>
      </c>
    </row>
    <row r="35" spans="1:14" x14ac:dyDescent="0.25">
      <c r="A35" s="4">
        <f t="shared" si="11"/>
        <v>0.41903935185185159</v>
      </c>
      <c r="B35" s="3">
        <f t="shared" si="12"/>
        <v>1553300205</v>
      </c>
      <c r="C35">
        <f t="shared" si="5"/>
        <v>2</v>
      </c>
      <c r="D35">
        <f t="shared" si="6"/>
        <v>6</v>
      </c>
      <c r="E35">
        <f ca="1">INDIRECT("E$"&amp;C35)+INDIRECT("H$"&amp;C35)*($B35-INDIRECT("B$"&amp;D35))</f>
        <v>-90560.739517671216</v>
      </c>
      <c r="F35">
        <f ca="1">INDIRECT("F$"&amp;C35)+INDIRECT("I$"&amp;C35)*($B35-INDIRECT("B$"&amp;D35))</f>
        <v>61629.716166945465</v>
      </c>
      <c r="G35">
        <f t="shared" ca="1" si="1"/>
        <v>10668</v>
      </c>
      <c r="H35" s="9">
        <f t="shared" ca="1" si="2"/>
        <v>175.84662401606039</v>
      </c>
      <c r="I35" s="9">
        <f t="shared" ca="1" si="2"/>
        <v>-119.6696816072741</v>
      </c>
      <c r="J35" s="9">
        <f t="shared" ca="1" si="2"/>
        <v>0</v>
      </c>
      <c r="K35" s="9">
        <f t="shared" ca="1" si="3"/>
        <v>212.70370912100256</v>
      </c>
      <c r="L35" s="9">
        <f t="shared" ca="1" si="4"/>
        <v>124.23663541539294</v>
      </c>
      <c r="M35">
        <f t="shared" ca="1" si="9"/>
        <v>56.398596380471375</v>
      </c>
      <c r="N35">
        <f t="shared" ca="1" si="10"/>
        <v>31.484137205387203</v>
      </c>
    </row>
    <row r="36" spans="1:14" x14ac:dyDescent="0.25">
      <c r="A36" s="4">
        <f t="shared" si="11"/>
        <v>0.41909722222222195</v>
      </c>
      <c r="B36" s="3">
        <f t="shared" si="12"/>
        <v>1553300210</v>
      </c>
      <c r="C36">
        <f t="shared" si="5"/>
        <v>2</v>
      </c>
      <c r="D36">
        <f t="shared" si="6"/>
        <v>6</v>
      </c>
      <c r="E36">
        <f t="shared" ref="E36:E52" ca="1" si="13">INDIRECT("E$"&amp;C36)+INDIRECT("H$"&amp;C36)*($B36-INDIRECT("B$"&amp;D36))</f>
        <v>-89681.506397590914</v>
      </c>
      <c r="F36">
        <f t="shared" ref="F36:F52" ca="1" si="14">INDIRECT("F$"&amp;C36)+INDIRECT("I$"&amp;C36)*($B36-INDIRECT("B$"&amp;D36))</f>
        <v>61031.367758909095</v>
      </c>
      <c r="G36">
        <f t="shared" ca="1" si="1"/>
        <v>10668</v>
      </c>
      <c r="H36" s="9">
        <f t="shared" ca="1" si="2"/>
        <v>175.84662401606039</v>
      </c>
      <c r="I36" s="9">
        <f t="shared" ca="1" si="2"/>
        <v>-119.66968160727265</v>
      </c>
      <c r="J36" s="9">
        <f t="shared" ca="1" si="2"/>
        <v>0</v>
      </c>
      <c r="K36" s="9">
        <f t="shared" ca="1" si="3"/>
        <v>212.70370912100174</v>
      </c>
      <c r="L36" s="9">
        <f t="shared" ca="1" si="4"/>
        <v>124.23663541539261</v>
      </c>
      <c r="M36">
        <f t="shared" ca="1" si="9"/>
        <v>56.393270202020197</v>
      </c>
      <c r="N36">
        <f t="shared" ca="1" si="10"/>
        <v>31.498207070707071</v>
      </c>
    </row>
    <row r="37" spans="1:14" x14ac:dyDescent="0.25">
      <c r="A37" s="4">
        <f t="shared" si="11"/>
        <v>0.41915509259259232</v>
      </c>
      <c r="B37" s="3">
        <f t="shared" si="12"/>
        <v>1553300215</v>
      </c>
      <c r="C37">
        <f t="shared" si="5"/>
        <v>2</v>
      </c>
      <c r="D37">
        <f t="shared" si="6"/>
        <v>6</v>
      </c>
      <c r="E37">
        <f t="shared" ca="1" si="13"/>
        <v>-88802.273277510612</v>
      </c>
      <c r="F37">
        <f t="shared" ca="1" si="14"/>
        <v>60433.019350872732</v>
      </c>
      <c r="G37">
        <f t="shared" ca="1" si="1"/>
        <v>10668</v>
      </c>
      <c r="H37" s="9">
        <f t="shared" ca="1" si="2"/>
        <v>175.84662401606039</v>
      </c>
      <c r="I37" s="9">
        <f t="shared" ca="1" si="2"/>
        <v>-119.66968160727265</v>
      </c>
      <c r="J37" s="9">
        <f t="shared" ca="1" si="2"/>
        <v>0</v>
      </c>
      <c r="K37" s="9">
        <f t="shared" ca="1" si="3"/>
        <v>212.70370912100174</v>
      </c>
      <c r="L37" s="9">
        <f t="shared" ca="1" si="4"/>
        <v>124.23663541539261</v>
      </c>
      <c r="M37">
        <f t="shared" ca="1" si="9"/>
        <v>56.38794402356902</v>
      </c>
      <c r="N37">
        <f t="shared" ca="1" si="10"/>
        <v>31.512276936026936</v>
      </c>
    </row>
    <row r="38" spans="1:14" x14ac:dyDescent="0.25">
      <c r="A38" s="4">
        <f t="shared" si="11"/>
        <v>0.41921296296296268</v>
      </c>
      <c r="B38" s="3">
        <f t="shared" si="12"/>
        <v>1553300220</v>
      </c>
      <c r="C38">
        <f t="shared" si="5"/>
        <v>2</v>
      </c>
      <c r="D38">
        <f t="shared" si="6"/>
        <v>6</v>
      </c>
      <c r="E38">
        <f t="shared" ca="1" si="13"/>
        <v>-87923.040157430311</v>
      </c>
      <c r="F38">
        <f t="shared" ca="1" si="14"/>
        <v>59834.670942836368</v>
      </c>
      <c r="G38">
        <f t="shared" ca="1" si="1"/>
        <v>10668</v>
      </c>
      <c r="H38" s="9">
        <f t="shared" ca="1" si="2"/>
        <v>175.84662401606329</v>
      </c>
      <c r="I38" s="9">
        <f t="shared" ca="1" si="2"/>
        <v>-119.66968160727265</v>
      </c>
      <c r="J38" s="9">
        <f t="shared" ca="1" si="2"/>
        <v>0</v>
      </c>
      <c r="K38" s="9">
        <f t="shared" ca="1" si="3"/>
        <v>212.70370912100412</v>
      </c>
      <c r="L38" s="9">
        <f t="shared" ca="1" si="4"/>
        <v>124.23663541539219</v>
      </c>
      <c r="M38">
        <f t="shared" ca="1" si="9"/>
        <v>56.382617845117842</v>
      </c>
      <c r="N38">
        <f t="shared" ca="1" si="10"/>
        <v>31.526346801346801</v>
      </c>
    </row>
    <row r="39" spans="1:14" x14ac:dyDescent="0.25">
      <c r="A39" s="4">
        <f t="shared" si="11"/>
        <v>0.41927083333333304</v>
      </c>
      <c r="B39" s="3">
        <f t="shared" si="12"/>
        <v>1553300225</v>
      </c>
      <c r="C39">
        <f t="shared" si="5"/>
        <v>2</v>
      </c>
      <c r="D39">
        <f t="shared" si="6"/>
        <v>6</v>
      </c>
      <c r="E39">
        <f t="shared" ca="1" si="13"/>
        <v>-87043.807037349994</v>
      </c>
      <c r="F39">
        <f t="shared" ca="1" si="14"/>
        <v>59236.322534800005</v>
      </c>
      <c r="G39">
        <f t="shared" ca="1" si="1"/>
        <v>10668</v>
      </c>
      <c r="H39" s="9">
        <f t="shared" ca="1" si="2"/>
        <v>175.84662401605746</v>
      </c>
      <c r="I39" s="9">
        <f t="shared" ca="1" si="2"/>
        <v>-119.66968160727265</v>
      </c>
      <c r="J39" s="9">
        <f t="shared" ca="1" si="2"/>
        <v>0</v>
      </c>
      <c r="K39" s="9">
        <f t="shared" ca="1" si="3"/>
        <v>212.70370912099932</v>
      </c>
      <c r="L39" s="9">
        <f t="shared" ca="1" si="4"/>
        <v>124.23663541539307</v>
      </c>
      <c r="M39">
        <f t="shared" ca="1" si="9"/>
        <v>56.377291666666665</v>
      </c>
      <c r="N39">
        <f t="shared" ca="1" si="10"/>
        <v>31.540416666666665</v>
      </c>
    </row>
    <row r="40" spans="1:14" x14ac:dyDescent="0.25">
      <c r="A40" s="4">
        <f t="shared" si="11"/>
        <v>0.4193287037037034</v>
      </c>
      <c r="B40" s="3">
        <f t="shared" si="12"/>
        <v>1553300230</v>
      </c>
      <c r="C40">
        <f t="shared" si="5"/>
        <v>2</v>
      </c>
      <c r="D40">
        <f t="shared" si="6"/>
        <v>6</v>
      </c>
      <c r="E40">
        <f t="shared" ca="1" si="13"/>
        <v>-86164.573917269707</v>
      </c>
      <c r="F40">
        <f t="shared" ca="1" si="14"/>
        <v>58637.974126763642</v>
      </c>
      <c r="G40">
        <f t="shared" ca="1" si="1"/>
        <v>10668</v>
      </c>
      <c r="H40" s="9">
        <f t="shared" ca="1" si="2"/>
        <v>175.84662401606329</v>
      </c>
      <c r="I40" s="9">
        <f t="shared" ca="1" si="2"/>
        <v>-119.66968160727265</v>
      </c>
      <c r="J40" s="9">
        <f t="shared" ca="1" si="2"/>
        <v>0</v>
      </c>
      <c r="K40" s="9">
        <f t="shared" ca="1" si="3"/>
        <v>212.70370912100412</v>
      </c>
      <c r="L40" s="9">
        <f t="shared" ca="1" si="4"/>
        <v>124.23663541539219</v>
      </c>
      <c r="M40">
        <f t="shared" ca="1" si="9"/>
        <v>56.371965488215487</v>
      </c>
      <c r="N40">
        <f t="shared" ca="1" si="10"/>
        <v>31.55448653198653</v>
      </c>
    </row>
    <row r="41" spans="1:14" x14ac:dyDescent="0.25">
      <c r="A41" s="4">
        <f t="shared" si="11"/>
        <v>0.41938657407407376</v>
      </c>
      <c r="B41" s="3">
        <f t="shared" si="12"/>
        <v>1553300235</v>
      </c>
      <c r="C41">
        <f t="shared" si="5"/>
        <v>2</v>
      </c>
      <c r="D41">
        <f t="shared" si="6"/>
        <v>6</v>
      </c>
      <c r="E41">
        <f t="shared" ca="1" si="13"/>
        <v>-85285.34079718939</v>
      </c>
      <c r="F41">
        <f t="shared" ca="1" si="14"/>
        <v>58039.625718727279</v>
      </c>
      <c r="G41">
        <f t="shared" ca="1" si="1"/>
        <v>10668</v>
      </c>
      <c r="H41" s="9">
        <f t="shared" ca="1" si="2"/>
        <v>175.84662401605746</v>
      </c>
      <c r="I41" s="9">
        <f t="shared" ca="1" si="2"/>
        <v>-119.66968160727265</v>
      </c>
      <c r="J41" s="9">
        <f t="shared" ca="1" si="2"/>
        <v>0</v>
      </c>
      <c r="K41" s="9">
        <f t="shared" ca="1" si="3"/>
        <v>212.70370912099932</v>
      </c>
      <c r="L41" s="9">
        <f t="shared" ca="1" si="4"/>
        <v>124.23663541539307</v>
      </c>
      <c r="M41">
        <f t="shared" ca="1" si="9"/>
        <v>56.366639309764309</v>
      </c>
      <c r="N41">
        <f t="shared" ca="1" si="10"/>
        <v>31.568556397306395</v>
      </c>
    </row>
    <row r="42" spans="1:14" x14ac:dyDescent="0.25">
      <c r="A42" s="4">
        <f t="shared" si="11"/>
        <v>0.41944444444444412</v>
      </c>
      <c r="B42" s="3">
        <f t="shared" si="12"/>
        <v>1553300240</v>
      </c>
      <c r="C42">
        <f t="shared" si="5"/>
        <v>2</v>
      </c>
      <c r="D42">
        <f t="shared" si="6"/>
        <v>6</v>
      </c>
      <c r="E42">
        <f t="shared" ca="1" si="13"/>
        <v>-84406.107677109103</v>
      </c>
      <c r="F42">
        <f t="shared" ca="1" si="14"/>
        <v>57441.277310690915</v>
      </c>
      <c r="G42">
        <f t="shared" ca="1" si="1"/>
        <v>10668</v>
      </c>
      <c r="H42" s="9">
        <f t="shared" ca="1" si="2"/>
        <v>175.84662401606329</v>
      </c>
      <c r="I42" s="9">
        <f t="shared" ca="1" si="2"/>
        <v>-119.66968160727265</v>
      </c>
      <c r="J42" s="9">
        <f t="shared" ca="1" si="2"/>
        <v>0</v>
      </c>
      <c r="K42" s="9">
        <f t="shared" ca="1" si="3"/>
        <v>212.70370912100412</v>
      </c>
      <c r="L42" s="9">
        <f t="shared" ca="1" si="4"/>
        <v>124.23663541539219</v>
      </c>
      <c r="M42">
        <f t="shared" ca="1" si="9"/>
        <v>56.361313131313132</v>
      </c>
      <c r="N42">
        <f t="shared" ca="1" si="10"/>
        <v>31.58262626262626</v>
      </c>
    </row>
    <row r="43" spans="1:14" x14ac:dyDescent="0.25">
      <c r="A43" s="4">
        <f t="shared" si="11"/>
        <v>0.41950231481481448</v>
      </c>
      <c r="B43" s="3">
        <f t="shared" si="12"/>
        <v>1553300245</v>
      </c>
      <c r="C43">
        <f t="shared" si="5"/>
        <v>2</v>
      </c>
      <c r="D43">
        <f t="shared" si="6"/>
        <v>6</v>
      </c>
      <c r="E43">
        <f t="shared" ca="1" si="13"/>
        <v>-83526.874557028787</v>
      </c>
      <c r="F43">
        <f t="shared" ca="1" si="14"/>
        <v>56842.928902654552</v>
      </c>
      <c r="G43">
        <f t="shared" ca="1" si="1"/>
        <v>10668</v>
      </c>
      <c r="H43" s="9">
        <f t="shared" ca="1" si="2"/>
        <v>175.84662401605746</v>
      </c>
      <c r="I43" s="9">
        <f t="shared" ca="1" si="2"/>
        <v>-119.66968160727265</v>
      </c>
      <c r="J43" s="9">
        <f t="shared" ca="1" si="2"/>
        <v>0</v>
      </c>
      <c r="K43" s="9">
        <f t="shared" ca="1" si="3"/>
        <v>212.70370912099932</v>
      </c>
      <c r="L43" s="9">
        <f t="shared" ca="1" si="4"/>
        <v>124.23663541539307</v>
      </c>
      <c r="M43">
        <f t="shared" ca="1" si="9"/>
        <v>56.355986952861954</v>
      </c>
      <c r="N43">
        <f t="shared" ca="1" si="10"/>
        <v>31.596696127946128</v>
      </c>
    </row>
    <row r="44" spans="1:14" x14ac:dyDescent="0.25">
      <c r="A44" s="4">
        <f t="shared" si="11"/>
        <v>0.41956018518518484</v>
      </c>
      <c r="B44" s="3">
        <f t="shared" si="12"/>
        <v>1553300250</v>
      </c>
      <c r="C44">
        <f t="shared" si="5"/>
        <v>2</v>
      </c>
      <c r="D44">
        <f t="shared" si="6"/>
        <v>6</v>
      </c>
      <c r="E44">
        <f t="shared" ca="1" si="13"/>
        <v>-82647.641436948499</v>
      </c>
      <c r="F44">
        <f t="shared" ca="1" si="14"/>
        <v>56244.580494618189</v>
      </c>
      <c r="G44">
        <f t="shared" ca="1" si="1"/>
        <v>10668</v>
      </c>
      <c r="H44" s="9">
        <f t="shared" ca="1" si="2"/>
        <v>175.84662401606329</v>
      </c>
      <c r="I44" s="9">
        <f t="shared" ca="1" si="2"/>
        <v>-119.6696816072741</v>
      </c>
      <c r="J44" s="9">
        <f t="shared" ca="1" si="2"/>
        <v>0</v>
      </c>
      <c r="K44" s="9">
        <f t="shared" ca="1" si="3"/>
        <v>212.70370912100495</v>
      </c>
      <c r="L44" s="9">
        <f t="shared" ca="1" si="4"/>
        <v>124.23663541539251</v>
      </c>
      <c r="M44">
        <f t="shared" ca="1" si="9"/>
        <v>56.35066077441077</v>
      </c>
      <c r="N44">
        <f t="shared" ca="1" si="10"/>
        <v>31.610765993265993</v>
      </c>
    </row>
    <row r="45" spans="1:14" x14ac:dyDescent="0.25">
      <c r="A45" s="4">
        <f t="shared" si="11"/>
        <v>0.4196180555555552</v>
      </c>
      <c r="B45" s="3">
        <f t="shared" si="12"/>
        <v>1553300255</v>
      </c>
      <c r="C45">
        <f t="shared" si="5"/>
        <v>2</v>
      </c>
      <c r="D45">
        <f t="shared" si="6"/>
        <v>6</v>
      </c>
      <c r="E45">
        <f t="shared" ca="1" si="13"/>
        <v>-81768.408316868183</v>
      </c>
      <c r="F45">
        <f t="shared" ca="1" si="14"/>
        <v>55646.232086581818</v>
      </c>
      <c r="G45">
        <f t="shared" ca="1" si="1"/>
        <v>10668</v>
      </c>
      <c r="H45" s="9">
        <f t="shared" ca="1" si="2"/>
        <v>175.84662401606039</v>
      </c>
      <c r="I45" s="9">
        <f t="shared" ca="1" si="2"/>
        <v>-119.6696816072712</v>
      </c>
      <c r="J45" s="9">
        <f t="shared" ca="1" si="2"/>
        <v>0</v>
      </c>
      <c r="K45" s="9">
        <f t="shared" ca="1" si="3"/>
        <v>212.70370912100094</v>
      </c>
      <c r="L45" s="9">
        <f t="shared" ca="1" si="4"/>
        <v>124.23663541539231</v>
      </c>
      <c r="M45">
        <f t="shared" ca="1" si="9"/>
        <v>56.345334595959592</v>
      </c>
      <c r="N45">
        <f t="shared" ca="1" si="10"/>
        <v>31.624835858585858</v>
      </c>
    </row>
    <row r="46" spans="1:14" x14ac:dyDescent="0.25">
      <c r="A46" s="4">
        <f t="shared" si="11"/>
        <v>0.41967592592592556</v>
      </c>
      <c r="B46" s="3">
        <f t="shared" si="12"/>
        <v>1553300260</v>
      </c>
      <c r="C46">
        <f t="shared" si="5"/>
        <v>2</v>
      </c>
      <c r="D46">
        <f t="shared" si="6"/>
        <v>6</v>
      </c>
      <c r="E46">
        <f t="shared" ca="1" si="13"/>
        <v>-80889.175196787881</v>
      </c>
      <c r="F46">
        <f t="shared" ca="1" si="14"/>
        <v>55047.883678545462</v>
      </c>
      <c r="G46">
        <f t="shared" ca="1" si="1"/>
        <v>10668</v>
      </c>
      <c r="H46" s="9">
        <f t="shared" ca="1" si="2"/>
        <v>175.84662401606039</v>
      </c>
      <c r="I46" s="9">
        <f t="shared" ca="1" si="2"/>
        <v>-119.6696816072741</v>
      </c>
      <c r="J46" s="9">
        <f t="shared" ca="1" si="2"/>
        <v>0</v>
      </c>
      <c r="K46" s="9">
        <f t="shared" ca="1" si="3"/>
        <v>212.70370912100256</v>
      </c>
      <c r="L46" s="9">
        <f t="shared" ca="1" si="4"/>
        <v>124.23663541539294</v>
      </c>
      <c r="M46">
        <f t="shared" ca="1" si="9"/>
        <v>56.340008417508415</v>
      </c>
      <c r="N46">
        <f t="shared" ca="1" si="10"/>
        <v>31.638905723905722</v>
      </c>
    </row>
    <row r="47" spans="1:14" x14ac:dyDescent="0.25">
      <c r="A47" s="4">
        <f t="shared" si="11"/>
        <v>0.41973379629629592</v>
      </c>
      <c r="B47" s="3">
        <f t="shared" si="12"/>
        <v>1553300265</v>
      </c>
      <c r="C47">
        <f t="shared" si="5"/>
        <v>2</v>
      </c>
      <c r="D47">
        <f t="shared" si="6"/>
        <v>6</v>
      </c>
      <c r="E47">
        <f t="shared" ca="1" si="13"/>
        <v>-80009.942076707579</v>
      </c>
      <c r="F47">
        <f t="shared" ca="1" si="14"/>
        <v>54449.535270509092</v>
      </c>
      <c r="G47">
        <f t="shared" ca="1" si="1"/>
        <v>10668</v>
      </c>
      <c r="H47" s="9">
        <f t="shared" ca="1" si="2"/>
        <v>175.84662401606039</v>
      </c>
      <c r="I47" s="9">
        <f t="shared" ca="1" si="2"/>
        <v>-119.6696816072712</v>
      </c>
      <c r="J47" s="9">
        <f t="shared" ca="1" si="2"/>
        <v>0</v>
      </c>
      <c r="K47" s="9">
        <f t="shared" ca="1" si="3"/>
        <v>212.70370912100094</v>
      </c>
      <c r="L47" s="9">
        <f t="shared" ca="1" si="4"/>
        <v>124.23663541539231</v>
      </c>
      <c r="M47">
        <f t="shared" ca="1" si="9"/>
        <v>56.334682239057237</v>
      </c>
      <c r="N47">
        <f t="shared" ca="1" si="10"/>
        <v>31.652975589225587</v>
      </c>
    </row>
    <row r="48" spans="1:14" x14ac:dyDescent="0.25">
      <c r="A48" s="4">
        <f t="shared" si="11"/>
        <v>0.41979166666666629</v>
      </c>
      <c r="B48" s="3">
        <f t="shared" si="12"/>
        <v>1553300270</v>
      </c>
      <c r="C48">
        <f t="shared" si="5"/>
        <v>2</v>
      </c>
      <c r="D48">
        <f t="shared" si="6"/>
        <v>6</v>
      </c>
      <c r="E48">
        <f t="shared" ref="E48:E68" ca="1" si="15">INDIRECT("E$"&amp;C48)+INDIRECT("H$"&amp;C48)*($B48-INDIRECT("B$"&amp;D48))</f>
        <v>-79130.708956627277</v>
      </c>
      <c r="F48">
        <f t="shared" ref="F48:F68" ca="1" si="16">INDIRECT("F$"&amp;C48)+INDIRECT("I$"&amp;C48)*($B48-INDIRECT("B$"&amp;D48))</f>
        <v>53851.186862472736</v>
      </c>
      <c r="G48">
        <f t="shared" ref="G48:G68" ca="1" si="17">INDIRECT("G$"&amp;C48)+INDIRECT("J$"&amp;C48)*($B48-INDIRECT("B$"&amp;D48))</f>
        <v>10668</v>
      </c>
      <c r="H48" s="9">
        <f t="shared" ref="H48:H68" ca="1" si="18">(E49-E48)/($B49-$B48)</f>
        <v>175.84662401606039</v>
      </c>
      <c r="I48" s="9">
        <f t="shared" ref="I48:I68" ca="1" si="19">(F49-F48)/($B49-$B48)</f>
        <v>-119.6696816072741</v>
      </c>
      <c r="J48" s="9">
        <f t="shared" ref="J48:J68" ca="1" si="20">(G49-G48)/($B49-$B48)</f>
        <v>0</v>
      </c>
      <c r="K48" s="9">
        <f t="shared" ref="K48:K68" ca="1" si="21">SQRT(H48*H48+I48*I48)</f>
        <v>212.70370912100256</v>
      </c>
      <c r="L48" s="9">
        <f t="shared" ref="L48:L68" ca="1" si="22">DEGREES(ATAN2(I48,H48))</f>
        <v>124.23663541539294</v>
      </c>
      <c r="M48">
        <f t="shared" ref="M48:M68" ca="1" si="23">INDIRECT("M$"&amp;C48)+INDIRECT("O$"&amp;C48)*($B48-INDIRECT("B$"&amp;D48))</f>
        <v>56.329356060606059</v>
      </c>
      <c r="N48">
        <f t="shared" ref="N48:N68" ca="1" si="24">INDIRECT("N$"&amp;C48)+INDIRECT("P$"&amp;C48)*($B48-INDIRECT("B$"&amp;D48))</f>
        <v>31.667045454545452</v>
      </c>
    </row>
    <row r="49" spans="1:19" x14ac:dyDescent="0.25">
      <c r="A49" s="4">
        <f t="shared" si="11"/>
        <v>0.41984953703703665</v>
      </c>
      <c r="B49" s="3">
        <f t="shared" si="12"/>
        <v>1553300275</v>
      </c>
      <c r="C49">
        <f t="shared" si="5"/>
        <v>2</v>
      </c>
      <c r="D49">
        <f t="shared" si="6"/>
        <v>6</v>
      </c>
      <c r="E49">
        <f t="shared" ca="1" si="15"/>
        <v>-78251.475836546975</v>
      </c>
      <c r="F49">
        <f t="shared" ca="1" si="16"/>
        <v>53252.838454436365</v>
      </c>
      <c r="G49">
        <f t="shared" ca="1" si="17"/>
        <v>10668</v>
      </c>
      <c r="H49" s="9">
        <f t="shared" ca="1" si="18"/>
        <v>175.84662401606039</v>
      </c>
      <c r="I49" s="9">
        <f t="shared" ca="1" si="19"/>
        <v>-119.6696816072712</v>
      </c>
      <c r="J49" s="9">
        <f t="shared" ca="1" si="20"/>
        <v>0</v>
      </c>
      <c r="K49" s="9">
        <f t="shared" ca="1" si="21"/>
        <v>212.70370912100094</v>
      </c>
      <c r="L49" s="9">
        <f t="shared" ca="1" si="22"/>
        <v>124.23663541539231</v>
      </c>
      <c r="M49">
        <f t="shared" ca="1" si="23"/>
        <v>56.324029882154882</v>
      </c>
      <c r="N49">
        <f t="shared" ca="1" si="24"/>
        <v>31.68111531986532</v>
      </c>
    </row>
    <row r="50" spans="1:19" x14ac:dyDescent="0.25">
      <c r="A50" s="4">
        <f t="shared" si="11"/>
        <v>0.41990740740740701</v>
      </c>
      <c r="B50" s="3">
        <f t="shared" si="12"/>
        <v>1553300280</v>
      </c>
      <c r="C50">
        <f t="shared" si="5"/>
        <v>2</v>
      </c>
      <c r="D50">
        <f t="shared" si="6"/>
        <v>6</v>
      </c>
      <c r="E50">
        <f t="shared" ca="1" si="15"/>
        <v>-77372.242716466673</v>
      </c>
      <c r="F50">
        <f t="shared" ca="1" si="16"/>
        <v>52654.490046400009</v>
      </c>
      <c r="G50">
        <f t="shared" ca="1" si="17"/>
        <v>10668</v>
      </c>
      <c r="H50" s="9">
        <f t="shared" ca="1" si="18"/>
        <v>175.84662401606039</v>
      </c>
      <c r="I50" s="9">
        <f t="shared" ca="1" si="19"/>
        <v>-119.6696816072741</v>
      </c>
      <c r="J50" s="9">
        <f t="shared" ca="1" si="20"/>
        <v>0</v>
      </c>
      <c r="K50" s="9">
        <f t="shared" ca="1" si="21"/>
        <v>212.70370912100256</v>
      </c>
      <c r="L50" s="9">
        <f t="shared" ca="1" si="22"/>
        <v>124.23663541539294</v>
      </c>
      <c r="M50">
        <f t="shared" ca="1" si="23"/>
        <v>56.318703703703704</v>
      </c>
      <c r="N50">
        <f t="shared" ca="1" si="24"/>
        <v>31.695185185185185</v>
      </c>
    </row>
    <row r="51" spans="1:19" x14ac:dyDescent="0.25">
      <c r="A51" s="4">
        <f t="shared" si="11"/>
        <v>0.41996527777777737</v>
      </c>
      <c r="B51" s="3">
        <f t="shared" si="12"/>
        <v>1553300285</v>
      </c>
      <c r="C51">
        <f t="shared" si="5"/>
        <v>2</v>
      </c>
      <c r="D51">
        <f t="shared" si="6"/>
        <v>6</v>
      </c>
      <c r="E51">
        <f t="shared" ca="1" si="15"/>
        <v>-76493.009596386371</v>
      </c>
      <c r="F51">
        <f t="shared" ca="1" si="16"/>
        <v>52056.141638363639</v>
      </c>
      <c r="G51">
        <f t="shared" ca="1" si="17"/>
        <v>10668</v>
      </c>
      <c r="H51" s="9">
        <f t="shared" ca="1" si="18"/>
        <v>175.84662401606329</v>
      </c>
      <c r="I51" s="9">
        <f t="shared" ca="1" si="19"/>
        <v>-119.6696816072712</v>
      </c>
      <c r="J51" s="9">
        <f t="shared" ca="1" si="20"/>
        <v>0</v>
      </c>
      <c r="K51" s="9">
        <f t="shared" ca="1" si="21"/>
        <v>212.70370912100333</v>
      </c>
      <c r="L51" s="9">
        <f t="shared" ca="1" si="22"/>
        <v>124.23663541539187</v>
      </c>
      <c r="M51">
        <f t="shared" ca="1" si="23"/>
        <v>56.313377525252527</v>
      </c>
      <c r="N51">
        <f t="shared" ca="1" si="24"/>
        <v>31.70925505050505</v>
      </c>
      <c r="O51" s="13"/>
      <c r="P51" s="13"/>
      <c r="Q51" s="13"/>
      <c r="R51" s="13"/>
      <c r="S51" s="13"/>
    </row>
    <row r="52" spans="1:19" x14ac:dyDescent="0.25">
      <c r="A52" s="4">
        <f>A51+5/24/3600</f>
        <v>0.42002314814814773</v>
      </c>
      <c r="B52" s="3">
        <f t="shared" si="12"/>
        <v>1553300290</v>
      </c>
      <c r="C52">
        <f t="shared" si="5"/>
        <v>2</v>
      </c>
      <c r="D52">
        <f t="shared" si="6"/>
        <v>6</v>
      </c>
      <c r="E52">
        <f t="shared" ca="1" si="15"/>
        <v>-75613.776476306055</v>
      </c>
      <c r="F52">
        <f t="shared" ca="1" si="16"/>
        <v>51457.793230327283</v>
      </c>
      <c r="G52">
        <f t="shared" ca="1" si="17"/>
        <v>10668</v>
      </c>
      <c r="H52" s="9">
        <f t="shared" ca="1" si="18"/>
        <v>175.84662401605746</v>
      </c>
      <c r="I52" s="9">
        <f t="shared" ca="1" si="19"/>
        <v>-119.6696816072741</v>
      </c>
      <c r="J52" s="9">
        <f t="shared" ca="1" si="20"/>
        <v>0</v>
      </c>
      <c r="K52" s="9">
        <f t="shared" ca="1" si="21"/>
        <v>212.70370912100012</v>
      </c>
      <c r="L52" s="9">
        <f t="shared" ca="1" si="22"/>
        <v>124.23663541539341</v>
      </c>
      <c r="M52">
        <f t="shared" ca="1" si="23"/>
        <v>56.308051346801342</v>
      </c>
      <c r="N52">
        <f t="shared" ca="1" si="24"/>
        <v>31.723324915824914</v>
      </c>
    </row>
    <row r="53" spans="1:19" x14ac:dyDescent="0.25">
      <c r="A53" s="4">
        <f t="shared" si="11"/>
        <v>0.42008101851851809</v>
      </c>
      <c r="B53" s="3">
        <f t="shared" si="12"/>
        <v>1553300295</v>
      </c>
      <c r="C53">
        <f t="shared" si="5"/>
        <v>2</v>
      </c>
      <c r="D53">
        <f t="shared" si="6"/>
        <v>6</v>
      </c>
      <c r="E53">
        <f t="shared" ca="1" si="15"/>
        <v>-74734.543356225768</v>
      </c>
      <c r="F53">
        <f t="shared" ca="1" si="16"/>
        <v>50859.444822290912</v>
      </c>
      <c r="G53">
        <f t="shared" ca="1" si="17"/>
        <v>10668</v>
      </c>
      <c r="H53" s="9">
        <f t="shared" ca="1" si="18"/>
        <v>175.84662401606329</v>
      </c>
      <c r="I53" s="9">
        <f t="shared" ca="1" si="19"/>
        <v>-119.66968160727265</v>
      </c>
      <c r="J53" s="9">
        <f t="shared" ca="1" si="20"/>
        <v>0</v>
      </c>
      <c r="K53" s="9">
        <f t="shared" ca="1" si="21"/>
        <v>212.70370912100412</v>
      </c>
      <c r="L53" s="9">
        <f t="shared" ca="1" si="22"/>
        <v>124.23663541539219</v>
      </c>
      <c r="M53">
        <f t="shared" ca="1" si="23"/>
        <v>56.302725168350165</v>
      </c>
      <c r="N53">
        <f t="shared" ca="1" si="24"/>
        <v>31.737394781144779</v>
      </c>
    </row>
    <row r="54" spans="1:19" x14ac:dyDescent="0.25">
      <c r="A54" s="8">
        <f t="shared" si="11"/>
        <v>0.42013888888888845</v>
      </c>
      <c r="B54" s="3">
        <f t="shared" si="12"/>
        <v>1553300300</v>
      </c>
      <c r="C54">
        <f t="shared" si="5"/>
        <v>2</v>
      </c>
      <c r="D54">
        <f t="shared" si="6"/>
        <v>6</v>
      </c>
      <c r="E54">
        <f t="shared" ca="1" si="15"/>
        <v>-73855.310236145451</v>
      </c>
      <c r="F54">
        <f t="shared" ca="1" si="16"/>
        <v>50261.096414254549</v>
      </c>
      <c r="G54">
        <f t="shared" ca="1" si="17"/>
        <v>10668</v>
      </c>
      <c r="H54" s="9">
        <f t="shared" ca="1" si="18"/>
        <v>175.84662401605746</v>
      </c>
      <c r="I54" s="9">
        <f t="shared" ca="1" si="19"/>
        <v>-119.66968160727265</v>
      </c>
      <c r="J54" s="9">
        <f t="shared" ca="1" si="20"/>
        <v>0</v>
      </c>
      <c r="K54" s="9">
        <f t="shared" ca="1" si="21"/>
        <v>212.70370912099932</v>
      </c>
      <c r="L54" s="9">
        <f t="shared" ca="1" si="22"/>
        <v>124.23663541539307</v>
      </c>
      <c r="M54">
        <f t="shared" ca="1" si="23"/>
        <v>56.297398989898987</v>
      </c>
      <c r="N54">
        <f t="shared" ca="1" si="24"/>
        <v>31.751464646464644</v>
      </c>
    </row>
    <row r="55" spans="1:19" x14ac:dyDescent="0.25">
      <c r="A55" s="4">
        <f t="shared" si="11"/>
        <v>0.42019675925925881</v>
      </c>
      <c r="B55" s="3">
        <f t="shared" si="12"/>
        <v>1553300305</v>
      </c>
      <c r="C55">
        <f t="shared" si="5"/>
        <v>2</v>
      </c>
      <c r="D55">
        <f t="shared" si="6"/>
        <v>6</v>
      </c>
      <c r="E55">
        <f t="shared" ca="1" si="15"/>
        <v>-72976.077116065164</v>
      </c>
      <c r="F55">
        <f t="shared" ca="1" si="16"/>
        <v>49662.748006218186</v>
      </c>
      <c r="G55">
        <f t="shared" ca="1" si="17"/>
        <v>10668</v>
      </c>
      <c r="H55" s="9">
        <f t="shared" ca="1" si="18"/>
        <v>175.84662401606329</v>
      </c>
      <c r="I55" s="9">
        <f t="shared" ca="1" si="19"/>
        <v>-119.66968160727265</v>
      </c>
      <c r="J55" s="9">
        <f t="shared" ca="1" si="20"/>
        <v>0</v>
      </c>
      <c r="K55" s="9">
        <f t="shared" ca="1" si="21"/>
        <v>212.70370912100412</v>
      </c>
      <c r="L55" s="9">
        <f t="shared" ca="1" si="22"/>
        <v>124.23663541539219</v>
      </c>
      <c r="M55">
        <f t="shared" ca="1" si="23"/>
        <v>56.292072811447809</v>
      </c>
      <c r="N55">
        <f t="shared" ca="1" si="24"/>
        <v>31.765534511784509</v>
      </c>
    </row>
    <row r="56" spans="1:19" x14ac:dyDescent="0.25">
      <c r="A56" s="4">
        <f t="shared" si="11"/>
        <v>0.42025462962962917</v>
      </c>
      <c r="B56" s="3">
        <f t="shared" si="12"/>
        <v>1553300310</v>
      </c>
      <c r="C56">
        <f t="shared" si="5"/>
        <v>2</v>
      </c>
      <c r="D56">
        <f t="shared" si="6"/>
        <v>6</v>
      </c>
      <c r="E56">
        <f t="shared" ca="1" si="15"/>
        <v>-72096.843995984847</v>
      </c>
      <c r="F56">
        <f t="shared" ca="1" si="16"/>
        <v>49064.399598181823</v>
      </c>
      <c r="G56">
        <f t="shared" ca="1" si="17"/>
        <v>10668</v>
      </c>
      <c r="H56" s="9">
        <f t="shared" ca="1" si="18"/>
        <v>175.84662401605746</v>
      </c>
      <c r="I56" s="9">
        <f t="shared" ca="1" si="19"/>
        <v>-119.66968160727265</v>
      </c>
      <c r="J56" s="9">
        <f t="shared" ca="1" si="20"/>
        <v>0</v>
      </c>
      <c r="K56" s="9">
        <f t="shared" ca="1" si="21"/>
        <v>212.70370912099932</v>
      </c>
      <c r="L56" s="9">
        <f t="shared" ca="1" si="22"/>
        <v>124.23663541539307</v>
      </c>
      <c r="M56">
        <f t="shared" ca="1" si="23"/>
        <v>56.286746632996632</v>
      </c>
      <c r="N56">
        <f t="shared" ca="1" si="24"/>
        <v>31.779604377104377</v>
      </c>
    </row>
    <row r="57" spans="1:19" x14ac:dyDescent="0.25">
      <c r="A57" s="4">
        <f t="shared" si="11"/>
        <v>0.42031249999999953</v>
      </c>
      <c r="B57" s="3">
        <f t="shared" si="12"/>
        <v>1553300315</v>
      </c>
      <c r="C57">
        <f t="shared" si="5"/>
        <v>2</v>
      </c>
      <c r="D57">
        <f t="shared" si="6"/>
        <v>6</v>
      </c>
      <c r="E57">
        <f t="shared" ca="1" si="15"/>
        <v>-71217.61087590456</v>
      </c>
      <c r="F57">
        <f t="shared" ca="1" si="16"/>
        <v>48466.051190145459</v>
      </c>
      <c r="G57">
        <f t="shared" ca="1" si="17"/>
        <v>10668</v>
      </c>
      <c r="H57" s="9">
        <f t="shared" ca="1" si="18"/>
        <v>175.84662401606329</v>
      </c>
      <c r="I57" s="9">
        <f t="shared" ca="1" si="19"/>
        <v>-119.66968160727265</v>
      </c>
      <c r="J57" s="9">
        <f t="shared" ca="1" si="20"/>
        <v>0</v>
      </c>
      <c r="K57" s="9">
        <f t="shared" ca="1" si="21"/>
        <v>212.70370912100412</v>
      </c>
      <c r="L57" s="9">
        <f t="shared" ca="1" si="22"/>
        <v>124.23663541539219</v>
      </c>
      <c r="M57">
        <f t="shared" ca="1" si="23"/>
        <v>56.281420454545454</v>
      </c>
      <c r="N57">
        <f t="shared" ca="1" si="24"/>
        <v>31.793674242424242</v>
      </c>
    </row>
    <row r="58" spans="1:19" x14ac:dyDescent="0.25">
      <c r="A58" s="4">
        <f t="shared" si="11"/>
        <v>0.42037037037036989</v>
      </c>
      <c r="B58" s="3">
        <f t="shared" si="12"/>
        <v>1553300320</v>
      </c>
      <c r="C58">
        <f t="shared" si="5"/>
        <v>2</v>
      </c>
      <c r="D58">
        <f t="shared" si="6"/>
        <v>6</v>
      </c>
      <c r="E58">
        <f t="shared" ca="1" si="15"/>
        <v>-70338.377755824244</v>
      </c>
      <c r="F58">
        <f t="shared" ca="1" si="16"/>
        <v>47867.702782109096</v>
      </c>
      <c r="G58">
        <f t="shared" ca="1" si="17"/>
        <v>10668</v>
      </c>
      <c r="H58" s="9">
        <f t="shared" ca="1" si="18"/>
        <v>175.84662401606039</v>
      </c>
      <c r="I58" s="9">
        <f t="shared" ca="1" si="19"/>
        <v>-119.66968160727265</v>
      </c>
      <c r="J58" s="9">
        <f t="shared" ca="1" si="20"/>
        <v>0</v>
      </c>
      <c r="K58" s="9">
        <f t="shared" ca="1" si="21"/>
        <v>212.70370912100174</v>
      </c>
      <c r="L58" s="9">
        <f t="shared" ca="1" si="22"/>
        <v>124.23663541539261</v>
      </c>
      <c r="M58">
        <f t="shared" ca="1" si="23"/>
        <v>56.276094276094277</v>
      </c>
      <c r="N58">
        <f t="shared" ca="1" si="24"/>
        <v>31.807744107744107</v>
      </c>
    </row>
    <row r="59" spans="1:19" x14ac:dyDescent="0.25">
      <c r="A59" s="4">
        <f t="shared" si="11"/>
        <v>0.42042824074074026</v>
      </c>
      <c r="B59" s="3">
        <f t="shared" si="12"/>
        <v>1553300325</v>
      </c>
      <c r="C59">
        <f t="shared" si="5"/>
        <v>2</v>
      </c>
      <c r="D59">
        <f t="shared" si="6"/>
        <v>6</v>
      </c>
      <c r="E59">
        <f t="shared" ca="1" si="15"/>
        <v>-69459.144635743942</v>
      </c>
      <c r="F59">
        <f t="shared" ca="1" si="16"/>
        <v>47269.354374072733</v>
      </c>
      <c r="G59">
        <f t="shared" ca="1" si="17"/>
        <v>10668</v>
      </c>
      <c r="H59" s="9">
        <f t="shared" ca="1" si="18"/>
        <v>175.84662401606039</v>
      </c>
      <c r="I59" s="9">
        <f t="shared" ca="1" si="19"/>
        <v>-119.66968160727265</v>
      </c>
      <c r="J59" s="9">
        <f t="shared" ca="1" si="20"/>
        <v>0</v>
      </c>
      <c r="K59" s="9">
        <f t="shared" ca="1" si="21"/>
        <v>212.70370912100174</v>
      </c>
      <c r="L59" s="9">
        <f t="shared" ca="1" si="22"/>
        <v>124.23663541539261</v>
      </c>
      <c r="M59">
        <f t="shared" ca="1" si="23"/>
        <v>56.270768097643099</v>
      </c>
      <c r="N59">
        <f t="shared" ca="1" si="24"/>
        <v>31.821813973063971</v>
      </c>
    </row>
    <row r="60" spans="1:19" x14ac:dyDescent="0.25">
      <c r="A60" s="4">
        <f t="shared" si="11"/>
        <v>0.42048611111111062</v>
      </c>
      <c r="B60" s="3">
        <f t="shared" si="12"/>
        <v>1553300330</v>
      </c>
      <c r="C60">
        <f t="shared" si="5"/>
        <v>2</v>
      </c>
      <c r="D60">
        <f t="shared" si="6"/>
        <v>6</v>
      </c>
      <c r="E60">
        <f t="shared" ca="1" si="15"/>
        <v>-68579.91151566364</v>
      </c>
      <c r="F60">
        <f t="shared" ca="1" si="16"/>
        <v>46671.00596603637</v>
      </c>
      <c r="G60">
        <f t="shared" ca="1" si="17"/>
        <v>10668</v>
      </c>
      <c r="H60" s="9">
        <f t="shared" ca="1" si="18"/>
        <v>175.84662401606039</v>
      </c>
      <c r="I60" s="9">
        <f t="shared" ca="1" si="19"/>
        <v>-119.66968160727265</v>
      </c>
      <c r="J60" s="9">
        <f t="shared" ca="1" si="20"/>
        <v>0</v>
      </c>
      <c r="K60" s="9">
        <f t="shared" ca="1" si="21"/>
        <v>212.70370912100174</v>
      </c>
      <c r="L60" s="9">
        <f t="shared" ca="1" si="22"/>
        <v>124.23663541539261</v>
      </c>
      <c r="M60">
        <f t="shared" ca="1" si="23"/>
        <v>56.265441919191915</v>
      </c>
      <c r="N60">
        <f t="shared" ca="1" si="24"/>
        <v>31.835883838383836</v>
      </c>
    </row>
    <row r="61" spans="1:19" x14ac:dyDescent="0.25">
      <c r="A61" s="4">
        <f t="shared" si="11"/>
        <v>0.42054398148148098</v>
      </c>
      <c r="B61" s="3">
        <f t="shared" si="12"/>
        <v>1553300335</v>
      </c>
      <c r="C61">
        <f t="shared" si="5"/>
        <v>2</v>
      </c>
      <c r="D61">
        <f t="shared" si="6"/>
        <v>6</v>
      </c>
      <c r="E61">
        <f t="shared" ca="1" si="15"/>
        <v>-67700.678395583338</v>
      </c>
      <c r="F61">
        <f t="shared" ca="1" si="16"/>
        <v>46072.657558000006</v>
      </c>
      <c r="G61">
        <f t="shared" ca="1" si="17"/>
        <v>10668</v>
      </c>
      <c r="H61" s="9">
        <f t="shared" ca="1" si="18"/>
        <v>175.84662401606039</v>
      </c>
      <c r="I61" s="9">
        <f t="shared" ca="1" si="19"/>
        <v>-119.66968160727265</v>
      </c>
      <c r="J61" s="9">
        <f t="shared" ca="1" si="20"/>
        <v>0</v>
      </c>
      <c r="K61" s="9">
        <f t="shared" ca="1" si="21"/>
        <v>212.70370912100174</v>
      </c>
      <c r="L61" s="9">
        <f t="shared" ca="1" si="22"/>
        <v>124.23663541539261</v>
      </c>
      <c r="M61">
        <f t="shared" ca="1" si="23"/>
        <v>56.260115740740737</v>
      </c>
      <c r="N61">
        <f t="shared" ca="1" si="24"/>
        <v>31.849953703703701</v>
      </c>
    </row>
    <row r="62" spans="1:19" x14ac:dyDescent="0.25">
      <c r="A62" s="4">
        <f t="shared" si="11"/>
        <v>0.42060185185185134</v>
      </c>
      <c r="B62" s="3">
        <f t="shared" si="12"/>
        <v>1553300340</v>
      </c>
      <c r="C62">
        <f t="shared" si="5"/>
        <v>2</v>
      </c>
      <c r="D62">
        <f t="shared" si="6"/>
        <v>6</v>
      </c>
      <c r="E62">
        <f t="shared" ca="1" si="15"/>
        <v>-66821.445275503036</v>
      </c>
      <c r="F62">
        <f t="shared" ca="1" si="16"/>
        <v>45474.309149963643</v>
      </c>
      <c r="G62">
        <f t="shared" ca="1" si="17"/>
        <v>10668</v>
      </c>
      <c r="H62" s="9">
        <f t="shared" ca="1" si="18"/>
        <v>175.84662401606039</v>
      </c>
      <c r="I62" s="9">
        <f t="shared" ca="1" si="19"/>
        <v>-119.66968160727265</v>
      </c>
      <c r="J62" s="9">
        <f t="shared" ca="1" si="20"/>
        <v>0</v>
      </c>
      <c r="K62" s="9">
        <f t="shared" ca="1" si="21"/>
        <v>212.70370912100174</v>
      </c>
      <c r="L62" s="9">
        <f t="shared" ca="1" si="22"/>
        <v>124.23663541539261</v>
      </c>
      <c r="M62">
        <f t="shared" ca="1" si="23"/>
        <v>56.25478956228956</v>
      </c>
      <c r="N62">
        <f t="shared" ca="1" si="24"/>
        <v>31.864023569023566</v>
      </c>
    </row>
    <row r="63" spans="1:19" x14ac:dyDescent="0.25">
      <c r="A63" s="4">
        <f t="shared" si="11"/>
        <v>0.4206597222222217</v>
      </c>
      <c r="B63" s="3">
        <f t="shared" si="12"/>
        <v>1553300345</v>
      </c>
      <c r="C63">
        <f t="shared" si="5"/>
        <v>2</v>
      </c>
      <c r="D63">
        <f t="shared" si="6"/>
        <v>6</v>
      </c>
      <c r="E63">
        <f t="shared" ca="1" si="15"/>
        <v>-65942.212155422734</v>
      </c>
      <c r="F63">
        <f t="shared" ca="1" si="16"/>
        <v>44875.96074192728</v>
      </c>
      <c r="G63">
        <f t="shared" ca="1" si="17"/>
        <v>10668</v>
      </c>
      <c r="H63" s="9">
        <f t="shared" ca="1" si="18"/>
        <v>175.84662401606039</v>
      </c>
      <c r="I63" s="9">
        <f t="shared" ca="1" si="19"/>
        <v>-119.66968160727265</v>
      </c>
      <c r="J63" s="9">
        <f t="shared" ca="1" si="20"/>
        <v>0</v>
      </c>
      <c r="K63" s="9">
        <f t="shared" ca="1" si="21"/>
        <v>212.70370912100174</v>
      </c>
      <c r="L63" s="9">
        <f t="shared" ca="1" si="22"/>
        <v>124.23663541539261</v>
      </c>
      <c r="M63">
        <f t="shared" ca="1" si="23"/>
        <v>56.249463383838382</v>
      </c>
      <c r="N63">
        <f t="shared" ca="1" si="24"/>
        <v>31.878093434343434</v>
      </c>
    </row>
    <row r="64" spans="1:19" x14ac:dyDescent="0.25">
      <c r="A64" s="4">
        <f t="shared" si="11"/>
        <v>0.42071759259259206</v>
      </c>
      <c r="B64" s="3">
        <f t="shared" si="12"/>
        <v>1553300350</v>
      </c>
      <c r="C64">
        <f t="shared" si="5"/>
        <v>2</v>
      </c>
      <c r="D64">
        <f t="shared" si="6"/>
        <v>6</v>
      </c>
      <c r="E64">
        <f t="shared" ca="1" si="15"/>
        <v>-65062.979035342432</v>
      </c>
      <c r="F64">
        <f t="shared" ca="1" si="16"/>
        <v>44277.612333890916</v>
      </c>
      <c r="G64">
        <f t="shared" ca="1" si="17"/>
        <v>10668</v>
      </c>
      <c r="H64" s="9">
        <f t="shared" ca="1" si="18"/>
        <v>175.84662401606184</v>
      </c>
      <c r="I64" s="9">
        <f t="shared" ca="1" si="19"/>
        <v>-119.66968160727265</v>
      </c>
      <c r="J64" s="9">
        <f t="shared" ca="1" si="20"/>
        <v>0</v>
      </c>
      <c r="K64" s="9">
        <f t="shared" ca="1" si="21"/>
        <v>212.70370912100293</v>
      </c>
      <c r="L64" s="9">
        <f t="shared" ca="1" si="22"/>
        <v>124.23663541539241</v>
      </c>
      <c r="M64">
        <f t="shared" ca="1" si="23"/>
        <v>56.244137205387204</v>
      </c>
      <c r="N64">
        <f t="shared" ca="1" si="24"/>
        <v>31.892163299663299</v>
      </c>
    </row>
    <row r="65" spans="1:14" x14ac:dyDescent="0.25">
      <c r="A65" s="4">
        <f t="shared" si="11"/>
        <v>0.42077546296296242</v>
      </c>
      <c r="B65" s="3">
        <f t="shared" si="12"/>
        <v>1553300355</v>
      </c>
      <c r="C65">
        <f t="shared" si="5"/>
        <v>2</v>
      </c>
      <c r="D65">
        <f t="shared" si="6"/>
        <v>6</v>
      </c>
      <c r="E65">
        <f t="shared" ca="1" si="15"/>
        <v>-64183.745915262123</v>
      </c>
      <c r="F65">
        <f t="shared" ca="1" si="16"/>
        <v>43679.263925854553</v>
      </c>
      <c r="G65">
        <f t="shared" ca="1" si="17"/>
        <v>10668</v>
      </c>
      <c r="H65" s="9">
        <f t="shared" ca="1" si="18"/>
        <v>175.84662401606039</v>
      </c>
      <c r="I65" s="9">
        <f t="shared" ca="1" si="19"/>
        <v>-119.6696816072741</v>
      </c>
      <c r="J65" s="9">
        <f t="shared" ca="1" si="20"/>
        <v>0</v>
      </c>
      <c r="K65" s="9">
        <f t="shared" ca="1" si="21"/>
        <v>212.70370912100256</v>
      </c>
      <c r="L65" s="9">
        <f t="shared" ca="1" si="22"/>
        <v>124.23663541539294</v>
      </c>
      <c r="M65">
        <f t="shared" ca="1" si="23"/>
        <v>56.238811026936027</v>
      </c>
      <c r="N65">
        <f t="shared" ca="1" si="24"/>
        <v>31.906233164983163</v>
      </c>
    </row>
    <row r="66" spans="1:14" x14ac:dyDescent="0.25">
      <c r="A66" s="4">
        <f t="shared" si="11"/>
        <v>0.42083333333333278</v>
      </c>
      <c r="B66" s="3">
        <f t="shared" si="12"/>
        <v>1553300360</v>
      </c>
      <c r="C66">
        <f t="shared" si="5"/>
        <v>2</v>
      </c>
      <c r="D66">
        <f t="shared" si="6"/>
        <v>6</v>
      </c>
      <c r="E66">
        <f t="shared" ca="1" si="15"/>
        <v>-63304.512795181821</v>
      </c>
      <c r="F66">
        <f t="shared" ca="1" si="16"/>
        <v>43080.915517818183</v>
      </c>
      <c r="G66">
        <f t="shared" ca="1" si="17"/>
        <v>10668</v>
      </c>
      <c r="H66" s="9">
        <f t="shared" ca="1" si="18"/>
        <v>175.84662401606039</v>
      </c>
      <c r="I66" s="9">
        <f t="shared" ca="1" si="19"/>
        <v>-119.66968160727265</v>
      </c>
      <c r="J66" s="9">
        <f t="shared" ca="1" si="20"/>
        <v>0</v>
      </c>
      <c r="K66" s="9">
        <f t="shared" ca="1" si="21"/>
        <v>212.70370912100174</v>
      </c>
      <c r="L66" s="9">
        <f t="shared" ca="1" si="22"/>
        <v>124.23663541539261</v>
      </c>
      <c r="M66">
        <f t="shared" ca="1" si="23"/>
        <v>56.233484848484849</v>
      </c>
      <c r="N66">
        <f t="shared" ca="1" si="24"/>
        <v>31.920303030303028</v>
      </c>
    </row>
    <row r="67" spans="1:14" x14ac:dyDescent="0.25">
      <c r="A67" s="4">
        <f t="shared" si="11"/>
        <v>0.42089120370370314</v>
      </c>
      <c r="B67" s="3">
        <f t="shared" si="12"/>
        <v>1553300365</v>
      </c>
      <c r="C67">
        <f t="shared" si="5"/>
        <v>2</v>
      </c>
      <c r="D67">
        <f t="shared" si="6"/>
        <v>6</v>
      </c>
      <c r="E67">
        <f t="shared" ca="1" si="15"/>
        <v>-62425.279675101519</v>
      </c>
      <c r="F67">
        <f t="shared" ca="1" si="16"/>
        <v>42482.567109781819</v>
      </c>
      <c r="G67">
        <f t="shared" ca="1" si="17"/>
        <v>10668</v>
      </c>
      <c r="H67" s="9">
        <f t="shared" ca="1" si="18"/>
        <v>175.84662401606039</v>
      </c>
      <c r="I67" s="9">
        <f t="shared" ca="1" si="19"/>
        <v>-119.66968160727265</v>
      </c>
      <c r="J67" s="9">
        <f t="shared" ca="1" si="20"/>
        <v>0</v>
      </c>
      <c r="K67" s="9">
        <f t="shared" ca="1" si="21"/>
        <v>212.70370912100174</v>
      </c>
      <c r="L67" s="9">
        <f t="shared" ca="1" si="22"/>
        <v>124.23663541539261</v>
      </c>
      <c r="M67">
        <f t="shared" ca="1" si="23"/>
        <v>56.228158670033672</v>
      </c>
      <c r="N67">
        <f t="shared" ca="1" si="24"/>
        <v>31.934372895622893</v>
      </c>
    </row>
    <row r="68" spans="1:14" x14ac:dyDescent="0.25">
      <c r="A68" s="4">
        <f t="shared" si="11"/>
        <v>0.4209490740740735</v>
      </c>
      <c r="B68" s="3">
        <f t="shared" si="12"/>
        <v>1553300370</v>
      </c>
      <c r="C68">
        <f t="shared" si="5"/>
        <v>2</v>
      </c>
      <c r="D68">
        <f t="shared" si="6"/>
        <v>6</v>
      </c>
      <c r="E68">
        <f t="shared" ca="1" si="15"/>
        <v>-61546.046555021218</v>
      </c>
      <c r="F68">
        <f t="shared" ca="1" si="16"/>
        <v>41884.218701745456</v>
      </c>
      <c r="G68">
        <f t="shared" ca="1" si="17"/>
        <v>10668</v>
      </c>
      <c r="H68" s="9">
        <f t="shared" ca="1" si="18"/>
        <v>175.84662401606039</v>
      </c>
      <c r="I68" s="9">
        <f t="shared" ca="1" si="19"/>
        <v>-119.66968160727265</v>
      </c>
      <c r="J68" s="9">
        <f t="shared" ca="1" si="20"/>
        <v>0</v>
      </c>
      <c r="K68" s="9">
        <f t="shared" ca="1" si="21"/>
        <v>212.70370912100174</v>
      </c>
      <c r="L68" s="9">
        <f t="shared" ca="1" si="22"/>
        <v>124.23663541539261</v>
      </c>
      <c r="M68">
        <f t="shared" ca="1" si="23"/>
        <v>56.222832491582487</v>
      </c>
      <c r="N68">
        <f t="shared" ca="1" si="24"/>
        <v>31.948442760942758</v>
      </c>
    </row>
    <row r="69" spans="1:14" x14ac:dyDescent="0.25">
      <c r="A69" s="4">
        <f t="shared" si="11"/>
        <v>0.42100694444444386</v>
      </c>
      <c r="B69" s="3">
        <f t="shared" si="12"/>
        <v>1553300375</v>
      </c>
      <c r="C69">
        <f t="shared" si="5"/>
        <v>2</v>
      </c>
      <c r="D69">
        <f t="shared" si="6"/>
        <v>6</v>
      </c>
      <c r="E69">
        <f t="shared" ref="E57:E120" ca="1" si="25">INDIRECT("E$"&amp;C69)+INDIRECT("H$"&amp;C69)*($B69-INDIRECT("B$"&amp;D69))</f>
        <v>-60666.813434940916</v>
      </c>
      <c r="F69">
        <f t="shared" ref="F57:F120" ca="1" si="26">INDIRECT("F$"&amp;C69)+INDIRECT("I$"&amp;C69)*($B69-INDIRECT("B$"&amp;D69))</f>
        <v>41285.870293709093</v>
      </c>
      <c r="G69">
        <f t="shared" ca="1" si="1"/>
        <v>10668</v>
      </c>
      <c r="H69" s="9">
        <f t="shared" ca="1" si="2"/>
        <v>175.84662401606039</v>
      </c>
      <c r="I69" s="9">
        <f t="shared" ca="1" si="2"/>
        <v>-119.66968160727265</v>
      </c>
      <c r="J69" s="9">
        <f t="shared" ca="1" si="2"/>
        <v>0</v>
      </c>
      <c r="K69" s="9">
        <f t="shared" ca="1" si="3"/>
        <v>212.70370912100174</v>
      </c>
      <c r="L69" s="9">
        <f t="shared" ca="1" si="4"/>
        <v>124.23663541539261</v>
      </c>
      <c r="M69">
        <f t="shared" ref="M57:M120" ca="1" si="27">INDIRECT("M$"&amp;C69)+INDIRECT("O$"&amp;C69)*($B69-INDIRECT("B$"&amp;D69))</f>
        <v>56.21750631313131</v>
      </c>
      <c r="N69">
        <f t="shared" ref="N57:N120" ca="1" si="28">INDIRECT("N$"&amp;C69)+INDIRECT("P$"&amp;C69)*($B69-INDIRECT("B$"&amp;D69))</f>
        <v>31.962512626262626</v>
      </c>
    </row>
    <row r="70" spans="1:14" x14ac:dyDescent="0.25">
      <c r="A70" s="4">
        <f>A69+5/24/3600</f>
        <v>0.42106481481481423</v>
      </c>
      <c r="B70" s="3">
        <f t="shared" si="12"/>
        <v>1553300380</v>
      </c>
      <c r="C70">
        <f t="shared" si="5"/>
        <v>2</v>
      </c>
      <c r="D70">
        <f t="shared" si="6"/>
        <v>6</v>
      </c>
      <c r="E70">
        <f t="shared" ca="1" si="25"/>
        <v>-59787.580314860614</v>
      </c>
      <c r="F70">
        <f t="shared" ca="1" si="26"/>
        <v>40687.52188567273</v>
      </c>
      <c r="G70">
        <f t="shared" ca="1" si="1"/>
        <v>10668</v>
      </c>
      <c r="H70" s="9">
        <f t="shared" ca="1" si="2"/>
        <v>175.84662401606039</v>
      </c>
      <c r="I70" s="9">
        <f t="shared" ca="1" si="2"/>
        <v>-119.66968160727265</v>
      </c>
      <c r="J70" s="9">
        <f t="shared" ca="1" si="2"/>
        <v>0</v>
      </c>
      <c r="K70" s="9">
        <f t="shared" ca="1" si="3"/>
        <v>212.70370912100174</v>
      </c>
      <c r="L70" s="9">
        <f t="shared" ca="1" si="4"/>
        <v>124.23663541539261</v>
      </c>
      <c r="M70">
        <f t="shared" ca="1" si="27"/>
        <v>56.212180134680132</v>
      </c>
      <c r="N70">
        <f t="shared" ca="1" si="28"/>
        <v>31.976582491582491</v>
      </c>
    </row>
    <row r="71" spans="1:14" x14ac:dyDescent="0.25">
      <c r="A71" s="4">
        <f t="shared" si="11"/>
        <v>0.42112268518518459</v>
      </c>
      <c r="B71" s="3">
        <f t="shared" si="12"/>
        <v>1553300385</v>
      </c>
      <c r="C71">
        <f t="shared" si="5"/>
        <v>2</v>
      </c>
      <c r="D71">
        <f t="shared" si="6"/>
        <v>6</v>
      </c>
      <c r="E71">
        <f t="shared" ca="1" si="25"/>
        <v>-58908.347194780312</v>
      </c>
      <c r="F71">
        <f t="shared" ca="1" si="26"/>
        <v>40089.173477636366</v>
      </c>
      <c r="G71">
        <f t="shared" ref="G71:G134" ca="1" si="29">INDIRECT("G$"&amp;C71)+INDIRECT("J$"&amp;C71)*($B71-INDIRECT("B$"&amp;D71))</f>
        <v>10668</v>
      </c>
      <c r="H71" s="9">
        <f t="shared" ref="H71:J134" ca="1" si="30">(E72-E71)/($B72-$B71)</f>
        <v>175.84662401606184</v>
      </c>
      <c r="I71" s="9">
        <f t="shared" ca="1" si="30"/>
        <v>-119.66968160727265</v>
      </c>
      <c r="J71" s="9">
        <f t="shared" ca="1" si="30"/>
        <v>0</v>
      </c>
      <c r="K71" s="9">
        <f t="shared" ref="K71:K134" ca="1" si="31">SQRT(H71*H71+I71*I71)</f>
        <v>212.70370912100293</v>
      </c>
      <c r="L71" s="9">
        <f t="shared" ref="L71:L134" ca="1" si="32">DEGREES(ATAN2(I71,H71))</f>
        <v>124.23663541539241</v>
      </c>
      <c r="M71">
        <f t="shared" ca="1" si="27"/>
        <v>56.206853956228954</v>
      </c>
      <c r="N71">
        <f t="shared" ca="1" si="28"/>
        <v>31.990652356902356</v>
      </c>
    </row>
    <row r="72" spans="1:14" x14ac:dyDescent="0.25">
      <c r="A72" s="4">
        <f t="shared" si="11"/>
        <v>0.42118055555555495</v>
      </c>
      <c r="B72" s="3">
        <f t="shared" si="12"/>
        <v>1553300390</v>
      </c>
      <c r="C72">
        <f t="shared" ref="C72:C135" si="33">C71</f>
        <v>2</v>
      </c>
      <c r="D72">
        <f t="shared" ref="D72:D135" si="34">D71</f>
        <v>6</v>
      </c>
      <c r="E72">
        <f t="shared" ca="1" si="25"/>
        <v>-58029.114074700003</v>
      </c>
      <c r="F72">
        <f t="shared" ca="1" si="26"/>
        <v>39490.825069600003</v>
      </c>
      <c r="G72">
        <f t="shared" ca="1" si="29"/>
        <v>10668</v>
      </c>
      <c r="H72" s="9">
        <f t="shared" ca="1" si="30"/>
        <v>175.84662401606039</v>
      </c>
      <c r="I72" s="9">
        <f t="shared" ca="1" si="30"/>
        <v>-119.66968160727265</v>
      </c>
      <c r="J72" s="9">
        <f t="shared" ca="1" si="30"/>
        <v>0</v>
      </c>
      <c r="K72" s="9">
        <f t="shared" ca="1" si="31"/>
        <v>212.70370912100174</v>
      </c>
      <c r="L72" s="9">
        <f t="shared" ca="1" si="32"/>
        <v>124.23663541539261</v>
      </c>
      <c r="M72">
        <f t="shared" ca="1" si="27"/>
        <v>56.201527777777777</v>
      </c>
      <c r="N72">
        <f t="shared" ca="1" si="28"/>
        <v>32.00472222222222</v>
      </c>
    </row>
    <row r="73" spans="1:14" x14ac:dyDescent="0.25">
      <c r="A73" s="4">
        <f t="shared" ref="A73:A102" si="35">A72+5/24/3600</f>
        <v>0.42123842592592531</v>
      </c>
      <c r="B73" s="3">
        <f t="shared" ref="B73:B136" si="36">B72+SECOND(A73-A72)</f>
        <v>1553300395</v>
      </c>
      <c r="C73">
        <f t="shared" si="33"/>
        <v>2</v>
      </c>
      <c r="D73">
        <f t="shared" si="34"/>
        <v>6</v>
      </c>
      <c r="E73">
        <f t="shared" ca="1" si="25"/>
        <v>-57149.880954619701</v>
      </c>
      <c r="F73">
        <f t="shared" ca="1" si="26"/>
        <v>38892.47666156364</v>
      </c>
      <c r="G73">
        <f t="shared" ca="1" si="29"/>
        <v>10668</v>
      </c>
      <c r="H73" s="9">
        <f t="shared" ca="1" si="30"/>
        <v>175.84662401606039</v>
      </c>
      <c r="I73" s="9">
        <f t="shared" ca="1" si="30"/>
        <v>-119.66968160727265</v>
      </c>
      <c r="J73" s="9">
        <f t="shared" ca="1" si="30"/>
        <v>0</v>
      </c>
      <c r="K73" s="9">
        <f t="shared" ca="1" si="31"/>
        <v>212.70370912100174</v>
      </c>
      <c r="L73" s="9">
        <f t="shared" ca="1" si="32"/>
        <v>124.23663541539261</v>
      </c>
      <c r="M73">
        <f t="shared" ca="1" si="27"/>
        <v>56.196201599326599</v>
      </c>
      <c r="N73">
        <f t="shared" ca="1" si="28"/>
        <v>32.018792087542089</v>
      </c>
    </row>
    <row r="74" spans="1:14" x14ac:dyDescent="0.25">
      <c r="A74" s="4">
        <f t="shared" si="35"/>
        <v>0.42129629629629567</v>
      </c>
      <c r="B74" s="3">
        <f t="shared" si="36"/>
        <v>1553300400</v>
      </c>
      <c r="C74">
        <f t="shared" si="33"/>
        <v>2</v>
      </c>
      <c r="D74">
        <f t="shared" si="34"/>
        <v>6</v>
      </c>
      <c r="E74">
        <f t="shared" ca="1" si="25"/>
        <v>-56270.647834539399</v>
      </c>
      <c r="F74">
        <f t="shared" ca="1" si="26"/>
        <v>38294.128253527277</v>
      </c>
      <c r="G74">
        <f t="shared" ca="1" si="29"/>
        <v>10668</v>
      </c>
      <c r="H74" s="9">
        <f t="shared" ca="1" si="30"/>
        <v>175.84662401606039</v>
      </c>
      <c r="I74" s="9">
        <f t="shared" ca="1" si="30"/>
        <v>-119.66968160727265</v>
      </c>
      <c r="J74" s="9">
        <f t="shared" ca="1" si="30"/>
        <v>0</v>
      </c>
      <c r="K74" s="9">
        <f t="shared" ca="1" si="31"/>
        <v>212.70370912100174</v>
      </c>
      <c r="L74" s="9">
        <f t="shared" ca="1" si="32"/>
        <v>124.23663541539261</v>
      </c>
      <c r="M74">
        <f t="shared" ca="1" si="27"/>
        <v>56.190875420875422</v>
      </c>
      <c r="N74">
        <f t="shared" ca="1" si="28"/>
        <v>32.03286195286195</v>
      </c>
    </row>
    <row r="75" spans="1:14" x14ac:dyDescent="0.25">
      <c r="A75" s="4">
        <f t="shared" si="35"/>
        <v>0.42135416666666603</v>
      </c>
      <c r="B75" s="3">
        <f t="shared" si="36"/>
        <v>1553300405</v>
      </c>
      <c r="C75">
        <f t="shared" si="33"/>
        <v>2</v>
      </c>
      <c r="D75">
        <f t="shared" si="34"/>
        <v>6</v>
      </c>
      <c r="E75">
        <f t="shared" ca="1" si="25"/>
        <v>-55391.414714459097</v>
      </c>
      <c r="F75">
        <f t="shared" ca="1" si="26"/>
        <v>37695.779845490913</v>
      </c>
      <c r="G75">
        <f t="shared" ca="1" si="29"/>
        <v>10668</v>
      </c>
      <c r="H75" s="9">
        <f t="shared" ca="1" si="30"/>
        <v>175.84662401606039</v>
      </c>
      <c r="I75" s="9">
        <f t="shared" ca="1" si="30"/>
        <v>-119.66968160727265</v>
      </c>
      <c r="J75" s="9">
        <f t="shared" ca="1" si="30"/>
        <v>0</v>
      </c>
      <c r="K75" s="9">
        <f t="shared" ca="1" si="31"/>
        <v>212.70370912100174</v>
      </c>
      <c r="L75" s="9">
        <f t="shared" ca="1" si="32"/>
        <v>124.23663541539261</v>
      </c>
      <c r="M75">
        <f t="shared" ca="1" si="27"/>
        <v>56.185549242424244</v>
      </c>
      <c r="N75">
        <f t="shared" ca="1" si="28"/>
        <v>32.046931818181818</v>
      </c>
    </row>
    <row r="76" spans="1:14" x14ac:dyDescent="0.25">
      <c r="A76" s="4">
        <f t="shared" si="35"/>
        <v>0.42141203703703639</v>
      </c>
      <c r="B76" s="3">
        <f t="shared" si="36"/>
        <v>1553300410</v>
      </c>
      <c r="C76">
        <f t="shared" si="33"/>
        <v>2</v>
      </c>
      <c r="D76">
        <f t="shared" si="34"/>
        <v>6</v>
      </c>
      <c r="E76">
        <f t="shared" ca="1" si="25"/>
        <v>-54512.181594378795</v>
      </c>
      <c r="F76">
        <f t="shared" ca="1" si="26"/>
        <v>37097.43143745455</v>
      </c>
      <c r="G76">
        <f t="shared" ca="1" si="29"/>
        <v>10668</v>
      </c>
      <c r="H76" s="9">
        <f t="shared" ca="1" si="30"/>
        <v>175.84662401606039</v>
      </c>
      <c r="I76" s="9">
        <f t="shared" ca="1" si="30"/>
        <v>-119.66968160727265</v>
      </c>
      <c r="J76" s="9">
        <f t="shared" ca="1" si="30"/>
        <v>0</v>
      </c>
      <c r="K76" s="9">
        <f t="shared" ca="1" si="31"/>
        <v>212.70370912100174</v>
      </c>
      <c r="L76" s="9">
        <f t="shared" ca="1" si="32"/>
        <v>124.23663541539261</v>
      </c>
      <c r="M76">
        <f t="shared" ca="1" si="27"/>
        <v>56.180223063973067</v>
      </c>
      <c r="N76">
        <f t="shared" ca="1" si="28"/>
        <v>32.061001683501679</v>
      </c>
    </row>
    <row r="77" spans="1:14" x14ac:dyDescent="0.25">
      <c r="A77" s="4">
        <f t="shared" si="35"/>
        <v>0.42146990740740675</v>
      </c>
      <c r="B77" s="3">
        <f t="shared" si="36"/>
        <v>1553300415</v>
      </c>
      <c r="C77">
        <f t="shared" si="33"/>
        <v>2</v>
      </c>
      <c r="D77">
        <f t="shared" si="34"/>
        <v>6</v>
      </c>
      <c r="E77">
        <f t="shared" ca="1" si="25"/>
        <v>-53632.948474298493</v>
      </c>
      <c r="F77">
        <f t="shared" ca="1" si="26"/>
        <v>36499.083029418187</v>
      </c>
      <c r="G77">
        <f t="shared" ca="1" si="29"/>
        <v>10668</v>
      </c>
      <c r="H77" s="9">
        <f t="shared" ca="1" si="30"/>
        <v>175.84662401606039</v>
      </c>
      <c r="I77" s="9">
        <f t="shared" ca="1" si="30"/>
        <v>-119.66968160727265</v>
      </c>
      <c r="J77" s="9">
        <f t="shared" ca="1" si="30"/>
        <v>0</v>
      </c>
      <c r="K77" s="9">
        <f t="shared" ca="1" si="31"/>
        <v>212.70370912100174</v>
      </c>
      <c r="L77" s="9">
        <f t="shared" ca="1" si="32"/>
        <v>124.23663541539261</v>
      </c>
      <c r="M77">
        <f t="shared" ca="1" si="27"/>
        <v>56.174896885521882</v>
      </c>
      <c r="N77">
        <f t="shared" ca="1" si="28"/>
        <v>32.075071548821548</v>
      </c>
    </row>
    <row r="78" spans="1:14" x14ac:dyDescent="0.25">
      <c r="A78" s="4">
        <f t="shared" si="35"/>
        <v>0.42152777777777711</v>
      </c>
      <c r="B78" s="3">
        <f t="shared" si="36"/>
        <v>1553300420</v>
      </c>
      <c r="C78">
        <f t="shared" si="33"/>
        <v>2</v>
      </c>
      <c r="D78">
        <f t="shared" si="34"/>
        <v>6</v>
      </c>
      <c r="E78">
        <f t="shared" ca="1" si="25"/>
        <v>-52753.715354218191</v>
      </c>
      <c r="F78">
        <f t="shared" ca="1" si="26"/>
        <v>35900.734621381824</v>
      </c>
      <c r="G78">
        <f t="shared" ca="1" si="29"/>
        <v>10668</v>
      </c>
      <c r="H78" s="9">
        <f t="shared" ca="1" si="30"/>
        <v>175.84662401606184</v>
      </c>
      <c r="I78" s="9">
        <f t="shared" ca="1" si="30"/>
        <v>-119.66968160727265</v>
      </c>
      <c r="J78" s="9">
        <f t="shared" ca="1" si="30"/>
        <v>0</v>
      </c>
      <c r="K78" s="9">
        <f t="shared" ca="1" si="31"/>
        <v>212.70370912100293</v>
      </c>
      <c r="L78" s="9">
        <f t="shared" ca="1" si="32"/>
        <v>124.23663541539241</v>
      </c>
      <c r="M78">
        <f t="shared" ca="1" si="27"/>
        <v>56.169570707070704</v>
      </c>
      <c r="N78">
        <f t="shared" ca="1" si="28"/>
        <v>32.089141414141409</v>
      </c>
    </row>
    <row r="79" spans="1:14" x14ac:dyDescent="0.25">
      <c r="A79" s="4">
        <f t="shared" si="35"/>
        <v>0.42158564814814747</v>
      </c>
      <c r="B79" s="3">
        <f t="shared" si="36"/>
        <v>1553300425</v>
      </c>
      <c r="C79">
        <f t="shared" si="33"/>
        <v>2</v>
      </c>
      <c r="D79">
        <f t="shared" si="34"/>
        <v>6</v>
      </c>
      <c r="E79">
        <f t="shared" ca="1" si="25"/>
        <v>-51874.482234137882</v>
      </c>
      <c r="F79">
        <f t="shared" ca="1" si="26"/>
        <v>35302.38621334546</v>
      </c>
      <c r="G79">
        <f t="shared" ca="1" si="29"/>
        <v>10668</v>
      </c>
      <c r="H79" s="9">
        <f t="shared" ca="1" si="30"/>
        <v>175.84662401606039</v>
      </c>
      <c r="I79" s="9">
        <f t="shared" ca="1" si="30"/>
        <v>-119.66968160727265</v>
      </c>
      <c r="J79" s="9">
        <f t="shared" ca="1" si="30"/>
        <v>0</v>
      </c>
      <c r="K79" s="9">
        <f t="shared" ca="1" si="31"/>
        <v>212.70370912100174</v>
      </c>
      <c r="L79" s="9">
        <f t="shared" ca="1" si="32"/>
        <v>124.23663541539261</v>
      </c>
      <c r="M79">
        <f t="shared" ca="1" si="27"/>
        <v>56.164244528619527</v>
      </c>
      <c r="N79">
        <f t="shared" ca="1" si="28"/>
        <v>32.103211279461277</v>
      </c>
    </row>
    <row r="80" spans="1:14" x14ac:dyDescent="0.25">
      <c r="A80" s="4">
        <f t="shared" si="35"/>
        <v>0.42164351851851783</v>
      </c>
      <c r="B80" s="3">
        <f t="shared" si="36"/>
        <v>1553300430</v>
      </c>
      <c r="C80">
        <f t="shared" si="33"/>
        <v>2</v>
      </c>
      <c r="D80">
        <f t="shared" si="34"/>
        <v>6</v>
      </c>
      <c r="E80">
        <f t="shared" ca="1" si="25"/>
        <v>-50995.24911405758</v>
      </c>
      <c r="F80">
        <f t="shared" ca="1" si="26"/>
        <v>34704.037805309097</v>
      </c>
      <c r="G80">
        <f t="shared" ca="1" si="29"/>
        <v>10668</v>
      </c>
      <c r="H80" s="9">
        <f t="shared" ca="1" si="30"/>
        <v>175.84662401605891</v>
      </c>
      <c r="I80" s="9">
        <f t="shared" ca="1" si="30"/>
        <v>-119.66968160727265</v>
      </c>
      <c r="J80" s="9">
        <f t="shared" ca="1" si="30"/>
        <v>0</v>
      </c>
      <c r="K80" s="9">
        <f t="shared" ca="1" si="31"/>
        <v>212.70370912100051</v>
      </c>
      <c r="L80" s="9">
        <f t="shared" ca="1" si="32"/>
        <v>124.23663541539287</v>
      </c>
      <c r="M80">
        <f t="shared" ca="1" si="27"/>
        <v>56.158918350168349</v>
      </c>
      <c r="N80">
        <f t="shared" ca="1" si="28"/>
        <v>32.117281144781145</v>
      </c>
    </row>
    <row r="81" spans="1:14" x14ac:dyDescent="0.25">
      <c r="A81" s="4">
        <f t="shared" si="35"/>
        <v>0.4217013888888882</v>
      </c>
      <c r="B81" s="3">
        <f t="shared" si="36"/>
        <v>1553300435</v>
      </c>
      <c r="C81">
        <f t="shared" si="33"/>
        <v>2</v>
      </c>
      <c r="D81">
        <f t="shared" si="34"/>
        <v>6</v>
      </c>
      <c r="E81">
        <f t="shared" ca="1" si="25"/>
        <v>-50116.015993977286</v>
      </c>
      <c r="F81">
        <f t="shared" ca="1" si="26"/>
        <v>34105.689397272734</v>
      </c>
      <c r="G81">
        <f t="shared" ca="1" si="29"/>
        <v>10668</v>
      </c>
      <c r="H81" s="9">
        <f t="shared" ca="1" si="30"/>
        <v>175.84662401606039</v>
      </c>
      <c r="I81" s="9">
        <f t="shared" ca="1" si="30"/>
        <v>-119.66968160727265</v>
      </c>
      <c r="J81" s="9">
        <f t="shared" ca="1" si="30"/>
        <v>0</v>
      </c>
      <c r="K81" s="9">
        <f t="shared" ca="1" si="31"/>
        <v>212.70370912100174</v>
      </c>
      <c r="L81" s="9">
        <f t="shared" ca="1" si="32"/>
        <v>124.23663541539261</v>
      </c>
      <c r="M81">
        <f t="shared" ca="1" si="27"/>
        <v>56.153592171717172</v>
      </c>
      <c r="N81">
        <f t="shared" ca="1" si="28"/>
        <v>32.131351010101007</v>
      </c>
    </row>
    <row r="82" spans="1:14" x14ac:dyDescent="0.25">
      <c r="A82" s="4">
        <f t="shared" si="35"/>
        <v>0.42175925925925856</v>
      </c>
      <c r="B82" s="3">
        <f t="shared" si="36"/>
        <v>1553300440</v>
      </c>
      <c r="C82">
        <f t="shared" si="33"/>
        <v>2</v>
      </c>
      <c r="D82">
        <f t="shared" si="34"/>
        <v>6</v>
      </c>
      <c r="E82">
        <f t="shared" ca="1" si="25"/>
        <v>-49236.782873896984</v>
      </c>
      <c r="F82">
        <f t="shared" ca="1" si="26"/>
        <v>33507.340989236371</v>
      </c>
      <c r="G82">
        <f t="shared" ca="1" si="29"/>
        <v>10668</v>
      </c>
      <c r="H82" s="9">
        <f t="shared" ca="1" si="30"/>
        <v>175.84662401606329</v>
      </c>
      <c r="I82" s="9">
        <f t="shared" ca="1" si="30"/>
        <v>-119.6696816072741</v>
      </c>
      <c r="J82" s="9">
        <f t="shared" ca="1" si="30"/>
        <v>0</v>
      </c>
      <c r="K82" s="9">
        <f t="shared" ca="1" si="31"/>
        <v>212.70370912100495</v>
      </c>
      <c r="L82" s="9">
        <f t="shared" ca="1" si="32"/>
        <v>124.23663541539251</v>
      </c>
      <c r="M82">
        <f t="shared" ca="1" si="27"/>
        <v>56.148265993265994</v>
      </c>
      <c r="N82">
        <f t="shared" ca="1" si="28"/>
        <v>32.145420875420875</v>
      </c>
    </row>
    <row r="83" spans="1:14" x14ac:dyDescent="0.25">
      <c r="A83" s="4">
        <f t="shared" si="35"/>
        <v>0.42181712962962892</v>
      </c>
      <c r="B83" s="3">
        <f t="shared" si="36"/>
        <v>1553300445</v>
      </c>
      <c r="C83">
        <f t="shared" si="33"/>
        <v>2</v>
      </c>
      <c r="D83">
        <f t="shared" si="34"/>
        <v>6</v>
      </c>
      <c r="E83">
        <f t="shared" ca="1" si="25"/>
        <v>-48357.549753816667</v>
      </c>
      <c r="F83">
        <f t="shared" ca="1" si="26"/>
        <v>32908.9925812</v>
      </c>
      <c r="G83">
        <f t="shared" ca="1" si="29"/>
        <v>10668</v>
      </c>
      <c r="H83" s="9">
        <f t="shared" ca="1" si="30"/>
        <v>175.84662401606039</v>
      </c>
      <c r="I83" s="9">
        <f t="shared" ca="1" si="30"/>
        <v>-119.66968160727265</v>
      </c>
      <c r="J83" s="9">
        <f t="shared" ca="1" si="30"/>
        <v>0</v>
      </c>
      <c r="K83" s="9">
        <f t="shared" ca="1" si="31"/>
        <v>212.70370912100174</v>
      </c>
      <c r="L83" s="9">
        <f t="shared" ca="1" si="32"/>
        <v>124.23663541539261</v>
      </c>
      <c r="M83">
        <f t="shared" ca="1" si="27"/>
        <v>56.142939814814817</v>
      </c>
      <c r="N83">
        <f t="shared" ca="1" si="28"/>
        <v>32.159490740740736</v>
      </c>
    </row>
    <row r="84" spans="1:14" x14ac:dyDescent="0.25">
      <c r="A84" s="4">
        <f t="shared" si="35"/>
        <v>0.42187499999999928</v>
      </c>
      <c r="B84" s="3">
        <f t="shared" si="36"/>
        <v>1553300450</v>
      </c>
      <c r="C84">
        <f t="shared" si="33"/>
        <v>2</v>
      </c>
      <c r="D84">
        <f t="shared" si="34"/>
        <v>6</v>
      </c>
      <c r="E84">
        <f t="shared" ca="1" si="25"/>
        <v>-47478.316633736365</v>
      </c>
      <c r="F84">
        <f t="shared" ca="1" si="26"/>
        <v>32310.644173163637</v>
      </c>
      <c r="G84">
        <f t="shared" ca="1" si="29"/>
        <v>10668</v>
      </c>
      <c r="H84" s="9">
        <f t="shared" ca="1" si="30"/>
        <v>175.84662401606039</v>
      </c>
      <c r="I84" s="9">
        <f t="shared" ca="1" si="30"/>
        <v>-119.66968160727265</v>
      </c>
      <c r="J84" s="9">
        <f t="shared" ca="1" si="30"/>
        <v>0</v>
      </c>
      <c r="K84" s="9">
        <f t="shared" ca="1" si="31"/>
        <v>212.70370912100174</v>
      </c>
      <c r="L84" s="9">
        <f t="shared" ca="1" si="32"/>
        <v>124.23663541539261</v>
      </c>
      <c r="M84">
        <f t="shared" ca="1" si="27"/>
        <v>56.137613636363639</v>
      </c>
      <c r="N84">
        <f t="shared" ca="1" si="28"/>
        <v>32.173560606060605</v>
      </c>
    </row>
    <row r="85" spans="1:14" x14ac:dyDescent="0.25">
      <c r="A85" s="4">
        <f t="shared" si="35"/>
        <v>0.42193287037036964</v>
      </c>
      <c r="B85" s="3">
        <f t="shared" si="36"/>
        <v>1553300455</v>
      </c>
      <c r="C85">
        <f t="shared" si="33"/>
        <v>2</v>
      </c>
      <c r="D85">
        <f t="shared" si="34"/>
        <v>6</v>
      </c>
      <c r="E85">
        <f t="shared" ca="1" si="25"/>
        <v>-46599.083513656064</v>
      </c>
      <c r="F85">
        <f t="shared" ca="1" si="26"/>
        <v>31712.295765127274</v>
      </c>
      <c r="G85">
        <f t="shared" ca="1" si="29"/>
        <v>10668</v>
      </c>
      <c r="H85" s="9">
        <f t="shared" ca="1" si="30"/>
        <v>175.84662401606039</v>
      </c>
      <c r="I85" s="9">
        <f t="shared" ca="1" si="30"/>
        <v>-119.66968160727265</v>
      </c>
      <c r="J85" s="9">
        <f t="shared" ca="1" si="30"/>
        <v>0</v>
      </c>
      <c r="K85" s="9">
        <f t="shared" ca="1" si="31"/>
        <v>212.70370912100174</v>
      </c>
      <c r="L85" s="9">
        <f t="shared" ca="1" si="32"/>
        <v>124.23663541539261</v>
      </c>
      <c r="M85">
        <f t="shared" ca="1" si="27"/>
        <v>56.132287457912454</v>
      </c>
      <c r="N85">
        <f t="shared" ca="1" si="28"/>
        <v>32.187630471380473</v>
      </c>
    </row>
    <row r="86" spans="1:14" x14ac:dyDescent="0.25">
      <c r="A86" s="4">
        <f t="shared" si="35"/>
        <v>0.42199074074074</v>
      </c>
      <c r="B86" s="3">
        <f t="shared" si="36"/>
        <v>1553300460</v>
      </c>
      <c r="C86">
        <f t="shared" si="33"/>
        <v>2</v>
      </c>
      <c r="D86">
        <f t="shared" si="34"/>
        <v>6</v>
      </c>
      <c r="E86">
        <f t="shared" ca="1" si="25"/>
        <v>-45719.850393575762</v>
      </c>
      <c r="F86">
        <f t="shared" ca="1" si="26"/>
        <v>31113.94735709091</v>
      </c>
      <c r="G86">
        <f t="shared" ca="1" si="29"/>
        <v>10668</v>
      </c>
      <c r="H86" s="9">
        <f t="shared" ca="1" si="30"/>
        <v>175.84662401606039</v>
      </c>
      <c r="I86" s="9">
        <f t="shared" ca="1" si="30"/>
        <v>-119.66968160727265</v>
      </c>
      <c r="J86" s="9">
        <f t="shared" ca="1" si="30"/>
        <v>0</v>
      </c>
      <c r="K86" s="9">
        <f t="shared" ca="1" si="31"/>
        <v>212.70370912100174</v>
      </c>
      <c r="L86" s="9">
        <f t="shared" ca="1" si="32"/>
        <v>124.23663541539261</v>
      </c>
      <c r="M86">
        <f t="shared" ca="1" si="27"/>
        <v>56.126961279461277</v>
      </c>
      <c r="N86">
        <f t="shared" ca="1" si="28"/>
        <v>32.201700336700334</v>
      </c>
    </row>
    <row r="87" spans="1:14" x14ac:dyDescent="0.25">
      <c r="A87" s="4">
        <f t="shared" si="35"/>
        <v>0.42204861111111036</v>
      </c>
      <c r="B87" s="3">
        <f t="shared" si="36"/>
        <v>1553300465</v>
      </c>
      <c r="C87">
        <f t="shared" si="33"/>
        <v>2</v>
      </c>
      <c r="D87">
        <f t="shared" si="34"/>
        <v>6</v>
      </c>
      <c r="E87">
        <f t="shared" ca="1" si="25"/>
        <v>-44840.61727349546</v>
      </c>
      <c r="F87">
        <f t="shared" ca="1" si="26"/>
        <v>30515.598949054547</v>
      </c>
      <c r="G87">
        <f t="shared" ca="1" si="29"/>
        <v>10668</v>
      </c>
      <c r="H87" s="9">
        <f t="shared" ca="1" si="30"/>
        <v>175.84662401606039</v>
      </c>
      <c r="I87" s="9">
        <f t="shared" ca="1" si="30"/>
        <v>-119.66968160727265</v>
      </c>
      <c r="J87" s="9">
        <f t="shared" ca="1" si="30"/>
        <v>0</v>
      </c>
      <c r="K87" s="9">
        <f t="shared" ca="1" si="31"/>
        <v>212.70370912100174</v>
      </c>
      <c r="L87" s="9">
        <f t="shared" ca="1" si="32"/>
        <v>124.23663541539261</v>
      </c>
      <c r="M87">
        <f t="shared" ca="1" si="27"/>
        <v>56.121635101010099</v>
      </c>
      <c r="N87">
        <f t="shared" ca="1" si="28"/>
        <v>32.215770202020202</v>
      </c>
    </row>
    <row r="88" spans="1:14" x14ac:dyDescent="0.25">
      <c r="A88" s="4">
        <f t="shared" si="35"/>
        <v>0.42210648148148072</v>
      </c>
      <c r="B88" s="3">
        <f t="shared" si="36"/>
        <v>1553300470</v>
      </c>
      <c r="C88">
        <f t="shared" si="33"/>
        <v>2</v>
      </c>
      <c r="D88">
        <f t="shared" si="34"/>
        <v>6</v>
      </c>
      <c r="E88">
        <f t="shared" ca="1" si="25"/>
        <v>-43961.384153415158</v>
      </c>
      <c r="F88">
        <f t="shared" ca="1" si="26"/>
        <v>29917.250541018184</v>
      </c>
      <c r="G88">
        <f t="shared" ca="1" si="29"/>
        <v>10668</v>
      </c>
      <c r="H88" s="9">
        <f t="shared" ca="1" si="30"/>
        <v>175.84662401606039</v>
      </c>
      <c r="I88" s="9">
        <f t="shared" ca="1" si="30"/>
        <v>-119.66968160727265</v>
      </c>
      <c r="J88" s="9">
        <f t="shared" ca="1" si="30"/>
        <v>0</v>
      </c>
      <c r="K88" s="9">
        <f t="shared" ca="1" si="31"/>
        <v>212.70370912100174</v>
      </c>
      <c r="L88" s="9">
        <f t="shared" ca="1" si="32"/>
        <v>124.23663541539261</v>
      </c>
      <c r="M88">
        <f t="shared" ca="1" si="27"/>
        <v>56.116308922558922</v>
      </c>
      <c r="N88">
        <f t="shared" ca="1" si="28"/>
        <v>32.229840067340064</v>
      </c>
    </row>
    <row r="89" spans="1:14" x14ac:dyDescent="0.25">
      <c r="A89" s="4">
        <f t="shared" si="35"/>
        <v>0.42216435185185108</v>
      </c>
      <c r="B89" s="3">
        <f t="shared" si="36"/>
        <v>1553300475</v>
      </c>
      <c r="C89">
        <f t="shared" si="33"/>
        <v>2</v>
      </c>
      <c r="D89">
        <f t="shared" si="34"/>
        <v>6</v>
      </c>
      <c r="E89">
        <f t="shared" ca="1" si="25"/>
        <v>-43082.151033334856</v>
      </c>
      <c r="F89">
        <f t="shared" ca="1" si="26"/>
        <v>29318.902132981821</v>
      </c>
      <c r="G89">
        <f t="shared" ca="1" si="29"/>
        <v>10668</v>
      </c>
      <c r="H89" s="9">
        <f t="shared" ca="1" si="30"/>
        <v>175.84662401606039</v>
      </c>
      <c r="I89" s="9">
        <f t="shared" ca="1" si="30"/>
        <v>-119.66968160727265</v>
      </c>
      <c r="J89" s="9">
        <f t="shared" ca="1" si="30"/>
        <v>0</v>
      </c>
      <c r="K89" s="9">
        <f t="shared" ca="1" si="31"/>
        <v>212.70370912100174</v>
      </c>
      <c r="L89" s="9">
        <f t="shared" ca="1" si="32"/>
        <v>124.23663541539261</v>
      </c>
      <c r="M89">
        <f t="shared" ca="1" si="27"/>
        <v>56.110982744107744</v>
      </c>
      <c r="N89">
        <f t="shared" ca="1" si="28"/>
        <v>32.243909932659932</v>
      </c>
    </row>
    <row r="90" spans="1:14" x14ac:dyDescent="0.25">
      <c r="A90" s="4">
        <f t="shared" si="35"/>
        <v>0.42222222222222144</v>
      </c>
      <c r="B90" s="3">
        <f t="shared" si="36"/>
        <v>1553300480</v>
      </c>
      <c r="C90">
        <f t="shared" si="33"/>
        <v>2</v>
      </c>
      <c r="D90">
        <f t="shared" si="34"/>
        <v>6</v>
      </c>
      <c r="E90">
        <f t="shared" ca="1" si="25"/>
        <v>-42202.917913254554</v>
      </c>
      <c r="F90">
        <f t="shared" ca="1" si="26"/>
        <v>28720.553724945457</v>
      </c>
      <c r="G90">
        <f t="shared" ca="1" si="29"/>
        <v>10668</v>
      </c>
      <c r="H90" s="9">
        <f t="shared" ca="1" si="30"/>
        <v>175.84662401606039</v>
      </c>
      <c r="I90" s="9">
        <f t="shared" ca="1" si="30"/>
        <v>-119.66968160727265</v>
      </c>
      <c r="J90" s="9">
        <f t="shared" ca="1" si="30"/>
        <v>0</v>
      </c>
      <c r="K90" s="9">
        <f t="shared" ca="1" si="31"/>
        <v>212.70370912100174</v>
      </c>
      <c r="L90" s="9">
        <f t="shared" ca="1" si="32"/>
        <v>124.23663541539261</v>
      </c>
      <c r="M90">
        <f t="shared" ca="1" si="27"/>
        <v>56.105656565656567</v>
      </c>
      <c r="N90">
        <f t="shared" ca="1" si="28"/>
        <v>32.257979797979793</v>
      </c>
    </row>
    <row r="91" spans="1:14" x14ac:dyDescent="0.25">
      <c r="A91" s="4">
        <f t="shared" si="35"/>
        <v>0.4222800925925918</v>
      </c>
      <c r="B91" s="3">
        <f t="shared" si="36"/>
        <v>1553300485</v>
      </c>
      <c r="C91">
        <f t="shared" si="33"/>
        <v>2</v>
      </c>
      <c r="D91">
        <f t="shared" si="34"/>
        <v>6</v>
      </c>
      <c r="E91">
        <f t="shared" ca="1" si="25"/>
        <v>-41323.684793174252</v>
      </c>
      <c r="F91">
        <f t="shared" ca="1" si="26"/>
        <v>28122.205316909094</v>
      </c>
      <c r="G91">
        <f t="shared" ca="1" si="29"/>
        <v>10668</v>
      </c>
      <c r="H91" s="9">
        <f t="shared" ca="1" si="30"/>
        <v>175.84662401606039</v>
      </c>
      <c r="I91" s="9">
        <f t="shared" ca="1" si="30"/>
        <v>-119.66968160727265</v>
      </c>
      <c r="J91" s="9">
        <f t="shared" ca="1" si="30"/>
        <v>0</v>
      </c>
      <c r="K91" s="9">
        <f t="shared" ca="1" si="31"/>
        <v>212.70370912100174</v>
      </c>
      <c r="L91" s="9">
        <f t="shared" ca="1" si="32"/>
        <v>124.23663541539261</v>
      </c>
      <c r="M91">
        <f t="shared" ca="1" si="27"/>
        <v>56.100330387205389</v>
      </c>
      <c r="N91">
        <f t="shared" ca="1" si="28"/>
        <v>32.272049663299661</v>
      </c>
    </row>
    <row r="92" spans="1:14" x14ac:dyDescent="0.25">
      <c r="A92" s="4">
        <f t="shared" si="35"/>
        <v>0.42233796296296217</v>
      </c>
      <c r="B92" s="3">
        <f t="shared" si="36"/>
        <v>1553300490</v>
      </c>
      <c r="C92">
        <f t="shared" si="33"/>
        <v>2</v>
      </c>
      <c r="D92">
        <f t="shared" si="34"/>
        <v>6</v>
      </c>
      <c r="E92">
        <f t="shared" ca="1" si="25"/>
        <v>-40444.45167309395</v>
      </c>
      <c r="F92">
        <f t="shared" ca="1" si="26"/>
        <v>27523.856908872731</v>
      </c>
      <c r="G92">
        <f t="shared" ca="1" si="29"/>
        <v>10668</v>
      </c>
      <c r="H92" s="9">
        <f t="shared" ca="1" si="30"/>
        <v>175.84662401606039</v>
      </c>
      <c r="I92" s="9">
        <f t="shared" ca="1" si="30"/>
        <v>-119.66968160727265</v>
      </c>
      <c r="J92" s="9">
        <f t="shared" ca="1" si="30"/>
        <v>0</v>
      </c>
      <c r="K92" s="9">
        <f t="shared" ca="1" si="31"/>
        <v>212.70370912100174</v>
      </c>
      <c r="L92" s="9">
        <f t="shared" ca="1" si="32"/>
        <v>124.23663541539261</v>
      </c>
      <c r="M92">
        <f t="shared" ca="1" si="27"/>
        <v>56.095004208754212</v>
      </c>
      <c r="N92">
        <f t="shared" ca="1" si="28"/>
        <v>32.28611952861953</v>
      </c>
    </row>
    <row r="93" spans="1:14" x14ac:dyDescent="0.25">
      <c r="A93" s="4">
        <f t="shared" si="35"/>
        <v>0.42239583333333253</v>
      </c>
      <c r="B93" s="3">
        <f t="shared" si="36"/>
        <v>1553300495</v>
      </c>
      <c r="C93">
        <f t="shared" si="33"/>
        <v>2</v>
      </c>
      <c r="D93">
        <f t="shared" si="34"/>
        <v>6</v>
      </c>
      <c r="E93">
        <f t="shared" ca="1" si="25"/>
        <v>-39565.218553013648</v>
      </c>
      <c r="F93">
        <f t="shared" ca="1" si="26"/>
        <v>26925.508500836368</v>
      </c>
      <c r="G93">
        <f t="shared" ca="1" si="29"/>
        <v>10668</v>
      </c>
      <c r="H93" s="9">
        <f t="shared" ca="1" si="30"/>
        <v>175.84662401606039</v>
      </c>
      <c r="I93" s="9">
        <f t="shared" ca="1" si="30"/>
        <v>-119.66968160727265</v>
      </c>
      <c r="J93" s="9">
        <f t="shared" ca="1" si="30"/>
        <v>0</v>
      </c>
      <c r="K93" s="9">
        <f t="shared" ca="1" si="31"/>
        <v>212.70370912100174</v>
      </c>
      <c r="L93" s="9">
        <f t="shared" ca="1" si="32"/>
        <v>124.23663541539261</v>
      </c>
      <c r="M93">
        <f t="shared" ca="1" si="27"/>
        <v>56.089678030303027</v>
      </c>
      <c r="N93">
        <f t="shared" ca="1" si="28"/>
        <v>32.300189393939391</v>
      </c>
    </row>
    <row r="94" spans="1:14" x14ac:dyDescent="0.25">
      <c r="A94" s="4">
        <f t="shared" si="35"/>
        <v>0.42245370370370289</v>
      </c>
      <c r="B94" s="3">
        <f t="shared" si="36"/>
        <v>1553300500</v>
      </c>
      <c r="C94">
        <f t="shared" si="33"/>
        <v>2</v>
      </c>
      <c r="D94">
        <f t="shared" si="34"/>
        <v>6</v>
      </c>
      <c r="E94">
        <f t="shared" ca="1" si="25"/>
        <v>-38685.985432933347</v>
      </c>
      <c r="F94">
        <f t="shared" ca="1" si="26"/>
        <v>26327.160092800004</v>
      </c>
      <c r="G94">
        <f t="shared" ca="1" si="29"/>
        <v>10668</v>
      </c>
      <c r="H94" s="9">
        <f t="shared" ca="1" si="30"/>
        <v>175.84662401606039</v>
      </c>
      <c r="I94" s="9">
        <f t="shared" ca="1" si="30"/>
        <v>-119.66968160727265</v>
      </c>
      <c r="J94" s="9">
        <f t="shared" ca="1" si="30"/>
        <v>0</v>
      </c>
      <c r="K94" s="9">
        <f t="shared" ca="1" si="31"/>
        <v>212.70370912100174</v>
      </c>
      <c r="L94" s="9">
        <f t="shared" ca="1" si="32"/>
        <v>124.23663541539261</v>
      </c>
      <c r="M94">
        <f t="shared" ca="1" si="27"/>
        <v>56.084351851851849</v>
      </c>
      <c r="N94">
        <f t="shared" ca="1" si="28"/>
        <v>32.314259259259259</v>
      </c>
    </row>
    <row r="95" spans="1:14" x14ac:dyDescent="0.25">
      <c r="A95" s="4">
        <f>A94+5/24/3600</f>
        <v>0.42251157407407325</v>
      </c>
      <c r="B95" s="3">
        <f t="shared" si="36"/>
        <v>1553300505</v>
      </c>
      <c r="C95">
        <f t="shared" si="33"/>
        <v>2</v>
      </c>
      <c r="D95">
        <f t="shared" si="34"/>
        <v>6</v>
      </c>
      <c r="E95">
        <f t="shared" ca="1" si="25"/>
        <v>-37806.752312853045</v>
      </c>
      <c r="F95">
        <f t="shared" ca="1" si="26"/>
        <v>25728.811684763641</v>
      </c>
      <c r="G95">
        <f t="shared" ca="1" si="29"/>
        <v>10668</v>
      </c>
      <c r="H95" s="9">
        <f t="shared" ca="1" si="30"/>
        <v>175.84662401606329</v>
      </c>
      <c r="I95" s="9">
        <f t="shared" ca="1" si="30"/>
        <v>-119.66968160727265</v>
      </c>
      <c r="J95" s="9">
        <f t="shared" ca="1" si="30"/>
        <v>0</v>
      </c>
      <c r="K95" s="9">
        <f t="shared" ca="1" si="31"/>
        <v>212.70370912100412</v>
      </c>
      <c r="L95" s="9">
        <f t="shared" ca="1" si="32"/>
        <v>124.23663541539219</v>
      </c>
      <c r="M95">
        <f t="shared" ca="1" si="27"/>
        <v>56.079025673400672</v>
      </c>
      <c r="N95">
        <f t="shared" ca="1" si="28"/>
        <v>32.32832912457912</v>
      </c>
    </row>
    <row r="96" spans="1:14" x14ac:dyDescent="0.25">
      <c r="A96" s="4">
        <f t="shared" si="35"/>
        <v>0.42256944444444361</v>
      </c>
      <c r="B96" s="3">
        <f t="shared" si="36"/>
        <v>1553300510</v>
      </c>
      <c r="C96">
        <f t="shared" si="33"/>
        <v>2</v>
      </c>
      <c r="D96">
        <f t="shared" si="34"/>
        <v>6</v>
      </c>
      <c r="E96">
        <f t="shared" ca="1" si="25"/>
        <v>-36927.519192772728</v>
      </c>
      <c r="F96">
        <f t="shared" ca="1" si="26"/>
        <v>25130.463276727278</v>
      </c>
      <c r="G96">
        <f t="shared" ca="1" si="29"/>
        <v>10668</v>
      </c>
      <c r="H96" s="9">
        <f t="shared" ca="1" si="30"/>
        <v>175.84662401606039</v>
      </c>
      <c r="I96" s="9">
        <f t="shared" ca="1" si="30"/>
        <v>-119.66968160727265</v>
      </c>
      <c r="J96" s="9">
        <f t="shared" ca="1" si="30"/>
        <v>0</v>
      </c>
      <c r="K96" s="9">
        <f t="shared" ca="1" si="31"/>
        <v>212.70370912100174</v>
      </c>
      <c r="L96" s="9">
        <f t="shared" ca="1" si="32"/>
        <v>124.23663541539261</v>
      </c>
      <c r="M96">
        <f t="shared" ca="1" si="27"/>
        <v>56.073699494949494</v>
      </c>
      <c r="N96">
        <f t="shared" ca="1" si="28"/>
        <v>32.342398989898989</v>
      </c>
    </row>
    <row r="97" spans="1:14" x14ac:dyDescent="0.25">
      <c r="A97" s="4">
        <f t="shared" si="35"/>
        <v>0.42262731481481397</v>
      </c>
      <c r="B97" s="3">
        <f t="shared" si="36"/>
        <v>1553300515</v>
      </c>
      <c r="C97">
        <f t="shared" si="33"/>
        <v>2</v>
      </c>
      <c r="D97">
        <f t="shared" si="34"/>
        <v>6</v>
      </c>
      <c r="E97">
        <f t="shared" ca="1" si="25"/>
        <v>-36048.286072692426</v>
      </c>
      <c r="F97">
        <f t="shared" ca="1" si="26"/>
        <v>24532.114868690915</v>
      </c>
      <c r="G97">
        <f t="shared" ca="1" si="29"/>
        <v>10668</v>
      </c>
      <c r="H97" s="9">
        <f t="shared" ca="1" si="30"/>
        <v>175.84662401606039</v>
      </c>
      <c r="I97" s="9">
        <f t="shared" ca="1" si="30"/>
        <v>-119.66968160727265</v>
      </c>
      <c r="J97" s="9">
        <f t="shared" ca="1" si="30"/>
        <v>0</v>
      </c>
      <c r="K97" s="9">
        <f t="shared" ca="1" si="31"/>
        <v>212.70370912100174</v>
      </c>
      <c r="L97" s="9">
        <f t="shared" ca="1" si="32"/>
        <v>124.23663541539261</v>
      </c>
      <c r="M97">
        <f t="shared" ca="1" si="27"/>
        <v>56.068373316498317</v>
      </c>
      <c r="N97">
        <f t="shared" ca="1" si="28"/>
        <v>32.35646885521885</v>
      </c>
    </row>
    <row r="98" spans="1:14" x14ac:dyDescent="0.25">
      <c r="A98" s="4">
        <f t="shared" si="35"/>
        <v>0.42268518518518433</v>
      </c>
      <c r="B98" s="3">
        <f t="shared" si="36"/>
        <v>1553300520</v>
      </c>
      <c r="C98">
        <f t="shared" si="33"/>
        <v>2</v>
      </c>
      <c r="D98">
        <f t="shared" si="34"/>
        <v>6</v>
      </c>
      <c r="E98">
        <f t="shared" ca="1" si="25"/>
        <v>-35169.052952612124</v>
      </c>
      <c r="F98">
        <f t="shared" ca="1" si="26"/>
        <v>23933.766460654551</v>
      </c>
      <c r="G98">
        <f t="shared" ca="1" si="29"/>
        <v>10668</v>
      </c>
      <c r="H98" s="9">
        <f t="shared" ca="1" si="30"/>
        <v>175.84662401606039</v>
      </c>
      <c r="I98" s="9">
        <f t="shared" ca="1" si="30"/>
        <v>-119.66968160727265</v>
      </c>
      <c r="J98" s="9">
        <f t="shared" ca="1" si="30"/>
        <v>0</v>
      </c>
      <c r="K98" s="9">
        <f t="shared" ca="1" si="31"/>
        <v>212.70370912100174</v>
      </c>
      <c r="L98" s="9">
        <f t="shared" ca="1" si="32"/>
        <v>124.23663541539261</v>
      </c>
      <c r="M98">
        <f t="shared" ca="1" si="27"/>
        <v>56.063047138047139</v>
      </c>
      <c r="N98">
        <f t="shared" ca="1" si="28"/>
        <v>32.370538720538718</v>
      </c>
    </row>
    <row r="99" spans="1:14" x14ac:dyDescent="0.25">
      <c r="A99" s="4">
        <f t="shared" si="35"/>
        <v>0.42274305555555469</v>
      </c>
      <c r="B99" s="3">
        <f t="shared" si="36"/>
        <v>1553300525</v>
      </c>
      <c r="C99">
        <f t="shared" si="33"/>
        <v>2</v>
      </c>
      <c r="D99">
        <f t="shared" si="34"/>
        <v>6</v>
      </c>
      <c r="E99">
        <f t="shared" ca="1" si="25"/>
        <v>-34289.819832531823</v>
      </c>
      <c r="F99">
        <f t="shared" ca="1" si="26"/>
        <v>23335.418052618188</v>
      </c>
      <c r="G99">
        <f t="shared" ca="1" si="29"/>
        <v>10668</v>
      </c>
      <c r="H99" s="9">
        <f t="shared" ca="1" si="30"/>
        <v>175.84662401606039</v>
      </c>
      <c r="I99" s="9">
        <f t="shared" ca="1" si="30"/>
        <v>-119.6696816072741</v>
      </c>
      <c r="J99" s="9">
        <f t="shared" ca="1" si="30"/>
        <v>0</v>
      </c>
      <c r="K99" s="9">
        <f t="shared" ca="1" si="31"/>
        <v>212.70370912100256</v>
      </c>
      <c r="L99" s="9">
        <f t="shared" ca="1" si="32"/>
        <v>124.23663541539294</v>
      </c>
      <c r="M99">
        <f t="shared" ca="1" si="27"/>
        <v>56.057720959595962</v>
      </c>
      <c r="N99">
        <f t="shared" ca="1" si="28"/>
        <v>32.384608585858587</v>
      </c>
    </row>
    <row r="100" spans="1:14" x14ac:dyDescent="0.25">
      <c r="A100" s="4">
        <f t="shared" si="35"/>
        <v>0.42280092592592505</v>
      </c>
      <c r="B100" s="3">
        <f t="shared" si="36"/>
        <v>1553300530</v>
      </c>
      <c r="C100">
        <f t="shared" si="33"/>
        <v>2</v>
      </c>
      <c r="D100">
        <f t="shared" si="34"/>
        <v>6</v>
      </c>
      <c r="E100">
        <f t="shared" ca="1" si="25"/>
        <v>-33410.586712451521</v>
      </c>
      <c r="F100">
        <f t="shared" ca="1" si="26"/>
        <v>22737.069644581818</v>
      </c>
      <c r="G100">
        <f t="shared" ca="1" si="29"/>
        <v>10668</v>
      </c>
      <c r="H100" s="9">
        <f t="shared" ca="1" si="30"/>
        <v>175.84662401606039</v>
      </c>
      <c r="I100" s="9">
        <f t="shared" ca="1" si="30"/>
        <v>-119.66968160727265</v>
      </c>
      <c r="J100" s="9">
        <f t="shared" ca="1" si="30"/>
        <v>0</v>
      </c>
      <c r="K100" s="9">
        <f t="shared" ca="1" si="31"/>
        <v>212.70370912100174</v>
      </c>
      <c r="L100" s="9">
        <f t="shared" ca="1" si="32"/>
        <v>124.23663541539261</v>
      </c>
      <c r="M100">
        <f t="shared" ca="1" si="27"/>
        <v>56.052394781144784</v>
      </c>
      <c r="N100">
        <f t="shared" ca="1" si="28"/>
        <v>32.398678451178448</v>
      </c>
    </row>
    <row r="101" spans="1:14" x14ac:dyDescent="0.25">
      <c r="A101" s="4">
        <f t="shared" si="35"/>
        <v>0.42285879629629541</v>
      </c>
      <c r="B101" s="3">
        <f t="shared" si="36"/>
        <v>1553300535</v>
      </c>
      <c r="C101">
        <f t="shared" si="33"/>
        <v>2</v>
      </c>
      <c r="D101">
        <f t="shared" si="34"/>
        <v>6</v>
      </c>
      <c r="E101">
        <f t="shared" ca="1" si="25"/>
        <v>-32531.353592371219</v>
      </c>
      <c r="F101">
        <f t="shared" ca="1" si="26"/>
        <v>22138.721236545454</v>
      </c>
      <c r="G101">
        <f t="shared" ca="1" si="29"/>
        <v>10668</v>
      </c>
      <c r="H101" s="9">
        <f t="shared" ca="1" si="30"/>
        <v>175.84662401606039</v>
      </c>
      <c r="I101" s="9">
        <f t="shared" ca="1" si="30"/>
        <v>-119.66968160727265</v>
      </c>
      <c r="J101" s="9">
        <f t="shared" ca="1" si="30"/>
        <v>0</v>
      </c>
      <c r="K101" s="9">
        <f t="shared" ca="1" si="31"/>
        <v>212.70370912100174</v>
      </c>
      <c r="L101" s="9">
        <f t="shared" ca="1" si="32"/>
        <v>124.23663541539261</v>
      </c>
      <c r="M101">
        <f t="shared" ca="1" si="27"/>
        <v>56.047068602693599</v>
      </c>
      <c r="N101">
        <f t="shared" ca="1" si="28"/>
        <v>32.412748316498316</v>
      </c>
    </row>
    <row r="102" spans="1:14" x14ac:dyDescent="0.25">
      <c r="A102" s="4">
        <f t="shared" si="35"/>
        <v>0.42291666666666577</v>
      </c>
      <c r="B102" s="3">
        <f t="shared" si="36"/>
        <v>1553300540</v>
      </c>
      <c r="C102">
        <f t="shared" si="33"/>
        <v>2</v>
      </c>
      <c r="D102">
        <f t="shared" si="34"/>
        <v>6</v>
      </c>
      <c r="E102">
        <f t="shared" ca="1" si="25"/>
        <v>-31652.120472290917</v>
      </c>
      <c r="F102">
        <f t="shared" ca="1" si="26"/>
        <v>21540.372828509091</v>
      </c>
      <c r="G102">
        <f t="shared" ca="1" si="29"/>
        <v>10668</v>
      </c>
      <c r="H102" s="9">
        <f t="shared" ca="1" si="30"/>
        <v>175.84662401606039</v>
      </c>
      <c r="I102" s="9">
        <f t="shared" ca="1" si="30"/>
        <v>-119.66968160727265</v>
      </c>
      <c r="J102" s="9">
        <f t="shared" ca="1" si="30"/>
        <v>0</v>
      </c>
      <c r="K102" s="9">
        <f t="shared" ca="1" si="31"/>
        <v>212.70370912100174</v>
      </c>
      <c r="L102" s="9">
        <f t="shared" ca="1" si="32"/>
        <v>124.23663541539261</v>
      </c>
      <c r="M102">
        <f t="shared" ca="1" si="27"/>
        <v>56.041742424242422</v>
      </c>
      <c r="N102">
        <f t="shared" ca="1" si="28"/>
        <v>32.426818181818177</v>
      </c>
    </row>
    <row r="103" spans="1:14" x14ac:dyDescent="0.25">
      <c r="A103" s="4">
        <f>A102+5/24/3600</f>
        <v>0.42297453703703614</v>
      </c>
      <c r="B103" s="3">
        <f t="shared" si="36"/>
        <v>1553300545</v>
      </c>
      <c r="C103">
        <f t="shared" si="33"/>
        <v>2</v>
      </c>
      <c r="D103">
        <f t="shared" si="34"/>
        <v>6</v>
      </c>
      <c r="E103">
        <f t="shared" ca="1" si="25"/>
        <v>-30772.887352210615</v>
      </c>
      <c r="F103">
        <f t="shared" ca="1" si="26"/>
        <v>20942.024420472728</v>
      </c>
      <c r="G103">
        <f t="shared" ca="1" si="29"/>
        <v>10668</v>
      </c>
      <c r="H103" s="9">
        <f t="shared" ca="1" si="30"/>
        <v>175.84662401606039</v>
      </c>
      <c r="I103" s="9">
        <f t="shared" ca="1" si="30"/>
        <v>-119.66968160727265</v>
      </c>
      <c r="J103" s="9">
        <f t="shared" ca="1" si="30"/>
        <v>0</v>
      </c>
      <c r="K103" s="9">
        <f t="shared" ca="1" si="31"/>
        <v>212.70370912100174</v>
      </c>
      <c r="L103" s="9">
        <f t="shared" ca="1" si="32"/>
        <v>124.23663541539261</v>
      </c>
      <c r="M103">
        <f t="shared" ca="1" si="27"/>
        <v>56.036416245791244</v>
      </c>
      <c r="N103">
        <f t="shared" ca="1" si="28"/>
        <v>32.440888047138046</v>
      </c>
    </row>
    <row r="104" spans="1:14" x14ac:dyDescent="0.25">
      <c r="A104" s="4">
        <f t="shared" ref="A104:A120" si="37">A103+5/24/3600</f>
        <v>0.4230324074074065</v>
      </c>
      <c r="B104" s="3">
        <f t="shared" si="36"/>
        <v>1553300550</v>
      </c>
      <c r="C104">
        <f t="shared" si="33"/>
        <v>2</v>
      </c>
      <c r="D104">
        <f t="shared" si="34"/>
        <v>6</v>
      </c>
      <c r="E104">
        <f t="shared" ca="1" si="25"/>
        <v>-29893.654232130313</v>
      </c>
      <c r="F104">
        <f t="shared" ca="1" si="26"/>
        <v>20343.676012436365</v>
      </c>
      <c r="G104">
        <f t="shared" ca="1" si="29"/>
        <v>10668</v>
      </c>
      <c r="H104" s="9">
        <f t="shared" ca="1" si="30"/>
        <v>175.84662401606039</v>
      </c>
      <c r="I104" s="9">
        <f t="shared" ca="1" si="30"/>
        <v>-119.66968160727265</v>
      </c>
      <c r="J104" s="9">
        <f t="shared" ca="1" si="30"/>
        <v>0</v>
      </c>
      <c r="K104" s="9">
        <f t="shared" ca="1" si="31"/>
        <v>212.70370912100174</v>
      </c>
      <c r="L104" s="9">
        <f t="shared" ca="1" si="32"/>
        <v>124.23663541539261</v>
      </c>
      <c r="M104">
        <f t="shared" ca="1" si="27"/>
        <v>56.031090067340067</v>
      </c>
      <c r="N104">
        <f t="shared" ca="1" si="28"/>
        <v>32.454957912457907</v>
      </c>
    </row>
    <row r="105" spans="1:14" x14ac:dyDescent="0.25">
      <c r="A105" s="4">
        <f t="shared" si="37"/>
        <v>0.42309027777777686</v>
      </c>
      <c r="B105" s="3">
        <f t="shared" si="36"/>
        <v>1553300555</v>
      </c>
      <c r="C105">
        <f t="shared" si="33"/>
        <v>2</v>
      </c>
      <c r="D105">
        <f t="shared" si="34"/>
        <v>6</v>
      </c>
      <c r="E105">
        <f t="shared" ca="1" si="25"/>
        <v>-29014.421112050011</v>
      </c>
      <c r="F105">
        <f t="shared" ca="1" si="26"/>
        <v>19745.327604400001</v>
      </c>
      <c r="G105">
        <f t="shared" ca="1" si="29"/>
        <v>10668</v>
      </c>
      <c r="H105" s="9">
        <f t="shared" ca="1" si="30"/>
        <v>175.84662401606039</v>
      </c>
      <c r="I105" s="9">
        <f t="shared" ca="1" si="30"/>
        <v>-119.66968160727265</v>
      </c>
      <c r="J105" s="9">
        <f t="shared" ca="1" si="30"/>
        <v>0</v>
      </c>
      <c r="K105" s="9">
        <f t="shared" ca="1" si="31"/>
        <v>212.70370912100174</v>
      </c>
      <c r="L105" s="9">
        <f t="shared" ca="1" si="32"/>
        <v>124.23663541539261</v>
      </c>
      <c r="M105">
        <f t="shared" ca="1" si="27"/>
        <v>56.025763888888889</v>
      </c>
      <c r="N105">
        <f t="shared" ca="1" si="28"/>
        <v>32.469027777777775</v>
      </c>
    </row>
    <row r="106" spans="1:14" x14ac:dyDescent="0.25">
      <c r="A106" s="4">
        <f t="shared" si="37"/>
        <v>0.42314814814814722</v>
      </c>
      <c r="B106" s="3">
        <f t="shared" si="36"/>
        <v>1553300560</v>
      </c>
      <c r="C106">
        <f t="shared" si="33"/>
        <v>2</v>
      </c>
      <c r="D106">
        <f t="shared" si="34"/>
        <v>6</v>
      </c>
      <c r="E106">
        <f t="shared" ca="1" si="25"/>
        <v>-28135.187991969709</v>
      </c>
      <c r="F106">
        <f t="shared" ca="1" si="26"/>
        <v>19146.979196363638</v>
      </c>
      <c r="G106">
        <f t="shared" ca="1" si="29"/>
        <v>10668</v>
      </c>
      <c r="H106" s="9">
        <f t="shared" ca="1" si="30"/>
        <v>175.84662401606039</v>
      </c>
      <c r="I106" s="9">
        <f t="shared" ca="1" si="30"/>
        <v>-119.66968160727265</v>
      </c>
      <c r="J106" s="9">
        <f t="shared" ca="1" si="30"/>
        <v>0</v>
      </c>
      <c r="K106" s="9">
        <f t="shared" ca="1" si="31"/>
        <v>212.70370912100174</v>
      </c>
      <c r="L106" s="9">
        <f t="shared" ca="1" si="32"/>
        <v>124.23663541539261</v>
      </c>
      <c r="M106">
        <f t="shared" ca="1" si="27"/>
        <v>56.020437710437712</v>
      </c>
      <c r="N106">
        <f t="shared" ca="1" si="28"/>
        <v>32.483097643097643</v>
      </c>
    </row>
    <row r="107" spans="1:14" x14ac:dyDescent="0.25">
      <c r="A107" s="4">
        <f t="shared" si="37"/>
        <v>0.42320601851851758</v>
      </c>
      <c r="B107" s="3">
        <f t="shared" si="36"/>
        <v>1553300565</v>
      </c>
      <c r="C107">
        <f t="shared" si="33"/>
        <v>2</v>
      </c>
      <c r="D107">
        <f t="shared" si="34"/>
        <v>6</v>
      </c>
      <c r="E107">
        <f t="shared" ca="1" si="25"/>
        <v>-27255.954871889408</v>
      </c>
      <c r="F107">
        <f t="shared" ca="1" si="26"/>
        <v>18548.630788327275</v>
      </c>
      <c r="G107">
        <f t="shared" ca="1" si="29"/>
        <v>10668</v>
      </c>
      <c r="H107" s="9">
        <f t="shared" ca="1" si="30"/>
        <v>175.84662401606039</v>
      </c>
      <c r="I107" s="9">
        <f t="shared" ca="1" si="30"/>
        <v>-119.66968160727265</v>
      </c>
      <c r="J107" s="9">
        <f t="shared" ca="1" si="30"/>
        <v>0</v>
      </c>
      <c r="K107" s="9">
        <f t="shared" ca="1" si="31"/>
        <v>212.70370912100174</v>
      </c>
      <c r="L107" s="9">
        <f t="shared" ca="1" si="32"/>
        <v>124.23663541539261</v>
      </c>
      <c r="M107">
        <f t="shared" ca="1" si="27"/>
        <v>56.015111531986534</v>
      </c>
      <c r="N107">
        <f t="shared" ca="1" si="28"/>
        <v>32.497167508417505</v>
      </c>
    </row>
    <row r="108" spans="1:14" x14ac:dyDescent="0.25">
      <c r="A108" s="4">
        <f t="shared" si="37"/>
        <v>0.42326388888888794</v>
      </c>
      <c r="B108" s="3">
        <f t="shared" si="36"/>
        <v>1553300570</v>
      </c>
      <c r="C108">
        <f t="shared" si="33"/>
        <v>2</v>
      </c>
      <c r="D108">
        <f t="shared" si="34"/>
        <v>6</v>
      </c>
      <c r="E108">
        <f t="shared" ca="1" si="25"/>
        <v>-26376.721751809106</v>
      </c>
      <c r="F108">
        <f t="shared" ca="1" si="26"/>
        <v>17950.282380290912</v>
      </c>
      <c r="G108">
        <f t="shared" ca="1" si="29"/>
        <v>10668</v>
      </c>
      <c r="H108" s="9">
        <f t="shared" ca="1" si="30"/>
        <v>175.84662401606039</v>
      </c>
      <c r="I108" s="9">
        <f t="shared" ca="1" si="30"/>
        <v>-119.66968160727265</v>
      </c>
      <c r="J108" s="9">
        <f t="shared" ca="1" si="30"/>
        <v>0</v>
      </c>
      <c r="K108" s="9">
        <f t="shared" ca="1" si="31"/>
        <v>212.70370912100174</v>
      </c>
      <c r="L108" s="9">
        <f t="shared" ca="1" si="32"/>
        <v>124.23663541539261</v>
      </c>
      <c r="M108">
        <f t="shared" ca="1" si="27"/>
        <v>56.009785353535356</v>
      </c>
      <c r="N108">
        <f t="shared" ca="1" si="28"/>
        <v>32.511237373737373</v>
      </c>
    </row>
    <row r="109" spans="1:14" x14ac:dyDescent="0.25">
      <c r="A109" s="4">
        <f t="shared" si="37"/>
        <v>0.4233217592592583</v>
      </c>
      <c r="B109" s="3">
        <f t="shared" si="36"/>
        <v>1553300575</v>
      </c>
      <c r="C109">
        <f t="shared" si="33"/>
        <v>2</v>
      </c>
      <c r="D109">
        <f t="shared" si="34"/>
        <v>6</v>
      </c>
      <c r="E109">
        <f t="shared" ca="1" si="25"/>
        <v>-25497.488631728804</v>
      </c>
      <c r="F109">
        <f t="shared" ca="1" si="26"/>
        <v>17351.933972254548</v>
      </c>
      <c r="G109">
        <f t="shared" ca="1" si="29"/>
        <v>10668</v>
      </c>
      <c r="H109" s="9">
        <f t="shared" ca="1" si="30"/>
        <v>175.84662401606329</v>
      </c>
      <c r="I109" s="9">
        <f t="shared" ca="1" si="30"/>
        <v>-119.66968160727265</v>
      </c>
      <c r="J109" s="9">
        <f t="shared" ca="1" si="30"/>
        <v>0</v>
      </c>
      <c r="K109" s="9">
        <f t="shared" ca="1" si="31"/>
        <v>212.70370912100412</v>
      </c>
      <c r="L109" s="9">
        <f t="shared" ca="1" si="32"/>
        <v>124.23663541539219</v>
      </c>
      <c r="M109">
        <f t="shared" ca="1" si="27"/>
        <v>56.004459175084179</v>
      </c>
      <c r="N109">
        <f t="shared" ca="1" si="28"/>
        <v>32.525307239057234</v>
      </c>
    </row>
    <row r="110" spans="1:14" x14ac:dyDescent="0.25">
      <c r="A110" s="4">
        <f t="shared" si="37"/>
        <v>0.42337962962962866</v>
      </c>
      <c r="B110" s="3">
        <f t="shared" si="36"/>
        <v>1553300580</v>
      </c>
      <c r="C110">
        <f t="shared" si="33"/>
        <v>2</v>
      </c>
      <c r="D110">
        <f t="shared" si="34"/>
        <v>6</v>
      </c>
      <c r="E110">
        <f t="shared" ca="1" si="25"/>
        <v>-24618.255511648487</v>
      </c>
      <c r="F110">
        <f t="shared" ca="1" si="26"/>
        <v>16753.585564218185</v>
      </c>
      <c r="G110">
        <f t="shared" ca="1" si="29"/>
        <v>10668</v>
      </c>
      <c r="H110" s="9">
        <f t="shared" ca="1" si="30"/>
        <v>175.84662401606039</v>
      </c>
      <c r="I110" s="9">
        <f t="shared" ca="1" si="30"/>
        <v>-119.66968160727265</v>
      </c>
      <c r="J110" s="9">
        <f t="shared" ca="1" si="30"/>
        <v>0</v>
      </c>
      <c r="K110" s="9">
        <f t="shared" ca="1" si="31"/>
        <v>212.70370912100174</v>
      </c>
      <c r="L110" s="9">
        <f t="shared" ca="1" si="32"/>
        <v>124.23663541539261</v>
      </c>
      <c r="M110">
        <f t="shared" ca="1" si="27"/>
        <v>55.999132996632994</v>
      </c>
      <c r="N110">
        <f t="shared" ca="1" si="28"/>
        <v>32.539377104377103</v>
      </c>
    </row>
    <row r="111" spans="1:14" x14ac:dyDescent="0.25">
      <c r="A111" s="4">
        <f t="shared" si="37"/>
        <v>0.42343749999999902</v>
      </c>
      <c r="B111" s="3">
        <f t="shared" si="36"/>
        <v>1553300585</v>
      </c>
      <c r="C111">
        <f t="shared" si="33"/>
        <v>2</v>
      </c>
      <c r="D111">
        <f t="shared" si="34"/>
        <v>6</v>
      </c>
      <c r="E111">
        <f t="shared" ca="1" si="25"/>
        <v>-23739.022391568185</v>
      </c>
      <c r="F111">
        <f t="shared" ca="1" si="26"/>
        <v>16155.237156181822</v>
      </c>
      <c r="G111">
        <f t="shared" ca="1" si="29"/>
        <v>10668</v>
      </c>
      <c r="H111" s="9">
        <f t="shared" ca="1" si="30"/>
        <v>175.84662401606039</v>
      </c>
      <c r="I111" s="9">
        <f t="shared" ca="1" si="30"/>
        <v>-119.66968160727265</v>
      </c>
      <c r="J111" s="9">
        <f t="shared" ca="1" si="30"/>
        <v>0</v>
      </c>
      <c r="K111" s="9">
        <f t="shared" ca="1" si="31"/>
        <v>212.70370912100174</v>
      </c>
      <c r="L111" s="9">
        <f t="shared" ca="1" si="32"/>
        <v>124.23663541539261</v>
      </c>
      <c r="M111">
        <f t="shared" ca="1" si="27"/>
        <v>55.993806818181817</v>
      </c>
      <c r="N111">
        <f t="shared" ca="1" si="28"/>
        <v>32.553446969696964</v>
      </c>
    </row>
    <row r="112" spans="1:14" x14ac:dyDescent="0.25">
      <c r="A112" s="4">
        <f t="shared" si="37"/>
        <v>0.42349537037036938</v>
      </c>
      <c r="B112" s="3">
        <f t="shared" si="36"/>
        <v>1553300590</v>
      </c>
      <c r="C112">
        <f t="shared" si="33"/>
        <v>2</v>
      </c>
      <c r="D112">
        <f t="shared" si="34"/>
        <v>6</v>
      </c>
      <c r="E112">
        <f t="shared" ca="1" si="25"/>
        <v>-22859.789271487884</v>
      </c>
      <c r="F112">
        <f t="shared" ca="1" si="26"/>
        <v>15556.888748145459</v>
      </c>
      <c r="G112">
        <f t="shared" ca="1" si="29"/>
        <v>10668</v>
      </c>
      <c r="H112" s="9">
        <f t="shared" ca="1" si="30"/>
        <v>175.84662401606039</v>
      </c>
      <c r="I112" s="9">
        <f t="shared" ca="1" si="30"/>
        <v>-119.66968160727265</v>
      </c>
      <c r="J112" s="9">
        <f t="shared" ca="1" si="30"/>
        <v>0</v>
      </c>
      <c r="K112" s="9">
        <f t="shared" ca="1" si="31"/>
        <v>212.70370912100174</v>
      </c>
      <c r="L112" s="9">
        <f t="shared" ca="1" si="32"/>
        <v>124.23663541539261</v>
      </c>
      <c r="M112">
        <f t="shared" ca="1" si="27"/>
        <v>55.988480639730639</v>
      </c>
      <c r="N112">
        <f t="shared" ca="1" si="28"/>
        <v>32.567516835016832</v>
      </c>
    </row>
    <row r="113" spans="1:14" x14ac:dyDescent="0.25">
      <c r="A113" s="4">
        <f t="shared" si="37"/>
        <v>0.42355324074073974</v>
      </c>
      <c r="B113" s="3">
        <f t="shared" si="36"/>
        <v>1553300595</v>
      </c>
      <c r="C113">
        <f t="shared" si="33"/>
        <v>2</v>
      </c>
      <c r="D113">
        <f t="shared" si="34"/>
        <v>6</v>
      </c>
      <c r="E113">
        <f t="shared" ca="1" si="25"/>
        <v>-21980.556151407582</v>
      </c>
      <c r="F113">
        <f t="shared" ca="1" si="26"/>
        <v>14958.540340109095</v>
      </c>
      <c r="G113">
        <f t="shared" ca="1" si="29"/>
        <v>10668</v>
      </c>
      <c r="H113" s="9">
        <f t="shared" ca="1" si="30"/>
        <v>175.84662401606039</v>
      </c>
      <c r="I113" s="9">
        <f t="shared" ca="1" si="30"/>
        <v>-119.66968160727265</v>
      </c>
      <c r="J113" s="9">
        <f t="shared" ca="1" si="30"/>
        <v>0</v>
      </c>
      <c r="K113" s="9">
        <f t="shared" ca="1" si="31"/>
        <v>212.70370912100174</v>
      </c>
      <c r="L113" s="9">
        <f t="shared" ca="1" si="32"/>
        <v>124.23663541539261</v>
      </c>
      <c r="M113">
        <f t="shared" ca="1" si="27"/>
        <v>55.983154461279462</v>
      </c>
      <c r="N113">
        <f t="shared" ca="1" si="28"/>
        <v>32.5815867003367</v>
      </c>
    </row>
    <row r="114" spans="1:14" x14ac:dyDescent="0.25">
      <c r="A114" s="4">
        <f t="shared" si="37"/>
        <v>0.42361111111111011</v>
      </c>
      <c r="B114" s="3">
        <f t="shared" si="36"/>
        <v>1553300600</v>
      </c>
      <c r="C114">
        <f t="shared" si="33"/>
        <v>2</v>
      </c>
      <c r="D114">
        <f t="shared" si="34"/>
        <v>6</v>
      </c>
      <c r="E114">
        <f t="shared" ca="1" si="25"/>
        <v>-21101.32303132728</v>
      </c>
      <c r="F114">
        <f t="shared" ca="1" si="26"/>
        <v>14360.191932072732</v>
      </c>
      <c r="G114">
        <f t="shared" ca="1" si="29"/>
        <v>10668</v>
      </c>
      <c r="H114" s="9">
        <f t="shared" ca="1" si="30"/>
        <v>175.84662401606039</v>
      </c>
      <c r="I114" s="9">
        <f t="shared" ca="1" si="30"/>
        <v>-119.66968160727265</v>
      </c>
      <c r="J114" s="9">
        <f t="shared" ca="1" si="30"/>
        <v>0</v>
      </c>
      <c r="K114" s="9">
        <f t="shared" ca="1" si="31"/>
        <v>212.70370912100174</v>
      </c>
      <c r="L114" s="9">
        <f t="shared" ca="1" si="32"/>
        <v>124.23663541539261</v>
      </c>
      <c r="M114">
        <f t="shared" ca="1" si="27"/>
        <v>55.977828282828284</v>
      </c>
      <c r="N114">
        <f t="shared" ca="1" si="28"/>
        <v>32.595656565656562</v>
      </c>
    </row>
    <row r="115" spans="1:14" x14ac:dyDescent="0.25">
      <c r="A115" s="4">
        <f t="shared" si="37"/>
        <v>0.42366898148148047</v>
      </c>
      <c r="B115" s="3">
        <f t="shared" si="36"/>
        <v>1553300605</v>
      </c>
      <c r="C115">
        <f t="shared" si="33"/>
        <v>2</v>
      </c>
      <c r="D115">
        <f t="shared" si="34"/>
        <v>6</v>
      </c>
      <c r="E115">
        <f t="shared" ca="1" si="25"/>
        <v>-20222.089911246978</v>
      </c>
      <c r="F115">
        <f t="shared" ca="1" si="26"/>
        <v>13761.843524036369</v>
      </c>
      <c r="G115">
        <f t="shared" ca="1" si="29"/>
        <v>10668</v>
      </c>
      <c r="H115" s="9">
        <f t="shared" ca="1" si="30"/>
        <v>175.84662401606039</v>
      </c>
      <c r="I115" s="9">
        <f t="shared" ca="1" si="30"/>
        <v>-119.66968160727265</v>
      </c>
      <c r="J115" s="9">
        <f t="shared" ca="1" si="30"/>
        <v>0</v>
      </c>
      <c r="K115" s="9">
        <f t="shared" ca="1" si="31"/>
        <v>212.70370912100174</v>
      </c>
      <c r="L115" s="9">
        <f t="shared" ca="1" si="32"/>
        <v>124.23663541539261</v>
      </c>
      <c r="M115">
        <f t="shared" ca="1" si="27"/>
        <v>55.972502104377106</v>
      </c>
      <c r="N115">
        <f t="shared" ca="1" si="28"/>
        <v>32.60972643097643</v>
      </c>
    </row>
    <row r="116" spans="1:14" x14ac:dyDescent="0.25">
      <c r="A116" s="4">
        <f t="shared" si="37"/>
        <v>0.42372685185185083</v>
      </c>
      <c r="B116" s="3">
        <f t="shared" si="36"/>
        <v>1553300610</v>
      </c>
      <c r="C116">
        <f t="shared" si="33"/>
        <v>2</v>
      </c>
      <c r="D116">
        <f t="shared" si="34"/>
        <v>6</v>
      </c>
      <c r="E116">
        <f t="shared" ca="1" si="25"/>
        <v>-19342.856791166676</v>
      </c>
      <c r="F116">
        <f t="shared" ca="1" si="26"/>
        <v>13163.495116000006</v>
      </c>
      <c r="G116">
        <f t="shared" ca="1" si="29"/>
        <v>10668</v>
      </c>
      <c r="H116" s="9">
        <f t="shared" ca="1" si="30"/>
        <v>175.84662401606039</v>
      </c>
      <c r="I116" s="9">
        <f t="shared" ca="1" si="30"/>
        <v>-119.6696816072741</v>
      </c>
      <c r="J116" s="9">
        <f t="shared" ca="1" si="30"/>
        <v>0</v>
      </c>
      <c r="K116" s="9">
        <f t="shared" ca="1" si="31"/>
        <v>212.70370912100256</v>
      </c>
      <c r="L116" s="9">
        <f t="shared" ca="1" si="32"/>
        <v>124.23663541539294</v>
      </c>
      <c r="M116">
        <f t="shared" ca="1" si="27"/>
        <v>55.967175925925929</v>
      </c>
      <c r="N116">
        <f t="shared" ca="1" si="28"/>
        <v>32.623796296296291</v>
      </c>
    </row>
    <row r="117" spans="1:14" x14ac:dyDescent="0.25">
      <c r="A117" s="4">
        <f t="shared" si="37"/>
        <v>0.42378472222222119</v>
      </c>
      <c r="B117" s="3">
        <f t="shared" si="36"/>
        <v>1553300615</v>
      </c>
      <c r="C117">
        <f t="shared" si="33"/>
        <v>2</v>
      </c>
      <c r="D117">
        <f t="shared" si="34"/>
        <v>6</v>
      </c>
      <c r="E117">
        <f t="shared" ca="1" si="25"/>
        <v>-18463.623671086374</v>
      </c>
      <c r="F117">
        <f t="shared" ca="1" si="26"/>
        <v>12565.146707963635</v>
      </c>
      <c r="G117">
        <f t="shared" ca="1" si="29"/>
        <v>10668</v>
      </c>
      <c r="H117" s="9">
        <f t="shared" ca="1" si="30"/>
        <v>175.84662401606039</v>
      </c>
      <c r="I117" s="9">
        <f t="shared" ca="1" si="30"/>
        <v>-119.6696816072712</v>
      </c>
      <c r="J117" s="9">
        <f t="shared" ca="1" si="30"/>
        <v>0</v>
      </c>
      <c r="K117" s="9">
        <f t="shared" ca="1" si="31"/>
        <v>212.70370912100094</v>
      </c>
      <c r="L117" s="9">
        <f t="shared" ca="1" si="32"/>
        <v>124.23663541539231</v>
      </c>
      <c r="M117">
        <f t="shared" ca="1" si="27"/>
        <v>55.961849747474751</v>
      </c>
      <c r="N117">
        <f t="shared" ca="1" si="28"/>
        <v>32.637866161616159</v>
      </c>
    </row>
    <row r="118" spans="1:14" x14ac:dyDescent="0.25">
      <c r="A118" s="4">
        <f t="shared" si="37"/>
        <v>0.42384259259259155</v>
      </c>
      <c r="B118" s="3">
        <f t="shared" si="36"/>
        <v>1553300620</v>
      </c>
      <c r="C118">
        <f t="shared" si="33"/>
        <v>2</v>
      </c>
      <c r="D118">
        <f t="shared" si="34"/>
        <v>6</v>
      </c>
      <c r="E118">
        <f t="shared" ca="1" si="25"/>
        <v>-17584.390551006072</v>
      </c>
      <c r="F118">
        <f t="shared" ca="1" si="26"/>
        <v>11966.798299927279</v>
      </c>
      <c r="G118">
        <f t="shared" ca="1" si="29"/>
        <v>10668</v>
      </c>
      <c r="H118" s="9">
        <f t="shared" ca="1" si="30"/>
        <v>175.84662401606039</v>
      </c>
      <c r="I118" s="9">
        <f t="shared" ca="1" si="30"/>
        <v>-119.6696816072741</v>
      </c>
      <c r="J118" s="9">
        <f t="shared" ca="1" si="30"/>
        <v>0</v>
      </c>
      <c r="K118" s="9">
        <f t="shared" ca="1" si="31"/>
        <v>212.70370912100256</v>
      </c>
      <c r="L118" s="9">
        <f t="shared" ca="1" si="32"/>
        <v>124.23663541539294</v>
      </c>
      <c r="M118">
        <f t="shared" ca="1" si="27"/>
        <v>55.956523569023567</v>
      </c>
      <c r="N118">
        <f t="shared" ca="1" si="28"/>
        <v>32.651936026936028</v>
      </c>
    </row>
    <row r="119" spans="1:14" x14ac:dyDescent="0.25">
      <c r="A119" s="4">
        <f t="shared" si="37"/>
        <v>0.42390046296296191</v>
      </c>
      <c r="B119" s="3">
        <f t="shared" si="36"/>
        <v>1553300625</v>
      </c>
      <c r="C119">
        <f t="shared" si="33"/>
        <v>2</v>
      </c>
      <c r="D119">
        <f t="shared" si="34"/>
        <v>6</v>
      </c>
      <c r="E119">
        <f t="shared" ca="1" si="25"/>
        <v>-16705.15743092577</v>
      </c>
      <c r="F119">
        <f t="shared" ca="1" si="26"/>
        <v>11368.449891890908</v>
      </c>
      <c r="G119">
        <f t="shared" ca="1" si="29"/>
        <v>10668</v>
      </c>
      <c r="H119" s="9">
        <f t="shared" ca="1" si="30"/>
        <v>175.84662401606039</v>
      </c>
      <c r="I119" s="9">
        <f t="shared" ca="1" si="30"/>
        <v>-119.6696816072712</v>
      </c>
      <c r="J119" s="9">
        <f t="shared" ca="1" si="30"/>
        <v>0</v>
      </c>
      <c r="K119" s="9">
        <f t="shared" ca="1" si="31"/>
        <v>212.70370912100094</v>
      </c>
      <c r="L119" s="9">
        <f t="shared" ca="1" si="32"/>
        <v>124.23663541539231</v>
      </c>
      <c r="M119">
        <f t="shared" ca="1" si="27"/>
        <v>55.951197390572389</v>
      </c>
      <c r="N119">
        <f t="shared" ca="1" si="28"/>
        <v>32.666005892255889</v>
      </c>
    </row>
    <row r="120" spans="1:14" x14ac:dyDescent="0.25">
      <c r="A120" s="4">
        <f t="shared" si="37"/>
        <v>0.42395833333333227</v>
      </c>
      <c r="B120" s="3">
        <f t="shared" si="36"/>
        <v>1553300630</v>
      </c>
      <c r="C120">
        <f t="shared" si="33"/>
        <v>2</v>
      </c>
      <c r="D120">
        <f t="shared" si="34"/>
        <v>6</v>
      </c>
      <c r="E120">
        <f t="shared" ca="1" si="25"/>
        <v>-15825.924310845468</v>
      </c>
      <c r="F120">
        <f t="shared" ca="1" si="26"/>
        <v>10770.101483854552</v>
      </c>
      <c r="G120">
        <f t="shared" ca="1" si="29"/>
        <v>10668</v>
      </c>
      <c r="H120" s="9">
        <f t="shared" ca="1" si="30"/>
        <v>175.84662401606039</v>
      </c>
      <c r="I120" s="9">
        <f t="shared" ca="1" si="30"/>
        <v>-119.6696816072741</v>
      </c>
      <c r="J120" s="9">
        <f t="shared" ca="1" si="30"/>
        <v>0</v>
      </c>
      <c r="K120" s="9">
        <f t="shared" ca="1" si="31"/>
        <v>212.70370912100256</v>
      </c>
      <c r="L120" s="9">
        <f t="shared" ca="1" si="32"/>
        <v>124.23663541539294</v>
      </c>
      <c r="M120">
        <f t="shared" ca="1" si="27"/>
        <v>55.945871212121212</v>
      </c>
      <c r="N120">
        <f t="shared" ca="1" si="28"/>
        <v>32.680075757575757</v>
      </c>
    </row>
    <row r="121" spans="1:14" x14ac:dyDescent="0.25">
      <c r="A121" s="4">
        <f>A120+5/24/3600</f>
        <v>0.42401620370370263</v>
      </c>
      <c r="B121" s="3">
        <f t="shared" si="36"/>
        <v>1553300635</v>
      </c>
      <c r="C121">
        <f t="shared" si="33"/>
        <v>2</v>
      </c>
      <c r="D121">
        <f t="shared" si="34"/>
        <v>6</v>
      </c>
      <c r="E121">
        <f t="shared" ref="E121:E138" ca="1" si="38">INDIRECT("E$"&amp;C121)+INDIRECT("H$"&amp;C121)*($B121-INDIRECT("B$"&amp;D121))</f>
        <v>-14946.691190765167</v>
      </c>
      <c r="F121">
        <f t="shared" ref="F121:F138" ca="1" si="39">INDIRECT("F$"&amp;C121)+INDIRECT("I$"&amp;C121)*($B121-INDIRECT("B$"&amp;D121))</f>
        <v>10171.753075818182</v>
      </c>
      <c r="G121">
        <f t="shared" ca="1" si="29"/>
        <v>10668</v>
      </c>
      <c r="H121" s="9">
        <f t="shared" ca="1" si="30"/>
        <v>175.84662401606039</v>
      </c>
      <c r="I121" s="9">
        <f t="shared" ca="1" si="30"/>
        <v>-119.6696816072712</v>
      </c>
      <c r="J121" s="9">
        <f t="shared" ca="1" si="30"/>
        <v>0</v>
      </c>
      <c r="K121" s="9">
        <f t="shared" ca="1" si="31"/>
        <v>212.70370912100094</v>
      </c>
      <c r="L121" s="9">
        <f t="shared" ca="1" si="32"/>
        <v>124.23663541539231</v>
      </c>
      <c r="M121">
        <f t="shared" ref="M121:M138" ca="1" si="40">INDIRECT("M$"&amp;C121)+INDIRECT("O$"&amp;C121)*($B121-INDIRECT("B$"&amp;D121))</f>
        <v>55.940545033670034</v>
      </c>
      <c r="N121">
        <f t="shared" ref="N121:N138" ca="1" si="41">INDIRECT("N$"&amp;C121)+INDIRECT("P$"&amp;C121)*($B121-INDIRECT("B$"&amp;D121))</f>
        <v>32.694145622895618</v>
      </c>
    </row>
    <row r="122" spans="1:14" x14ac:dyDescent="0.25">
      <c r="A122" s="4">
        <f t="shared" ref="A122:A185" si="42">A121+5/24/3600</f>
        <v>0.42407407407407299</v>
      </c>
      <c r="B122" s="3">
        <f t="shared" si="36"/>
        <v>1553300640</v>
      </c>
      <c r="C122">
        <f t="shared" si="33"/>
        <v>2</v>
      </c>
      <c r="D122">
        <f t="shared" si="34"/>
        <v>6</v>
      </c>
      <c r="E122">
        <f t="shared" ca="1" si="38"/>
        <v>-14067.458070684865</v>
      </c>
      <c r="F122">
        <f t="shared" ca="1" si="39"/>
        <v>9573.404667781826</v>
      </c>
      <c r="G122">
        <f t="shared" ca="1" si="29"/>
        <v>10668</v>
      </c>
      <c r="H122" s="9">
        <f t="shared" ca="1" si="30"/>
        <v>175.84662401606039</v>
      </c>
      <c r="I122" s="9">
        <f t="shared" ca="1" si="30"/>
        <v>-119.6696816072741</v>
      </c>
      <c r="J122" s="9">
        <f t="shared" ca="1" si="30"/>
        <v>0</v>
      </c>
      <c r="K122" s="9">
        <f t="shared" ca="1" si="31"/>
        <v>212.70370912100256</v>
      </c>
      <c r="L122" s="9">
        <f t="shared" ca="1" si="32"/>
        <v>124.23663541539294</v>
      </c>
      <c r="M122">
        <f t="shared" ca="1" si="40"/>
        <v>55.935218855218857</v>
      </c>
      <c r="N122">
        <f t="shared" ca="1" si="41"/>
        <v>32.708215488215487</v>
      </c>
    </row>
    <row r="123" spans="1:14" x14ac:dyDescent="0.25">
      <c r="A123" s="4">
        <f t="shared" si="42"/>
        <v>0.42413194444444335</v>
      </c>
      <c r="B123" s="3">
        <f t="shared" si="36"/>
        <v>1553300645</v>
      </c>
      <c r="C123">
        <f t="shared" si="33"/>
        <v>2</v>
      </c>
      <c r="D123">
        <f t="shared" si="34"/>
        <v>6</v>
      </c>
      <c r="E123">
        <f t="shared" ca="1" si="38"/>
        <v>-13188.224950604563</v>
      </c>
      <c r="F123">
        <f t="shared" ca="1" si="39"/>
        <v>8975.0562597454555</v>
      </c>
      <c r="G123">
        <f t="shared" ca="1" si="29"/>
        <v>10668</v>
      </c>
      <c r="H123" s="9">
        <f t="shared" ca="1" si="30"/>
        <v>175.84662401606329</v>
      </c>
      <c r="I123" s="9">
        <f t="shared" ca="1" si="30"/>
        <v>-119.6696816072712</v>
      </c>
      <c r="J123" s="9">
        <f t="shared" ca="1" si="30"/>
        <v>0</v>
      </c>
      <c r="K123" s="9">
        <f t="shared" ca="1" si="31"/>
        <v>212.70370912100333</v>
      </c>
      <c r="L123" s="9">
        <f t="shared" ca="1" si="32"/>
        <v>124.23663541539187</v>
      </c>
      <c r="M123">
        <f t="shared" ca="1" si="40"/>
        <v>55.929892676767679</v>
      </c>
      <c r="N123">
        <f t="shared" ca="1" si="41"/>
        <v>32.722285353535348</v>
      </c>
    </row>
    <row r="124" spans="1:14" x14ac:dyDescent="0.25">
      <c r="A124" s="4">
        <f t="shared" si="42"/>
        <v>0.42418981481481371</v>
      </c>
      <c r="B124" s="3">
        <f t="shared" si="36"/>
        <v>1553300650</v>
      </c>
      <c r="C124">
        <f t="shared" si="33"/>
        <v>2</v>
      </c>
      <c r="D124">
        <f t="shared" si="34"/>
        <v>6</v>
      </c>
      <c r="E124">
        <f t="shared" ca="1" si="38"/>
        <v>-12308.991830524246</v>
      </c>
      <c r="F124">
        <f t="shared" ca="1" si="39"/>
        <v>8376.7078517090995</v>
      </c>
      <c r="G124">
        <f t="shared" ca="1" si="29"/>
        <v>10668</v>
      </c>
      <c r="H124" s="9">
        <f t="shared" ca="1" si="30"/>
        <v>175.84662401606039</v>
      </c>
      <c r="I124" s="9">
        <f t="shared" ca="1" si="30"/>
        <v>-119.6696816072741</v>
      </c>
      <c r="J124" s="9">
        <f t="shared" ca="1" si="30"/>
        <v>0</v>
      </c>
      <c r="K124" s="9">
        <f t="shared" ca="1" si="31"/>
        <v>212.70370912100256</v>
      </c>
      <c r="L124" s="9">
        <f t="shared" ca="1" si="32"/>
        <v>124.23663541539294</v>
      </c>
      <c r="M124">
        <f t="shared" ca="1" si="40"/>
        <v>55.924566498316501</v>
      </c>
      <c r="N124">
        <f t="shared" ca="1" si="41"/>
        <v>32.736355218855216</v>
      </c>
    </row>
    <row r="125" spans="1:14" x14ac:dyDescent="0.25">
      <c r="A125" s="4">
        <f t="shared" si="42"/>
        <v>0.42424768518518408</v>
      </c>
      <c r="B125" s="3">
        <f t="shared" si="36"/>
        <v>1553300655</v>
      </c>
      <c r="C125">
        <f t="shared" si="33"/>
        <v>2</v>
      </c>
      <c r="D125">
        <f t="shared" si="34"/>
        <v>6</v>
      </c>
      <c r="E125">
        <f t="shared" ca="1" si="38"/>
        <v>-11429.758710443944</v>
      </c>
      <c r="F125">
        <f t="shared" ca="1" si="39"/>
        <v>7778.359443672729</v>
      </c>
      <c r="G125">
        <f t="shared" ca="1" si="29"/>
        <v>10668</v>
      </c>
      <c r="H125" s="9">
        <f t="shared" ca="1" si="30"/>
        <v>175.84662401606039</v>
      </c>
      <c r="I125" s="9">
        <f t="shared" ca="1" si="30"/>
        <v>-119.6696816072741</v>
      </c>
      <c r="J125" s="9">
        <f t="shared" ca="1" si="30"/>
        <v>0</v>
      </c>
      <c r="K125" s="9">
        <f t="shared" ca="1" si="31"/>
        <v>212.70370912100256</v>
      </c>
      <c r="L125" s="9">
        <f t="shared" ca="1" si="32"/>
        <v>124.23663541539294</v>
      </c>
      <c r="M125">
        <f t="shared" ca="1" si="40"/>
        <v>55.919240319865324</v>
      </c>
      <c r="N125">
        <f t="shared" ca="1" si="41"/>
        <v>32.750425084175085</v>
      </c>
    </row>
    <row r="126" spans="1:14" x14ac:dyDescent="0.25">
      <c r="A126" s="4">
        <f t="shared" si="42"/>
        <v>0.42430555555555444</v>
      </c>
      <c r="B126" s="3">
        <f t="shared" si="36"/>
        <v>1553300660</v>
      </c>
      <c r="C126">
        <f t="shared" si="33"/>
        <v>2</v>
      </c>
      <c r="D126">
        <f t="shared" si="34"/>
        <v>6</v>
      </c>
      <c r="E126">
        <f t="shared" ca="1" si="38"/>
        <v>-10550.525590363643</v>
      </c>
      <c r="F126">
        <f t="shared" ca="1" si="39"/>
        <v>7180.0110356363584</v>
      </c>
      <c r="G126">
        <f t="shared" ca="1" si="29"/>
        <v>10668</v>
      </c>
      <c r="H126" s="9">
        <f t="shared" ca="1" si="30"/>
        <v>175.84662401606039</v>
      </c>
      <c r="I126" s="9">
        <f t="shared" ca="1" si="30"/>
        <v>-119.6696816072712</v>
      </c>
      <c r="J126" s="9">
        <f t="shared" ca="1" si="30"/>
        <v>0</v>
      </c>
      <c r="K126" s="9">
        <f t="shared" ca="1" si="31"/>
        <v>212.70370912100094</v>
      </c>
      <c r="L126" s="9">
        <f t="shared" ca="1" si="32"/>
        <v>124.23663541539231</v>
      </c>
      <c r="M126">
        <f t="shared" ca="1" si="40"/>
        <v>55.913914141414139</v>
      </c>
      <c r="N126">
        <f t="shared" ca="1" si="41"/>
        <v>32.764494949494946</v>
      </c>
    </row>
    <row r="127" spans="1:14" x14ac:dyDescent="0.25">
      <c r="A127" s="4">
        <f t="shared" si="42"/>
        <v>0.4243634259259248</v>
      </c>
      <c r="B127" s="3">
        <f t="shared" si="36"/>
        <v>1553300665</v>
      </c>
      <c r="C127">
        <f t="shared" si="33"/>
        <v>2</v>
      </c>
      <c r="D127">
        <f t="shared" si="34"/>
        <v>6</v>
      </c>
      <c r="E127">
        <f t="shared" ca="1" si="38"/>
        <v>-9671.2924702833407</v>
      </c>
      <c r="F127">
        <f t="shared" ca="1" si="39"/>
        <v>6581.6626276000025</v>
      </c>
      <c r="G127">
        <f t="shared" ca="1" si="29"/>
        <v>10668</v>
      </c>
      <c r="H127" s="9">
        <f t="shared" ca="1" si="30"/>
        <v>175.84662401606039</v>
      </c>
      <c r="I127" s="9">
        <f t="shared" ca="1" si="30"/>
        <v>-119.6696816072741</v>
      </c>
      <c r="J127" s="9">
        <f t="shared" ca="1" si="30"/>
        <v>0</v>
      </c>
      <c r="K127" s="9">
        <f t="shared" ca="1" si="31"/>
        <v>212.70370912100256</v>
      </c>
      <c r="L127" s="9">
        <f t="shared" ca="1" si="32"/>
        <v>124.23663541539294</v>
      </c>
      <c r="M127">
        <f t="shared" ca="1" si="40"/>
        <v>55.908587962962962</v>
      </c>
      <c r="N127">
        <f t="shared" ca="1" si="41"/>
        <v>32.778564814814814</v>
      </c>
    </row>
    <row r="128" spans="1:14" x14ac:dyDescent="0.25">
      <c r="A128" s="4">
        <f t="shared" si="42"/>
        <v>0.42442129629629516</v>
      </c>
      <c r="B128" s="3">
        <f t="shared" si="36"/>
        <v>1553300670</v>
      </c>
      <c r="C128">
        <f t="shared" si="33"/>
        <v>2</v>
      </c>
      <c r="D128">
        <f t="shared" si="34"/>
        <v>6</v>
      </c>
      <c r="E128">
        <f t="shared" ca="1" si="38"/>
        <v>-8792.0593502030388</v>
      </c>
      <c r="F128">
        <f t="shared" ca="1" si="39"/>
        <v>5983.3142195636319</v>
      </c>
      <c r="G128">
        <f t="shared" ca="1" si="29"/>
        <v>10668</v>
      </c>
      <c r="H128" s="9">
        <f t="shared" ca="1" si="30"/>
        <v>175.84662401606039</v>
      </c>
      <c r="I128" s="9">
        <f t="shared" ca="1" si="30"/>
        <v>-119.6696816072712</v>
      </c>
      <c r="J128" s="9">
        <f t="shared" ca="1" si="30"/>
        <v>0</v>
      </c>
      <c r="K128" s="9">
        <f t="shared" ca="1" si="31"/>
        <v>212.70370912100094</v>
      </c>
      <c r="L128" s="9">
        <f t="shared" ca="1" si="32"/>
        <v>124.23663541539231</v>
      </c>
      <c r="M128">
        <f t="shared" ca="1" si="40"/>
        <v>55.903261784511784</v>
      </c>
      <c r="N128">
        <f t="shared" ca="1" si="41"/>
        <v>32.792634680134675</v>
      </c>
    </row>
    <row r="129" spans="1:19" x14ac:dyDescent="0.25">
      <c r="A129" s="4">
        <f t="shared" si="42"/>
        <v>0.42447916666666552</v>
      </c>
      <c r="B129" s="3">
        <f t="shared" si="36"/>
        <v>1553300675</v>
      </c>
      <c r="C129">
        <f t="shared" si="33"/>
        <v>2</v>
      </c>
      <c r="D129">
        <f t="shared" si="34"/>
        <v>6</v>
      </c>
      <c r="E129">
        <f t="shared" ca="1" si="38"/>
        <v>-7912.8262301227369</v>
      </c>
      <c r="F129">
        <f t="shared" ca="1" si="39"/>
        <v>5384.9658115272759</v>
      </c>
      <c r="G129">
        <f t="shared" ca="1" si="29"/>
        <v>10668</v>
      </c>
      <c r="H129" s="9">
        <f t="shared" ca="1" si="30"/>
        <v>175.84662401606039</v>
      </c>
      <c r="I129" s="9">
        <f t="shared" ca="1" si="30"/>
        <v>-119.6696816072741</v>
      </c>
      <c r="J129" s="9">
        <f t="shared" ca="1" si="30"/>
        <v>0</v>
      </c>
      <c r="K129" s="9">
        <f t="shared" ca="1" si="31"/>
        <v>212.70370912100256</v>
      </c>
      <c r="L129" s="9">
        <f t="shared" ca="1" si="32"/>
        <v>124.23663541539294</v>
      </c>
      <c r="M129">
        <f t="shared" ca="1" si="40"/>
        <v>55.897935606060607</v>
      </c>
      <c r="N129">
        <f t="shared" ca="1" si="41"/>
        <v>32.806704545454544</v>
      </c>
    </row>
    <row r="130" spans="1:19" x14ac:dyDescent="0.25">
      <c r="A130" s="4">
        <f t="shared" si="42"/>
        <v>0.42453703703703588</v>
      </c>
      <c r="B130" s="3">
        <f t="shared" si="36"/>
        <v>1553300680</v>
      </c>
      <c r="C130">
        <f t="shared" si="33"/>
        <v>2</v>
      </c>
      <c r="D130">
        <f t="shared" si="34"/>
        <v>6</v>
      </c>
      <c r="E130">
        <f t="shared" ca="1" si="38"/>
        <v>-7033.593110042435</v>
      </c>
      <c r="F130">
        <f t="shared" ca="1" si="39"/>
        <v>4786.6174034909054</v>
      </c>
      <c r="G130">
        <f t="shared" ca="1" si="29"/>
        <v>10668</v>
      </c>
      <c r="H130" s="9">
        <f t="shared" ca="1" si="30"/>
        <v>175.84662401606039</v>
      </c>
      <c r="I130" s="9">
        <f t="shared" ca="1" si="30"/>
        <v>-119.6696816072712</v>
      </c>
      <c r="J130" s="9">
        <f t="shared" ca="1" si="30"/>
        <v>0</v>
      </c>
      <c r="K130" s="9">
        <f t="shared" ca="1" si="31"/>
        <v>212.70370912100094</v>
      </c>
      <c r="L130" s="9">
        <f t="shared" ca="1" si="32"/>
        <v>124.23663541539231</v>
      </c>
      <c r="M130">
        <f t="shared" ca="1" si="40"/>
        <v>55.892609427609429</v>
      </c>
      <c r="N130">
        <f t="shared" ca="1" si="41"/>
        <v>32.820774410774405</v>
      </c>
    </row>
    <row r="131" spans="1:19" x14ac:dyDescent="0.25">
      <c r="A131" s="4">
        <f t="shared" si="42"/>
        <v>0.42459490740740624</v>
      </c>
      <c r="B131" s="3">
        <f t="shared" si="36"/>
        <v>1553300685</v>
      </c>
      <c r="C131">
        <f t="shared" si="33"/>
        <v>2</v>
      </c>
      <c r="D131">
        <f t="shared" si="34"/>
        <v>6</v>
      </c>
      <c r="E131">
        <f t="shared" ca="1" si="38"/>
        <v>-6154.3599899621331</v>
      </c>
      <c r="F131">
        <f t="shared" ca="1" si="39"/>
        <v>4188.2689954545494</v>
      </c>
      <c r="G131">
        <f t="shared" ca="1" si="29"/>
        <v>10668</v>
      </c>
      <c r="H131" s="9">
        <f t="shared" ca="1" si="30"/>
        <v>175.84662401606039</v>
      </c>
      <c r="I131" s="9">
        <f t="shared" ca="1" si="30"/>
        <v>-119.6696816072741</v>
      </c>
      <c r="J131" s="9">
        <f t="shared" ca="1" si="30"/>
        <v>0</v>
      </c>
      <c r="K131" s="9">
        <f t="shared" ca="1" si="31"/>
        <v>212.70370912100256</v>
      </c>
      <c r="L131" s="9">
        <f t="shared" ca="1" si="32"/>
        <v>124.23663541539294</v>
      </c>
      <c r="M131">
        <f t="shared" ca="1" si="40"/>
        <v>55.887283249158251</v>
      </c>
      <c r="N131">
        <f t="shared" ca="1" si="41"/>
        <v>32.834844276094273</v>
      </c>
    </row>
    <row r="132" spans="1:19" x14ac:dyDescent="0.25">
      <c r="A132" s="4">
        <f t="shared" si="42"/>
        <v>0.4246527777777766</v>
      </c>
      <c r="B132" s="3">
        <f t="shared" si="36"/>
        <v>1553300690</v>
      </c>
      <c r="C132">
        <f t="shared" si="33"/>
        <v>2</v>
      </c>
      <c r="D132">
        <f t="shared" si="34"/>
        <v>6</v>
      </c>
      <c r="E132">
        <f t="shared" ca="1" si="38"/>
        <v>-5275.1268698818312</v>
      </c>
      <c r="F132">
        <f t="shared" ca="1" si="39"/>
        <v>3589.9205874181789</v>
      </c>
      <c r="G132">
        <f t="shared" ca="1" si="29"/>
        <v>10668</v>
      </c>
      <c r="H132" s="9">
        <f t="shared" ca="1" si="30"/>
        <v>175.84662401606039</v>
      </c>
      <c r="I132" s="9">
        <f t="shared" ca="1" si="30"/>
        <v>-119.6696816072712</v>
      </c>
      <c r="J132" s="9">
        <f t="shared" ca="1" si="30"/>
        <v>0</v>
      </c>
      <c r="K132" s="9">
        <f t="shared" ca="1" si="31"/>
        <v>212.70370912100094</v>
      </c>
      <c r="L132" s="9">
        <f t="shared" ca="1" si="32"/>
        <v>124.23663541539231</v>
      </c>
      <c r="M132">
        <f t="shared" ca="1" si="40"/>
        <v>55.881957070707074</v>
      </c>
      <c r="N132">
        <f t="shared" ca="1" si="41"/>
        <v>32.848914141414141</v>
      </c>
    </row>
    <row r="133" spans="1:19" x14ac:dyDescent="0.25">
      <c r="A133" s="4">
        <f t="shared" si="42"/>
        <v>0.42471064814814696</v>
      </c>
      <c r="B133" s="3">
        <f t="shared" si="36"/>
        <v>1553300695</v>
      </c>
      <c r="C133">
        <f t="shared" si="33"/>
        <v>2</v>
      </c>
      <c r="D133">
        <f t="shared" si="34"/>
        <v>6</v>
      </c>
      <c r="E133">
        <f t="shared" ca="1" si="38"/>
        <v>-4395.8937498015293</v>
      </c>
      <c r="F133">
        <f t="shared" ca="1" si="39"/>
        <v>2991.5721793818229</v>
      </c>
      <c r="G133">
        <f t="shared" ca="1" si="29"/>
        <v>10668</v>
      </c>
      <c r="H133" s="9">
        <f t="shared" ca="1" si="30"/>
        <v>175.84662401606039</v>
      </c>
      <c r="I133" s="9">
        <f t="shared" ca="1" si="30"/>
        <v>-119.6696816072741</v>
      </c>
      <c r="J133" s="9">
        <f t="shared" ca="1" si="30"/>
        <v>0</v>
      </c>
      <c r="K133" s="9">
        <f t="shared" ca="1" si="31"/>
        <v>212.70370912100256</v>
      </c>
      <c r="L133" s="9">
        <f t="shared" ca="1" si="32"/>
        <v>124.23663541539294</v>
      </c>
      <c r="M133">
        <f t="shared" ca="1" si="40"/>
        <v>55.876630892255896</v>
      </c>
      <c r="N133">
        <f t="shared" ca="1" si="41"/>
        <v>32.862984006734003</v>
      </c>
    </row>
    <row r="134" spans="1:19" x14ac:dyDescent="0.25">
      <c r="A134" s="4">
        <f t="shared" si="42"/>
        <v>0.42476851851851732</v>
      </c>
      <c r="B134" s="3">
        <f t="shared" si="36"/>
        <v>1553300700</v>
      </c>
      <c r="C134">
        <f t="shared" si="33"/>
        <v>2</v>
      </c>
      <c r="D134">
        <f t="shared" si="34"/>
        <v>6</v>
      </c>
      <c r="E134">
        <f t="shared" ca="1" si="38"/>
        <v>-3516.6606297212275</v>
      </c>
      <c r="F134">
        <f t="shared" ca="1" si="39"/>
        <v>2393.2237713454524</v>
      </c>
      <c r="G134">
        <f t="shared" ca="1" si="29"/>
        <v>10668</v>
      </c>
      <c r="H134" s="9">
        <f t="shared" ca="1" si="30"/>
        <v>175.84662401606039</v>
      </c>
      <c r="I134" s="9">
        <f t="shared" ca="1" si="30"/>
        <v>-119.6696816072712</v>
      </c>
      <c r="J134" s="9">
        <f t="shared" ca="1" si="30"/>
        <v>0</v>
      </c>
      <c r="K134" s="9">
        <f t="shared" ca="1" si="31"/>
        <v>212.70370912100094</v>
      </c>
      <c r="L134" s="9">
        <f t="shared" ca="1" si="32"/>
        <v>124.23663541539231</v>
      </c>
      <c r="M134">
        <f t="shared" ca="1" si="40"/>
        <v>55.871304713804712</v>
      </c>
      <c r="N134">
        <f t="shared" ca="1" si="41"/>
        <v>32.877053872053871</v>
      </c>
    </row>
    <row r="135" spans="1:19" x14ac:dyDescent="0.25">
      <c r="A135" s="4">
        <f t="shared" si="42"/>
        <v>0.42482638888888768</v>
      </c>
      <c r="B135" s="3">
        <f t="shared" si="36"/>
        <v>1553300705</v>
      </c>
      <c r="C135">
        <f t="shared" si="33"/>
        <v>2</v>
      </c>
      <c r="D135">
        <f t="shared" si="34"/>
        <v>6</v>
      </c>
      <c r="E135">
        <f t="shared" ca="1" si="38"/>
        <v>-2637.4275096409256</v>
      </c>
      <c r="F135">
        <f t="shared" ca="1" si="39"/>
        <v>1794.8753633090964</v>
      </c>
      <c r="G135">
        <f t="shared" ref="G135:G138" ca="1" si="43">INDIRECT("G$"&amp;C135)+INDIRECT("J$"&amp;C135)*($B135-INDIRECT("B$"&amp;D135))</f>
        <v>10668</v>
      </c>
      <c r="H135" s="9">
        <f t="shared" ref="H135:J137" ca="1" si="44">(E136-E135)/($B136-$B135)</f>
        <v>175.84662401606039</v>
      </c>
      <c r="I135" s="9">
        <f t="shared" ca="1" si="44"/>
        <v>-119.6696816072741</v>
      </c>
      <c r="J135" s="9">
        <f t="shared" ca="1" si="44"/>
        <v>0</v>
      </c>
      <c r="K135" s="9">
        <f t="shared" ref="K135:K137" ca="1" si="45">SQRT(H135*H135+I135*I135)</f>
        <v>212.70370912100256</v>
      </c>
      <c r="L135" s="9">
        <f t="shared" ref="L135:L137" ca="1" si="46">DEGREES(ATAN2(I135,H135))</f>
        <v>124.23663541539294</v>
      </c>
      <c r="M135">
        <f t="shared" ca="1" si="40"/>
        <v>55.865978535353534</v>
      </c>
      <c r="N135">
        <f t="shared" ca="1" si="41"/>
        <v>32.891123737373732</v>
      </c>
      <c r="O135" s="13"/>
      <c r="P135" s="13"/>
      <c r="Q135" s="13"/>
      <c r="R135" s="13"/>
      <c r="S135" s="13"/>
    </row>
    <row r="136" spans="1:19" x14ac:dyDescent="0.25">
      <c r="A136" s="4">
        <f t="shared" si="42"/>
        <v>0.42488425925925805</v>
      </c>
      <c r="B136" s="3">
        <f t="shared" si="36"/>
        <v>1553300710</v>
      </c>
      <c r="C136">
        <f t="shared" ref="C136:C199" si="47">C135</f>
        <v>2</v>
      </c>
      <c r="D136">
        <f t="shared" ref="D136:D199" si="48">D135</f>
        <v>6</v>
      </c>
      <c r="E136">
        <f t="shared" ca="1" si="38"/>
        <v>-1758.1943895606237</v>
      </c>
      <c r="F136">
        <f t="shared" ca="1" si="39"/>
        <v>1196.5269552727259</v>
      </c>
      <c r="G136">
        <f t="shared" ca="1" si="43"/>
        <v>10668</v>
      </c>
      <c r="H136" s="9">
        <f t="shared" ca="1" si="44"/>
        <v>175.12579327086013</v>
      </c>
      <c r="I136" s="9">
        <f t="shared" ca="1" si="44"/>
        <v>-122.68033486451165</v>
      </c>
      <c r="J136" s="9">
        <f t="shared" ca="1" si="44"/>
        <v>0</v>
      </c>
      <c r="K136" s="9">
        <f t="shared" ca="1" si="45"/>
        <v>213.82120575662449</v>
      </c>
      <c r="L136" s="9">
        <f t="shared" ca="1" si="46"/>
        <v>125.01227762722445</v>
      </c>
      <c r="M136">
        <f t="shared" ca="1" si="40"/>
        <v>55.860652356902357</v>
      </c>
      <c r="N136">
        <f t="shared" ca="1" si="41"/>
        <v>32.9051936026936</v>
      </c>
    </row>
    <row r="137" spans="1:19" x14ac:dyDescent="0.25">
      <c r="A137" s="4">
        <f t="shared" si="42"/>
        <v>0.42494212962962841</v>
      </c>
      <c r="B137" s="3">
        <f t="shared" ref="B137:B138" si="49">B136+SECOND(A137-A136)</f>
        <v>1553300715</v>
      </c>
      <c r="C137">
        <f t="shared" si="47"/>
        <v>2</v>
      </c>
      <c r="D137">
        <f t="shared" si="48"/>
        <v>6</v>
      </c>
      <c r="E137" s="16">
        <f ca="1">(1-$O137)*(1-$O137)*E136+2*$O137*(1-$O137)*INDIRECT("E"&amp;C138)+$O137*$O137*E140</f>
        <v>-882.56542320632298</v>
      </c>
      <c r="F137" s="16">
        <f ca="1">(1-$O137)*(1-$O137)*F136+2*$O137*(1-$O137)*INDIRECT("F"&amp;C138)+$O137*$O137*F140</f>
        <v>583.12528095016762</v>
      </c>
      <c r="G137" s="16">
        <f t="shared" ca="1" si="43"/>
        <v>10668</v>
      </c>
      <c r="H137" s="17">
        <f t="shared" ref="H137:H168" ca="1" si="50">(E138-E137)/($B138-$B137)</f>
        <v>173.68413178045566</v>
      </c>
      <c r="I137" s="17">
        <f t="shared" ref="I137:I168" ca="1" si="51">(F138-F137)/($B138-$B137)</f>
        <v>-128.70164137898982</v>
      </c>
      <c r="J137" s="17">
        <f t="shared" ref="J137:J168" ca="1" si="52">(G138-G137)/($B138-$B137)</f>
        <v>0</v>
      </c>
      <c r="K137" s="17">
        <f t="shared" ref="K137:K168" ca="1" si="53">SQRT(H137*H137+I137*I137)</f>
        <v>216.17189948274219</v>
      </c>
      <c r="L137" s="17">
        <f t="shared" ref="L137:L168" ca="1" si="54">DEGREES(ATAN2(I137,H137))</f>
        <v>126.53880772986085</v>
      </c>
      <c r="M137" s="16">
        <f ca="1">(1-$O137)*(1-$O137)*M136+2*$O137*(1-$O137)*INDIRECT("M"&amp;C138)+$O137*$O137*M140</f>
        <v>55.855177586045642</v>
      </c>
      <c r="N137" s="16">
        <f ca="1">(1-$O137)*(1-$O137)*N136+2*$O137*(1-$O137)*INDIRECT("N"&amp;C138)+$O137*$O137*N140</f>
        <v>32.919205802235311</v>
      </c>
      <c r="O137" s="16">
        <f>(B137-B136)/(B140-B136)</f>
        <v>0.25</v>
      </c>
    </row>
    <row r="138" spans="1:19" x14ac:dyDescent="0.25">
      <c r="A138" s="5">
        <f t="shared" si="42"/>
        <v>0.42499999999999877</v>
      </c>
      <c r="B138" s="3">
        <f t="shared" si="49"/>
        <v>1553300720</v>
      </c>
      <c r="C138">
        <v>3</v>
      </c>
      <c r="D138">
        <f>ROW()</f>
        <v>138</v>
      </c>
      <c r="E138" s="16">
        <f ca="1">(1-$O138)*(1-$O138)*E136+2*$O138*(1-$O138)*INDIRECT("E"&amp;C138)+$O138*$O138*E140</f>
        <v>-14.144764304044713</v>
      </c>
      <c r="F138" s="16">
        <f ca="1">(1-$O138)*(1-$O138)*F136+2*$O138*(1-$O138)*INDIRECT("F"&amp;C138)+$O138*$O138*F140</f>
        <v>-60.382925944781505</v>
      </c>
      <c r="G138" s="16">
        <f t="shared" ca="1" si="43"/>
        <v>10668</v>
      </c>
      <c r="H138" s="17">
        <f t="shared" ca="1" si="50"/>
        <v>172.24247029005119</v>
      </c>
      <c r="I138" s="17">
        <f t="shared" ca="1" si="51"/>
        <v>-134.72294789346796</v>
      </c>
      <c r="J138" s="17">
        <f t="shared" ca="1" si="52"/>
        <v>0</v>
      </c>
      <c r="K138" s="17">
        <f t="shared" ca="1" si="53"/>
        <v>218.67268064558328</v>
      </c>
      <c r="L138" s="17">
        <f t="shared" ca="1" si="54"/>
        <v>128.03146246511949</v>
      </c>
      <c r="M138" s="16">
        <f ca="1">(1-$O138)*(1-$O138)*M136+2*$O138*(1-$O138)*INDIRECT("M"&amp;C138)+$O138*$O138*M140</f>
        <v>55.849405630377852</v>
      </c>
      <c r="N138" s="16">
        <f ca="1">(1-$O138)*(1-$O138)*N136+2*$O138*(1-$O138)*INDIRECT("N"&amp;C138)+$O138*$O138*N140</f>
        <v>32.93310267022072</v>
      </c>
      <c r="O138" s="16">
        <f>(B138-B136)/(B140-B136)</f>
        <v>0.5</v>
      </c>
    </row>
    <row r="139" spans="1:19" x14ac:dyDescent="0.25">
      <c r="A139" s="4">
        <f t="shared" si="42"/>
        <v>0.42505787037036913</v>
      </c>
      <c r="B139" s="3">
        <f t="shared" ref="B139:B162" si="55">B138+SECOND(A139-A138)</f>
        <v>1553300725</v>
      </c>
      <c r="C139">
        <f t="shared" si="47"/>
        <v>3</v>
      </c>
      <c r="D139">
        <f t="shared" si="48"/>
        <v>138</v>
      </c>
      <c r="E139" s="16">
        <f ca="1">(1-$O139)*(1-$O139)*E136+2*$O139*(1-$O139)*INDIRECT("E"&amp;C138)+$O139*$O139*E140</f>
        <v>847.06758714621128</v>
      </c>
      <c r="F139" s="16">
        <f ca="1">(1-$O139)*(1-$O139)*F136+2*$O139*(1-$O139)*INDIRECT("F"&amp;C138)+$O139*$O139*F140</f>
        <v>-733.99766541212125</v>
      </c>
      <c r="G139" s="16">
        <f t="shared" ref="G139:G162" ca="1" si="56">INDIRECT("G$"&amp;C139)+INDIRECT("J$"&amp;C139)*($B139-INDIRECT("B$"&amp;D139))</f>
        <v>10668</v>
      </c>
      <c r="H139" s="17">
        <f t="shared" ca="1" si="50"/>
        <v>170.80080879964672</v>
      </c>
      <c r="I139" s="17">
        <f t="shared" ca="1" si="51"/>
        <v>-140.74425440794613</v>
      </c>
      <c r="J139" s="17">
        <f t="shared" ca="1" si="52"/>
        <v>0</v>
      </c>
      <c r="K139" s="17">
        <f t="shared" ca="1" si="53"/>
        <v>221.31846157847323</v>
      </c>
      <c r="L139" s="17">
        <f t="shared" ca="1" si="54"/>
        <v>129.48939927208096</v>
      </c>
      <c r="M139" s="16">
        <f ca="1">(1-$O139)*(1-$O139)*M136+2*$O139*(1-$O139)*INDIRECT("M"&amp;C138)+$O139*$O139*M140</f>
        <v>55.843336489898988</v>
      </c>
      <c r="N139" s="16">
        <f ca="1">(1-$O139)*(1-$O139)*N136+2*$O139*(1-$O139)*INDIRECT("N"&amp;C138)+$O139*$O139*N140</f>
        <v>32.946884206649827</v>
      </c>
      <c r="O139" s="16">
        <f>(B139-B136)/(B140-B136)</f>
        <v>0.75</v>
      </c>
    </row>
    <row r="140" spans="1:19" x14ac:dyDescent="0.25">
      <c r="A140" s="4">
        <f t="shared" si="42"/>
        <v>0.42511574074073949</v>
      </c>
      <c r="B140" s="3">
        <f t="shared" si="55"/>
        <v>1553300730</v>
      </c>
      <c r="C140">
        <f t="shared" si="47"/>
        <v>3</v>
      </c>
      <c r="D140">
        <f t="shared" si="48"/>
        <v>138</v>
      </c>
      <c r="E140">
        <f t="shared" ref="E139:E162" ca="1" si="57">INDIRECT("E$"&amp;C140)+INDIRECT("H$"&amp;C140)*($B140-INDIRECT("B$"&amp;D140))</f>
        <v>1701.0716311444448</v>
      </c>
      <c r="F140">
        <f t="shared" ref="F139:F162" ca="1" si="58">INDIRECT("F$"&amp;C140)+INDIRECT("I$"&amp;C140)*($B140-INDIRECT("B$"&amp;D140))</f>
        <v>-1437.7189374518518</v>
      </c>
      <c r="G140">
        <f t="shared" ca="1" si="56"/>
        <v>10668</v>
      </c>
      <c r="H140" s="9">
        <f t="shared" ca="1" si="50"/>
        <v>170.07997805444447</v>
      </c>
      <c r="I140" s="9">
        <f t="shared" ca="1" si="51"/>
        <v>-143.75490766518519</v>
      </c>
      <c r="J140" s="9">
        <f t="shared" ca="1" si="52"/>
        <v>0</v>
      </c>
      <c r="K140" s="9">
        <f t="shared" ca="1" si="53"/>
        <v>222.69412298672415</v>
      </c>
      <c r="L140" s="9">
        <f t="shared" ca="1" si="54"/>
        <v>130.20514523201822</v>
      </c>
      <c r="M140">
        <f t="shared" ref="M139:M162" ca="1" si="59">INDIRECT("M$"&amp;C140)+INDIRECT("O$"&amp;C140)*($B140-INDIRECT("B$"&amp;D140))</f>
        <v>55.836970164609056</v>
      </c>
      <c r="N140">
        <f t="shared" ref="N139:N162" ca="1" si="60">INDIRECT("N$"&amp;C140)+INDIRECT("P$"&amp;C140)*($B140-INDIRECT("B$"&amp;D140))</f>
        <v>32.960550411522632</v>
      </c>
    </row>
    <row r="141" spans="1:19" x14ac:dyDescent="0.25">
      <c r="A141" s="4">
        <f t="shared" si="42"/>
        <v>0.42517361111110985</v>
      </c>
      <c r="B141" s="3">
        <f t="shared" si="55"/>
        <v>1553300735</v>
      </c>
      <c r="C141">
        <f t="shared" si="47"/>
        <v>3</v>
      </c>
      <c r="D141">
        <f t="shared" si="48"/>
        <v>138</v>
      </c>
      <c r="E141">
        <f t="shared" ca="1" si="57"/>
        <v>2551.4715214166672</v>
      </c>
      <c r="F141">
        <f t="shared" ca="1" si="58"/>
        <v>-2156.4934757777778</v>
      </c>
      <c r="G141">
        <f t="shared" ca="1" si="56"/>
        <v>10668</v>
      </c>
      <c r="H141" s="9">
        <f t="shared" ca="1" si="50"/>
        <v>170.07997805444447</v>
      </c>
      <c r="I141" s="9">
        <f t="shared" ca="1" si="51"/>
        <v>-143.75490766518524</v>
      </c>
      <c r="J141" s="9">
        <f t="shared" ca="1" si="52"/>
        <v>0</v>
      </c>
      <c r="K141" s="9">
        <f t="shared" ca="1" si="53"/>
        <v>222.69412298672421</v>
      </c>
      <c r="L141" s="9">
        <f t="shared" ca="1" si="54"/>
        <v>130.20514523201825</v>
      </c>
      <c r="M141">
        <f t="shared" ca="1" si="59"/>
        <v>55.83045524691358</v>
      </c>
      <c r="N141">
        <f t="shared" ca="1" si="60"/>
        <v>32.97415895061728</v>
      </c>
    </row>
    <row r="142" spans="1:19" x14ac:dyDescent="0.25">
      <c r="A142" s="4">
        <f t="shared" si="42"/>
        <v>0.42523148148148021</v>
      </c>
      <c r="B142" s="3">
        <f t="shared" si="55"/>
        <v>1553300740</v>
      </c>
      <c r="C142">
        <f t="shared" si="47"/>
        <v>3</v>
      </c>
      <c r="D142">
        <f t="shared" si="48"/>
        <v>138</v>
      </c>
      <c r="E142">
        <f t="shared" ca="1" si="57"/>
        <v>3401.8714116888896</v>
      </c>
      <c r="F142">
        <f t="shared" ca="1" si="58"/>
        <v>-2875.268014103704</v>
      </c>
      <c r="G142">
        <f t="shared" ca="1" si="56"/>
        <v>10668</v>
      </c>
      <c r="H142" s="9">
        <f t="shared" ca="1" si="50"/>
        <v>170.07997805444447</v>
      </c>
      <c r="I142" s="9">
        <f t="shared" ca="1" si="51"/>
        <v>-143.75490766518516</v>
      </c>
      <c r="J142" s="9">
        <f t="shared" ca="1" si="52"/>
        <v>0</v>
      </c>
      <c r="K142" s="9">
        <f t="shared" ca="1" si="53"/>
        <v>222.69412298672415</v>
      </c>
      <c r="L142" s="9">
        <f t="shared" ca="1" si="54"/>
        <v>130.20514523201822</v>
      </c>
      <c r="M142">
        <f t="shared" ca="1" si="59"/>
        <v>55.823940329218111</v>
      </c>
      <c r="N142">
        <f t="shared" ca="1" si="60"/>
        <v>32.987767489711928</v>
      </c>
    </row>
    <row r="143" spans="1:19" x14ac:dyDescent="0.25">
      <c r="A143" s="4">
        <f t="shared" si="42"/>
        <v>0.42528935185185057</v>
      </c>
      <c r="B143" s="3">
        <f t="shared" si="55"/>
        <v>1553300745</v>
      </c>
      <c r="C143">
        <f t="shared" si="47"/>
        <v>3</v>
      </c>
      <c r="D143">
        <f t="shared" si="48"/>
        <v>138</v>
      </c>
      <c r="E143">
        <f t="shared" ca="1" si="57"/>
        <v>4252.2713019611119</v>
      </c>
      <c r="F143">
        <f t="shared" ca="1" si="58"/>
        <v>-3594.0425524296297</v>
      </c>
      <c r="G143">
        <f t="shared" ca="1" si="56"/>
        <v>10668</v>
      </c>
      <c r="H143" s="9">
        <f t="shared" ca="1" si="50"/>
        <v>170.07997805444447</v>
      </c>
      <c r="I143" s="9">
        <f t="shared" ca="1" si="51"/>
        <v>-143.75490766518504</v>
      </c>
      <c r="J143" s="9">
        <f t="shared" ca="1" si="52"/>
        <v>0</v>
      </c>
      <c r="K143" s="9">
        <f t="shared" ca="1" si="53"/>
        <v>222.6941229867241</v>
      </c>
      <c r="L143" s="9">
        <f t="shared" ca="1" si="54"/>
        <v>130.20514523201822</v>
      </c>
      <c r="M143">
        <f t="shared" ca="1" si="59"/>
        <v>55.817425411522635</v>
      </c>
      <c r="N143">
        <f t="shared" ca="1" si="60"/>
        <v>33.001376028806582</v>
      </c>
    </row>
    <row r="144" spans="1:19" x14ac:dyDescent="0.25">
      <c r="A144" s="4">
        <f t="shared" si="42"/>
        <v>0.42534722222222093</v>
      </c>
      <c r="B144" s="3">
        <f t="shared" si="55"/>
        <v>1553300750</v>
      </c>
      <c r="C144">
        <f t="shared" si="47"/>
        <v>3</v>
      </c>
      <c r="D144">
        <f t="shared" si="48"/>
        <v>138</v>
      </c>
      <c r="E144">
        <f t="shared" ca="1" si="57"/>
        <v>5102.6711922333343</v>
      </c>
      <c r="F144">
        <f t="shared" ca="1" si="58"/>
        <v>-4312.817090755555</v>
      </c>
      <c r="G144">
        <f t="shared" ca="1" si="56"/>
        <v>10668</v>
      </c>
      <c r="H144" s="9">
        <f t="shared" ca="1" si="50"/>
        <v>170.07997805444447</v>
      </c>
      <c r="I144" s="9">
        <f t="shared" ca="1" si="51"/>
        <v>-143.75490766518524</v>
      </c>
      <c r="J144" s="9">
        <f t="shared" ca="1" si="52"/>
        <v>0</v>
      </c>
      <c r="K144" s="9">
        <f t="shared" ca="1" si="53"/>
        <v>222.69412298672421</v>
      </c>
      <c r="L144" s="9">
        <f t="shared" ca="1" si="54"/>
        <v>130.20514523201825</v>
      </c>
      <c r="M144">
        <f t="shared" ca="1" si="59"/>
        <v>55.810910493827159</v>
      </c>
      <c r="N144">
        <f t="shared" ca="1" si="60"/>
        <v>33.01498456790123</v>
      </c>
    </row>
    <row r="145" spans="1:14" x14ac:dyDescent="0.25">
      <c r="A145" s="4">
        <f t="shared" si="42"/>
        <v>0.42540509259259129</v>
      </c>
      <c r="B145" s="3">
        <f t="shared" si="55"/>
        <v>1553300755</v>
      </c>
      <c r="C145">
        <f t="shared" si="47"/>
        <v>3</v>
      </c>
      <c r="D145">
        <f t="shared" si="48"/>
        <v>138</v>
      </c>
      <c r="E145">
        <f t="shared" ca="1" si="57"/>
        <v>5953.0710825055567</v>
      </c>
      <c r="F145">
        <f t="shared" ca="1" si="58"/>
        <v>-5031.5916290814812</v>
      </c>
      <c r="G145">
        <f t="shared" ca="1" si="56"/>
        <v>10668</v>
      </c>
      <c r="H145" s="9">
        <f t="shared" ca="1" si="50"/>
        <v>170.07997805444447</v>
      </c>
      <c r="I145" s="9">
        <f t="shared" ca="1" si="51"/>
        <v>-143.75490766518524</v>
      </c>
      <c r="J145" s="9">
        <f t="shared" ca="1" si="52"/>
        <v>0</v>
      </c>
      <c r="K145" s="9">
        <f t="shared" ca="1" si="53"/>
        <v>222.69412298672421</v>
      </c>
      <c r="L145" s="9">
        <f t="shared" ca="1" si="54"/>
        <v>130.20514523201825</v>
      </c>
      <c r="M145">
        <f t="shared" ca="1" si="59"/>
        <v>55.804395576131689</v>
      </c>
      <c r="N145">
        <f t="shared" ca="1" si="60"/>
        <v>33.028593106995885</v>
      </c>
    </row>
    <row r="146" spans="1:14" x14ac:dyDescent="0.25">
      <c r="A146" s="4">
        <f t="shared" si="42"/>
        <v>0.42546296296296165</v>
      </c>
      <c r="B146" s="3">
        <f t="shared" si="55"/>
        <v>1553300760</v>
      </c>
      <c r="C146">
        <f t="shared" si="47"/>
        <v>3</v>
      </c>
      <c r="D146">
        <f t="shared" si="48"/>
        <v>138</v>
      </c>
      <c r="E146">
        <f t="shared" ca="1" si="57"/>
        <v>6803.470972777779</v>
      </c>
      <c r="F146">
        <f t="shared" ca="1" si="58"/>
        <v>-5750.3661674074074</v>
      </c>
      <c r="G146">
        <f t="shared" ca="1" si="56"/>
        <v>10668</v>
      </c>
      <c r="H146" s="9">
        <f t="shared" ca="1" si="50"/>
        <v>170.07997805444447</v>
      </c>
      <c r="I146" s="9">
        <f t="shared" ca="1" si="51"/>
        <v>-143.75490766518504</v>
      </c>
      <c r="J146" s="9">
        <f t="shared" ca="1" si="52"/>
        <v>0</v>
      </c>
      <c r="K146" s="9">
        <f t="shared" ca="1" si="53"/>
        <v>222.6941229867241</v>
      </c>
      <c r="L146" s="9">
        <f t="shared" ca="1" si="54"/>
        <v>130.20514523201822</v>
      </c>
      <c r="M146">
        <f t="shared" ca="1" si="59"/>
        <v>55.797880658436213</v>
      </c>
      <c r="N146">
        <f t="shared" ca="1" si="60"/>
        <v>33.042201646090533</v>
      </c>
    </row>
    <row r="147" spans="1:14" x14ac:dyDescent="0.25">
      <c r="A147" s="4">
        <f t="shared" si="42"/>
        <v>0.42552083333333202</v>
      </c>
      <c r="B147" s="3">
        <f t="shared" si="55"/>
        <v>1553300765</v>
      </c>
      <c r="C147">
        <f t="shared" si="47"/>
        <v>3</v>
      </c>
      <c r="D147">
        <f t="shared" si="48"/>
        <v>138</v>
      </c>
      <c r="E147">
        <f t="shared" ca="1" si="57"/>
        <v>7653.8708630500014</v>
      </c>
      <c r="F147">
        <f t="shared" ca="1" si="58"/>
        <v>-6469.1407057333327</v>
      </c>
      <c r="G147">
        <f t="shared" ca="1" si="56"/>
        <v>10668</v>
      </c>
      <c r="H147" s="9">
        <f t="shared" ca="1" si="50"/>
        <v>170.07997805444447</v>
      </c>
      <c r="I147" s="9">
        <f t="shared" ca="1" si="51"/>
        <v>-143.75490766518524</v>
      </c>
      <c r="J147" s="9">
        <f t="shared" ca="1" si="52"/>
        <v>0</v>
      </c>
      <c r="K147" s="9">
        <f t="shared" ca="1" si="53"/>
        <v>222.69412298672421</v>
      </c>
      <c r="L147" s="9">
        <f t="shared" ca="1" si="54"/>
        <v>130.20514523201825</v>
      </c>
      <c r="M147">
        <f t="shared" ca="1" si="59"/>
        <v>55.791365740740744</v>
      </c>
      <c r="N147">
        <f t="shared" ca="1" si="60"/>
        <v>33.05581018518518</v>
      </c>
    </row>
    <row r="148" spans="1:14" x14ac:dyDescent="0.25">
      <c r="A148" s="4">
        <f t="shared" si="42"/>
        <v>0.42557870370370238</v>
      </c>
      <c r="B148" s="3">
        <f t="shared" si="55"/>
        <v>1553300770</v>
      </c>
      <c r="C148">
        <f t="shared" si="47"/>
        <v>3</v>
      </c>
      <c r="D148">
        <f t="shared" si="48"/>
        <v>138</v>
      </c>
      <c r="E148">
        <f t="shared" ca="1" si="57"/>
        <v>8504.2707533222238</v>
      </c>
      <c r="F148">
        <f t="shared" ca="1" si="58"/>
        <v>-7187.9152440592588</v>
      </c>
      <c r="G148">
        <f t="shared" ca="1" si="56"/>
        <v>10668</v>
      </c>
      <c r="H148" s="9">
        <f t="shared" ca="1" si="50"/>
        <v>170.0799780544443</v>
      </c>
      <c r="I148" s="9">
        <f t="shared" ca="1" si="51"/>
        <v>-143.75490766518524</v>
      </c>
      <c r="J148" s="9">
        <f t="shared" ca="1" si="52"/>
        <v>0</v>
      </c>
      <c r="K148" s="9">
        <f t="shared" ca="1" si="53"/>
        <v>222.69412298672407</v>
      </c>
      <c r="L148" s="9">
        <f t="shared" ca="1" si="54"/>
        <v>130.20514523201828</v>
      </c>
      <c r="M148">
        <f t="shared" ca="1" si="59"/>
        <v>55.784850823045268</v>
      </c>
      <c r="N148">
        <f t="shared" ca="1" si="60"/>
        <v>33.069418724279835</v>
      </c>
    </row>
    <row r="149" spans="1:14" x14ac:dyDescent="0.25">
      <c r="A149" s="4">
        <f t="shared" si="42"/>
        <v>0.42563657407407274</v>
      </c>
      <c r="B149" s="3">
        <f t="shared" si="55"/>
        <v>1553300775</v>
      </c>
      <c r="C149">
        <f t="shared" si="47"/>
        <v>3</v>
      </c>
      <c r="D149">
        <f t="shared" si="48"/>
        <v>138</v>
      </c>
      <c r="E149">
        <f t="shared" ca="1" si="57"/>
        <v>9354.6706435944452</v>
      </c>
      <c r="F149">
        <f t="shared" ca="1" si="58"/>
        <v>-7906.689782385185</v>
      </c>
      <c r="G149">
        <f t="shared" ca="1" si="56"/>
        <v>10668</v>
      </c>
      <c r="H149" s="9">
        <f t="shared" ca="1" si="50"/>
        <v>170.07997805444467</v>
      </c>
      <c r="I149" s="9">
        <f t="shared" ca="1" si="51"/>
        <v>-143.75490766518524</v>
      </c>
      <c r="J149" s="9">
        <f t="shared" ca="1" si="52"/>
        <v>0</v>
      </c>
      <c r="K149" s="9">
        <f t="shared" ca="1" si="53"/>
        <v>222.69412298672435</v>
      </c>
      <c r="L149" s="9">
        <f t="shared" ca="1" si="54"/>
        <v>130.20514523201822</v>
      </c>
      <c r="M149">
        <f t="shared" ca="1" si="59"/>
        <v>55.778335905349792</v>
      </c>
      <c r="N149">
        <f t="shared" ca="1" si="60"/>
        <v>33.083027263374483</v>
      </c>
    </row>
    <row r="150" spans="1:14" x14ac:dyDescent="0.25">
      <c r="A150" s="4">
        <f t="shared" si="42"/>
        <v>0.4256944444444431</v>
      </c>
      <c r="B150" s="3">
        <f t="shared" si="55"/>
        <v>1553300780</v>
      </c>
      <c r="C150">
        <f t="shared" si="47"/>
        <v>3</v>
      </c>
      <c r="D150">
        <f t="shared" si="48"/>
        <v>138</v>
      </c>
      <c r="E150">
        <f t="shared" ca="1" si="57"/>
        <v>10205.070533866668</v>
      </c>
      <c r="F150">
        <f t="shared" ca="1" si="58"/>
        <v>-8625.4643207111112</v>
      </c>
      <c r="G150">
        <f t="shared" ca="1" si="56"/>
        <v>10668</v>
      </c>
      <c r="H150" s="9">
        <f t="shared" ca="1" si="50"/>
        <v>170.0799780544443</v>
      </c>
      <c r="I150" s="9">
        <f t="shared" ca="1" si="51"/>
        <v>-143.75490766518524</v>
      </c>
      <c r="J150" s="9">
        <f t="shared" ca="1" si="52"/>
        <v>0</v>
      </c>
      <c r="K150" s="9">
        <f t="shared" ca="1" si="53"/>
        <v>222.69412298672407</v>
      </c>
      <c r="L150" s="9">
        <f t="shared" ca="1" si="54"/>
        <v>130.20514523201828</v>
      </c>
      <c r="M150">
        <f t="shared" ca="1" si="59"/>
        <v>55.771820987654323</v>
      </c>
      <c r="N150">
        <f t="shared" ca="1" si="60"/>
        <v>33.09663580246913</v>
      </c>
    </row>
    <row r="151" spans="1:14" x14ac:dyDescent="0.25">
      <c r="A151" s="4">
        <f t="shared" si="42"/>
        <v>0.42575231481481346</v>
      </c>
      <c r="B151" s="3">
        <f t="shared" si="55"/>
        <v>1553300785</v>
      </c>
      <c r="C151">
        <f t="shared" si="47"/>
        <v>3</v>
      </c>
      <c r="D151">
        <f t="shared" si="48"/>
        <v>138</v>
      </c>
      <c r="E151">
        <f t="shared" ca="1" si="57"/>
        <v>11055.47042413889</v>
      </c>
      <c r="F151">
        <f t="shared" ca="1" si="58"/>
        <v>-9344.2388590370374</v>
      </c>
      <c r="G151">
        <f t="shared" ca="1" si="56"/>
        <v>10668</v>
      </c>
      <c r="H151" s="9">
        <f t="shared" ca="1" si="50"/>
        <v>170.07997805444467</v>
      </c>
      <c r="I151" s="9">
        <f t="shared" ca="1" si="51"/>
        <v>-143.75490766518524</v>
      </c>
      <c r="J151" s="9">
        <f t="shared" ca="1" si="52"/>
        <v>0</v>
      </c>
      <c r="K151" s="9">
        <f t="shared" ca="1" si="53"/>
        <v>222.69412298672435</v>
      </c>
      <c r="L151" s="9">
        <f t="shared" ca="1" si="54"/>
        <v>130.20514523201822</v>
      </c>
      <c r="M151">
        <f t="shared" ca="1" si="59"/>
        <v>55.765306069958847</v>
      </c>
      <c r="N151">
        <f t="shared" ca="1" si="60"/>
        <v>33.110244341563785</v>
      </c>
    </row>
    <row r="152" spans="1:14" x14ac:dyDescent="0.25">
      <c r="A152" s="4">
        <f t="shared" si="42"/>
        <v>0.42581018518518382</v>
      </c>
      <c r="B152" s="3">
        <f t="shared" si="55"/>
        <v>1553300790</v>
      </c>
      <c r="C152">
        <f t="shared" si="47"/>
        <v>3</v>
      </c>
      <c r="D152">
        <f t="shared" si="48"/>
        <v>138</v>
      </c>
      <c r="E152">
        <f t="shared" ca="1" si="57"/>
        <v>11905.870314411113</v>
      </c>
      <c r="F152">
        <f t="shared" ca="1" si="58"/>
        <v>-10063.013397362964</v>
      </c>
      <c r="G152">
        <f t="shared" ca="1" si="56"/>
        <v>10668</v>
      </c>
      <c r="H152" s="9">
        <f t="shared" ca="1" si="50"/>
        <v>170.0799780544443</v>
      </c>
      <c r="I152" s="9">
        <f t="shared" ca="1" si="51"/>
        <v>-143.75490766518524</v>
      </c>
      <c r="J152" s="9">
        <f t="shared" ca="1" si="52"/>
        <v>0</v>
      </c>
      <c r="K152" s="9">
        <f t="shared" ca="1" si="53"/>
        <v>222.69412298672407</v>
      </c>
      <c r="L152" s="9">
        <f t="shared" ca="1" si="54"/>
        <v>130.20514523201828</v>
      </c>
      <c r="M152">
        <f t="shared" ca="1" si="59"/>
        <v>55.758791152263377</v>
      </c>
      <c r="N152">
        <f t="shared" ca="1" si="60"/>
        <v>33.123852880658433</v>
      </c>
    </row>
    <row r="153" spans="1:14" x14ac:dyDescent="0.25">
      <c r="A153" s="4">
        <f t="shared" si="42"/>
        <v>0.42586805555555418</v>
      </c>
      <c r="B153" s="3">
        <f t="shared" si="55"/>
        <v>1553300795</v>
      </c>
      <c r="C153">
        <f t="shared" si="47"/>
        <v>3</v>
      </c>
      <c r="D153">
        <f t="shared" si="48"/>
        <v>138</v>
      </c>
      <c r="E153">
        <f t="shared" ca="1" si="57"/>
        <v>12756.270204683335</v>
      </c>
      <c r="F153">
        <f t="shared" ca="1" si="58"/>
        <v>-10781.78793568889</v>
      </c>
      <c r="G153">
        <f t="shared" ca="1" si="56"/>
        <v>10668</v>
      </c>
      <c r="H153" s="9">
        <f t="shared" ca="1" si="50"/>
        <v>170.07997805444467</v>
      </c>
      <c r="I153" s="9">
        <f t="shared" ca="1" si="51"/>
        <v>-143.75490766518524</v>
      </c>
      <c r="J153" s="9">
        <f t="shared" ca="1" si="52"/>
        <v>0</v>
      </c>
      <c r="K153" s="9">
        <f t="shared" ca="1" si="53"/>
        <v>222.69412298672435</v>
      </c>
      <c r="L153" s="9">
        <f t="shared" ca="1" si="54"/>
        <v>130.20514523201822</v>
      </c>
      <c r="M153">
        <f t="shared" ca="1" si="59"/>
        <v>55.752276234567901</v>
      </c>
      <c r="N153">
        <f t="shared" ca="1" si="60"/>
        <v>33.13746141975308</v>
      </c>
    </row>
    <row r="154" spans="1:14" x14ac:dyDescent="0.25">
      <c r="A154" s="4">
        <f t="shared" si="42"/>
        <v>0.42592592592592454</v>
      </c>
      <c r="B154" s="3">
        <f t="shared" si="55"/>
        <v>1553300800</v>
      </c>
      <c r="C154">
        <f t="shared" si="47"/>
        <v>3</v>
      </c>
      <c r="D154">
        <f t="shared" si="48"/>
        <v>138</v>
      </c>
      <c r="E154">
        <f t="shared" ca="1" si="57"/>
        <v>13606.670094955558</v>
      </c>
      <c r="F154">
        <f t="shared" ca="1" si="58"/>
        <v>-11500.562474014816</v>
      </c>
      <c r="G154">
        <f t="shared" ca="1" si="56"/>
        <v>10668</v>
      </c>
      <c r="H154" s="9">
        <f t="shared" ca="1" si="50"/>
        <v>170.0799780544443</v>
      </c>
      <c r="I154" s="9">
        <f t="shared" ca="1" si="51"/>
        <v>-143.75490766518524</v>
      </c>
      <c r="J154" s="9">
        <f t="shared" ca="1" si="52"/>
        <v>0</v>
      </c>
      <c r="K154" s="9">
        <f t="shared" ca="1" si="53"/>
        <v>222.69412298672407</v>
      </c>
      <c r="L154" s="9">
        <f t="shared" ca="1" si="54"/>
        <v>130.20514523201828</v>
      </c>
      <c r="M154">
        <f t="shared" ca="1" si="59"/>
        <v>55.745761316872432</v>
      </c>
      <c r="N154">
        <f t="shared" ca="1" si="60"/>
        <v>33.151069958847735</v>
      </c>
    </row>
    <row r="155" spans="1:14" x14ac:dyDescent="0.25">
      <c r="A155" s="4">
        <f t="shared" si="42"/>
        <v>0.4259837962962949</v>
      </c>
      <c r="B155" s="3">
        <f t="shared" si="55"/>
        <v>1553300805</v>
      </c>
      <c r="C155">
        <f t="shared" si="47"/>
        <v>3</v>
      </c>
      <c r="D155">
        <f t="shared" si="48"/>
        <v>138</v>
      </c>
      <c r="E155">
        <f t="shared" ca="1" si="57"/>
        <v>14457.069985227779</v>
      </c>
      <c r="F155">
        <f t="shared" ca="1" si="58"/>
        <v>-12219.337012340742</v>
      </c>
      <c r="G155">
        <f t="shared" ca="1" si="56"/>
        <v>10668</v>
      </c>
      <c r="H155" s="9">
        <f t="shared" ca="1" si="50"/>
        <v>170.07997805444467</v>
      </c>
      <c r="I155" s="9">
        <f t="shared" ca="1" si="51"/>
        <v>-143.75490766518487</v>
      </c>
      <c r="J155" s="9">
        <f t="shared" ca="1" si="52"/>
        <v>0</v>
      </c>
      <c r="K155" s="9">
        <f t="shared" ca="1" si="53"/>
        <v>222.69412298672412</v>
      </c>
      <c r="L155" s="9">
        <f t="shared" ca="1" si="54"/>
        <v>130.20514523201817</v>
      </c>
      <c r="M155">
        <f t="shared" ca="1" si="59"/>
        <v>55.739246399176956</v>
      </c>
      <c r="N155">
        <f t="shared" ca="1" si="60"/>
        <v>33.164678497942383</v>
      </c>
    </row>
    <row r="156" spans="1:14" x14ac:dyDescent="0.25">
      <c r="A156" s="4">
        <f t="shared" si="42"/>
        <v>0.42604166666666526</v>
      </c>
      <c r="B156" s="3">
        <f t="shared" si="55"/>
        <v>1553300810</v>
      </c>
      <c r="C156">
        <f t="shared" si="47"/>
        <v>3</v>
      </c>
      <c r="D156">
        <f t="shared" si="48"/>
        <v>138</v>
      </c>
      <c r="E156">
        <f t="shared" ca="1" si="57"/>
        <v>15307.469875500003</v>
      </c>
      <c r="F156">
        <f t="shared" ca="1" si="58"/>
        <v>-12938.111550666667</v>
      </c>
      <c r="G156">
        <f t="shared" ca="1" si="56"/>
        <v>10668</v>
      </c>
      <c r="H156" s="9">
        <f t="shared" ca="1" si="50"/>
        <v>170.0799780544443</v>
      </c>
      <c r="I156" s="9">
        <f t="shared" ca="1" si="51"/>
        <v>-143.75490766518524</v>
      </c>
      <c r="J156" s="9">
        <f t="shared" ca="1" si="52"/>
        <v>0</v>
      </c>
      <c r="K156" s="9">
        <f t="shared" ca="1" si="53"/>
        <v>222.69412298672407</v>
      </c>
      <c r="L156" s="9">
        <f t="shared" ca="1" si="54"/>
        <v>130.20514523201828</v>
      </c>
      <c r="M156">
        <f t="shared" ca="1" si="59"/>
        <v>55.73273148148148</v>
      </c>
      <c r="N156">
        <f t="shared" ca="1" si="60"/>
        <v>33.178287037037038</v>
      </c>
    </row>
    <row r="157" spans="1:14" x14ac:dyDescent="0.25">
      <c r="A157" s="4">
        <f t="shared" si="42"/>
        <v>0.42609953703703562</v>
      </c>
      <c r="B157" s="3">
        <f t="shared" si="55"/>
        <v>1553300815</v>
      </c>
      <c r="C157">
        <f t="shared" si="47"/>
        <v>3</v>
      </c>
      <c r="D157">
        <f t="shared" si="48"/>
        <v>138</v>
      </c>
      <c r="E157">
        <f t="shared" ca="1" si="57"/>
        <v>16157.869765772224</v>
      </c>
      <c r="F157">
        <f t="shared" ca="1" si="58"/>
        <v>-13656.886088992593</v>
      </c>
      <c r="G157">
        <f t="shared" ca="1" si="56"/>
        <v>10668</v>
      </c>
      <c r="H157" s="9">
        <f t="shared" ca="1" si="50"/>
        <v>170.0799780544443</v>
      </c>
      <c r="I157" s="9">
        <f t="shared" ca="1" si="51"/>
        <v>-143.75490766518524</v>
      </c>
      <c r="J157" s="9">
        <f t="shared" ca="1" si="52"/>
        <v>0</v>
      </c>
      <c r="K157" s="9">
        <f t="shared" ca="1" si="53"/>
        <v>222.69412298672407</v>
      </c>
      <c r="L157" s="9">
        <f t="shared" ca="1" si="54"/>
        <v>130.20514523201828</v>
      </c>
      <c r="M157">
        <f t="shared" ca="1" si="59"/>
        <v>55.726216563786011</v>
      </c>
      <c r="N157">
        <f t="shared" ca="1" si="60"/>
        <v>33.191895576131685</v>
      </c>
    </row>
    <row r="158" spans="1:14" x14ac:dyDescent="0.25">
      <c r="A158" s="4">
        <f t="shared" si="42"/>
        <v>0.42615740740740599</v>
      </c>
      <c r="B158" s="3">
        <f t="shared" si="55"/>
        <v>1553300820</v>
      </c>
      <c r="C158">
        <f t="shared" si="47"/>
        <v>3</v>
      </c>
      <c r="D158">
        <f t="shared" si="48"/>
        <v>138</v>
      </c>
      <c r="E158">
        <f t="shared" ca="1" si="57"/>
        <v>17008.269656044446</v>
      </c>
      <c r="F158">
        <f t="shared" ca="1" si="58"/>
        <v>-14375.660627318519</v>
      </c>
      <c r="G158">
        <f t="shared" ca="1" si="56"/>
        <v>10668</v>
      </c>
      <c r="H158" s="9">
        <f t="shared" ca="1" si="50"/>
        <v>170.07997805444467</v>
      </c>
      <c r="I158" s="9">
        <f t="shared" ca="1" si="51"/>
        <v>-143.75490766518524</v>
      </c>
      <c r="J158" s="9">
        <f t="shared" ca="1" si="52"/>
        <v>0</v>
      </c>
      <c r="K158" s="9">
        <f t="shared" ca="1" si="53"/>
        <v>222.69412298672435</v>
      </c>
      <c r="L158" s="9">
        <f t="shared" ca="1" si="54"/>
        <v>130.20514523201822</v>
      </c>
      <c r="M158">
        <f t="shared" ca="1" si="59"/>
        <v>55.719701646090535</v>
      </c>
      <c r="N158">
        <f t="shared" ca="1" si="60"/>
        <v>33.205504115226333</v>
      </c>
    </row>
    <row r="159" spans="1:14" x14ac:dyDescent="0.25">
      <c r="A159" s="4">
        <f t="shared" si="42"/>
        <v>0.42621527777777635</v>
      </c>
      <c r="B159" s="3">
        <f t="shared" si="55"/>
        <v>1553300825</v>
      </c>
      <c r="C159">
        <f t="shared" si="47"/>
        <v>3</v>
      </c>
      <c r="D159">
        <f t="shared" si="48"/>
        <v>138</v>
      </c>
      <c r="E159">
        <f t="shared" ca="1" si="57"/>
        <v>17858.669546316669</v>
      </c>
      <c r="F159">
        <f t="shared" ca="1" si="58"/>
        <v>-15094.435165644445</v>
      </c>
      <c r="G159">
        <f t="shared" ca="1" si="56"/>
        <v>10668</v>
      </c>
      <c r="H159" s="9">
        <f t="shared" ca="1" si="50"/>
        <v>170.07997805444393</v>
      </c>
      <c r="I159" s="9">
        <f t="shared" ca="1" si="51"/>
        <v>-143.75490766518524</v>
      </c>
      <c r="J159" s="9">
        <f t="shared" ca="1" si="52"/>
        <v>0</v>
      </c>
      <c r="K159" s="9">
        <f t="shared" ca="1" si="53"/>
        <v>222.69412298672378</v>
      </c>
      <c r="L159" s="9">
        <f t="shared" ca="1" si="54"/>
        <v>130.20514523201837</v>
      </c>
      <c r="M159">
        <f t="shared" ca="1" si="59"/>
        <v>55.713186728395065</v>
      </c>
      <c r="N159">
        <f t="shared" ca="1" si="60"/>
        <v>33.219112654320988</v>
      </c>
    </row>
    <row r="160" spans="1:14" x14ac:dyDescent="0.25">
      <c r="A160" s="4">
        <f t="shared" si="42"/>
        <v>0.42627314814814671</v>
      </c>
      <c r="B160" s="3">
        <f t="shared" si="55"/>
        <v>1553300830</v>
      </c>
      <c r="C160">
        <f t="shared" si="47"/>
        <v>3</v>
      </c>
      <c r="D160">
        <f t="shared" si="48"/>
        <v>138</v>
      </c>
      <c r="E160">
        <f t="shared" ca="1" si="57"/>
        <v>18709.069436588888</v>
      </c>
      <c r="F160">
        <f t="shared" ca="1" si="58"/>
        <v>-15813.209703970371</v>
      </c>
      <c r="G160">
        <f t="shared" ca="1" si="56"/>
        <v>10668</v>
      </c>
      <c r="H160" s="9">
        <f t="shared" ca="1" si="50"/>
        <v>170.07997805444467</v>
      </c>
      <c r="I160" s="9">
        <f t="shared" ca="1" si="51"/>
        <v>-143.75490766518524</v>
      </c>
      <c r="J160" s="9">
        <f t="shared" ca="1" si="52"/>
        <v>0</v>
      </c>
      <c r="K160" s="9">
        <f t="shared" ca="1" si="53"/>
        <v>222.69412298672435</v>
      </c>
      <c r="L160" s="9">
        <f t="shared" ca="1" si="54"/>
        <v>130.20514523201822</v>
      </c>
      <c r="M160">
        <f t="shared" ca="1" si="59"/>
        <v>55.706671810699589</v>
      </c>
      <c r="N160">
        <f t="shared" ca="1" si="60"/>
        <v>33.232721193415635</v>
      </c>
    </row>
    <row r="161" spans="1:14" x14ac:dyDescent="0.25">
      <c r="A161" s="4">
        <f t="shared" si="42"/>
        <v>0.42633101851851707</v>
      </c>
      <c r="B161" s="3">
        <f t="shared" si="55"/>
        <v>1553300835</v>
      </c>
      <c r="C161">
        <f t="shared" si="47"/>
        <v>3</v>
      </c>
      <c r="D161">
        <f t="shared" si="48"/>
        <v>138</v>
      </c>
      <c r="E161">
        <f t="shared" ca="1" si="57"/>
        <v>19559.469326861112</v>
      </c>
      <c r="F161">
        <f t="shared" ca="1" si="58"/>
        <v>-16531.984242296297</v>
      </c>
      <c r="G161">
        <f t="shared" ca="1" si="56"/>
        <v>10668</v>
      </c>
      <c r="H161" s="9">
        <f t="shared" ca="1" si="50"/>
        <v>170.07997805444467</v>
      </c>
      <c r="I161" s="9">
        <f t="shared" ca="1" si="51"/>
        <v>-143.75490766518487</v>
      </c>
      <c r="J161" s="9">
        <f t="shared" ca="1" si="52"/>
        <v>0</v>
      </c>
      <c r="K161" s="9">
        <f t="shared" ca="1" si="53"/>
        <v>222.69412298672412</v>
      </c>
      <c r="L161" s="9">
        <f t="shared" ca="1" si="54"/>
        <v>130.20514523201817</v>
      </c>
      <c r="M161">
        <f t="shared" ca="1" si="59"/>
        <v>55.700156893004113</v>
      </c>
      <c r="N161">
        <f t="shared" ca="1" si="60"/>
        <v>33.246329732510283</v>
      </c>
    </row>
    <row r="162" spans="1:14" x14ac:dyDescent="0.25">
      <c r="A162" s="4">
        <f t="shared" si="42"/>
        <v>0.42638888888888743</v>
      </c>
      <c r="B162" s="3">
        <f t="shared" si="55"/>
        <v>1553300840</v>
      </c>
      <c r="C162">
        <f t="shared" si="47"/>
        <v>3</v>
      </c>
      <c r="D162">
        <f t="shared" si="48"/>
        <v>138</v>
      </c>
      <c r="E162">
        <f t="shared" ca="1" si="57"/>
        <v>20409.869217133335</v>
      </c>
      <c r="F162">
        <f t="shared" ca="1" si="58"/>
        <v>-17250.758780622222</v>
      </c>
      <c r="G162">
        <f t="shared" ca="1" si="56"/>
        <v>10668</v>
      </c>
      <c r="H162" s="9">
        <f t="shared" ca="1" si="50"/>
        <v>170.07997805444467</v>
      </c>
      <c r="I162" s="9">
        <f t="shared" ca="1" si="51"/>
        <v>-143.75490766518561</v>
      </c>
      <c r="J162" s="9">
        <f t="shared" ca="1" si="52"/>
        <v>0</v>
      </c>
      <c r="K162" s="9">
        <f t="shared" ca="1" si="53"/>
        <v>222.69412298672458</v>
      </c>
      <c r="L162" s="9">
        <f t="shared" ca="1" si="54"/>
        <v>130.20514523201831</v>
      </c>
      <c r="M162">
        <f t="shared" ca="1" si="59"/>
        <v>55.693641975308644</v>
      </c>
      <c r="N162">
        <f t="shared" ca="1" si="60"/>
        <v>33.259938271604938</v>
      </c>
    </row>
    <row r="163" spans="1:14" x14ac:dyDescent="0.25">
      <c r="A163" s="4">
        <f t="shared" si="42"/>
        <v>0.42644675925925779</v>
      </c>
      <c r="B163" s="3">
        <f t="shared" ref="B163:B226" si="61">B162+SECOND(A163-A162)</f>
        <v>1553300845</v>
      </c>
      <c r="C163">
        <f t="shared" si="47"/>
        <v>3</v>
      </c>
      <c r="D163">
        <f t="shared" si="48"/>
        <v>138</v>
      </c>
      <c r="E163">
        <f t="shared" ref="E163:E226" ca="1" si="62">INDIRECT("E$"&amp;C163)+INDIRECT("H$"&amp;C163)*($B163-INDIRECT("B$"&amp;D163))</f>
        <v>21260.269107405558</v>
      </c>
      <c r="F163">
        <f t="shared" ref="F163:F226" ca="1" si="63">INDIRECT("F$"&amp;C163)+INDIRECT("I$"&amp;C163)*($B163-INDIRECT("B$"&amp;D163))</f>
        <v>-17969.53331894815</v>
      </c>
      <c r="G163">
        <f t="shared" ref="G163:G226" ca="1" si="64">INDIRECT("G$"&amp;C163)+INDIRECT("J$"&amp;C163)*($B163-INDIRECT("B$"&amp;D163))</f>
        <v>10668</v>
      </c>
      <c r="H163" s="9">
        <f t="shared" ca="1" si="50"/>
        <v>170.07997805444393</v>
      </c>
      <c r="I163" s="9">
        <f t="shared" ca="1" si="51"/>
        <v>-143.75490766518487</v>
      </c>
      <c r="J163" s="9">
        <f t="shared" ca="1" si="52"/>
        <v>0</v>
      </c>
      <c r="K163" s="9">
        <f t="shared" ca="1" si="53"/>
        <v>222.69412298672356</v>
      </c>
      <c r="L163" s="9">
        <f t="shared" ca="1" si="54"/>
        <v>130.20514523201825</v>
      </c>
      <c r="M163">
        <f t="shared" ref="M163:M226" ca="1" si="65">INDIRECT("M$"&amp;C163)+INDIRECT("O$"&amp;C163)*($B163-INDIRECT("B$"&amp;D163))</f>
        <v>55.687127057613168</v>
      </c>
      <c r="N163">
        <f t="shared" ref="N163:N226" ca="1" si="66">INDIRECT("N$"&amp;C163)+INDIRECT("P$"&amp;C163)*($B163-INDIRECT("B$"&amp;D163))</f>
        <v>33.273546810699585</v>
      </c>
    </row>
    <row r="164" spans="1:14" x14ac:dyDescent="0.25">
      <c r="A164" s="4">
        <f t="shared" si="42"/>
        <v>0.42650462962962815</v>
      </c>
      <c r="B164" s="3">
        <f t="shared" si="61"/>
        <v>1553300850</v>
      </c>
      <c r="C164">
        <f t="shared" si="47"/>
        <v>3</v>
      </c>
      <c r="D164">
        <f t="shared" si="48"/>
        <v>138</v>
      </c>
      <c r="E164">
        <f t="shared" ca="1" si="62"/>
        <v>22110.668997677778</v>
      </c>
      <c r="F164">
        <f t="shared" ca="1" si="63"/>
        <v>-18688.307857274074</v>
      </c>
      <c r="G164">
        <f t="shared" ca="1" si="64"/>
        <v>10668</v>
      </c>
      <c r="H164" s="9">
        <f t="shared" ca="1" si="50"/>
        <v>170.07997805444467</v>
      </c>
      <c r="I164" s="9">
        <f t="shared" ca="1" si="51"/>
        <v>-143.75490766518561</v>
      </c>
      <c r="J164" s="9">
        <f t="shared" ca="1" si="52"/>
        <v>0</v>
      </c>
      <c r="K164" s="9">
        <f t="shared" ca="1" si="53"/>
        <v>222.69412298672458</v>
      </c>
      <c r="L164" s="9">
        <f t="shared" ca="1" si="54"/>
        <v>130.20514523201831</v>
      </c>
      <c r="M164">
        <f t="shared" ca="1" si="65"/>
        <v>55.680612139917699</v>
      </c>
      <c r="N164">
        <f t="shared" ca="1" si="66"/>
        <v>33.287155349794233</v>
      </c>
    </row>
    <row r="165" spans="1:14" x14ac:dyDescent="0.25">
      <c r="A165" s="4">
        <f t="shared" si="42"/>
        <v>0.42656249999999851</v>
      </c>
      <c r="B165" s="3">
        <f t="shared" si="61"/>
        <v>1553300855</v>
      </c>
      <c r="C165">
        <f t="shared" si="47"/>
        <v>3</v>
      </c>
      <c r="D165">
        <f t="shared" si="48"/>
        <v>138</v>
      </c>
      <c r="E165">
        <f t="shared" ca="1" si="62"/>
        <v>22961.068887950001</v>
      </c>
      <c r="F165">
        <f t="shared" ca="1" si="63"/>
        <v>-19407.082395600002</v>
      </c>
      <c r="G165">
        <f t="shared" ca="1" si="64"/>
        <v>10668</v>
      </c>
      <c r="H165" s="9">
        <f t="shared" ca="1" si="50"/>
        <v>170.07997805444467</v>
      </c>
      <c r="I165" s="9">
        <f t="shared" ca="1" si="51"/>
        <v>-143.75490766518487</v>
      </c>
      <c r="J165" s="9">
        <f t="shared" ca="1" si="52"/>
        <v>0</v>
      </c>
      <c r="K165" s="9">
        <f t="shared" ca="1" si="53"/>
        <v>222.69412298672412</v>
      </c>
      <c r="L165" s="9">
        <f t="shared" ca="1" si="54"/>
        <v>130.20514523201817</v>
      </c>
      <c r="M165">
        <f t="shared" ca="1" si="65"/>
        <v>55.674097222222223</v>
      </c>
      <c r="N165">
        <f t="shared" ca="1" si="66"/>
        <v>33.300763888888888</v>
      </c>
    </row>
    <row r="166" spans="1:14" x14ac:dyDescent="0.25">
      <c r="A166" s="4">
        <f t="shared" si="42"/>
        <v>0.42662037037036887</v>
      </c>
      <c r="B166" s="3">
        <f t="shared" si="61"/>
        <v>1553300860</v>
      </c>
      <c r="C166">
        <f t="shared" si="47"/>
        <v>3</v>
      </c>
      <c r="D166">
        <f t="shared" si="48"/>
        <v>138</v>
      </c>
      <c r="E166">
        <f t="shared" ca="1" si="62"/>
        <v>23811.468778222225</v>
      </c>
      <c r="F166">
        <f t="shared" ca="1" si="63"/>
        <v>-20125.856933925927</v>
      </c>
      <c r="G166">
        <f t="shared" ca="1" si="64"/>
        <v>10668</v>
      </c>
      <c r="H166" s="9">
        <f t="shared" ca="1" si="50"/>
        <v>170.07997805444467</v>
      </c>
      <c r="I166" s="9">
        <f t="shared" ca="1" si="51"/>
        <v>-143.75490766518487</v>
      </c>
      <c r="J166" s="9">
        <f t="shared" ca="1" si="52"/>
        <v>0</v>
      </c>
      <c r="K166" s="9">
        <f t="shared" ca="1" si="53"/>
        <v>222.69412298672412</v>
      </c>
      <c r="L166" s="9">
        <f t="shared" ca="1" si="54"/>
        <v>130.20514523201817</v>
      </c>
      <c r="M166">
        <f t="shared" ca="1" si="65"/>
        <v>55.667582304526746</v>
      </c>
      <c r="N166">
        <f t="shared" ca="1" si="66"/>
        <v>33.314372427983535</v>
      </c>
    </row>
    <row r="167" spans="1:14" x14ac:dyDescent="0.25">
      <c r="A167" s="4">
        <f t="shared" si="42"/>
        <v>0.42667824074073923</v>
      </c>
      <c r="B167" s="3">
        <f t="shared" si="61"/>
        <v>1553300865</v>
      </c>
      <c r="C167">
        <f t="shared" si="47"/>
        <v>3</v>
      </c>
      <c r="D167">
        <f t="shared" si="48"/>
        <v>138</v>
      </c>
      <c r="E167">
        <f t="shared" ca="1" si="62"/>
        <v>24661.868668494448</v>
      </c>
      <c r="F167">
        <f t="shared" ca="1" si="63"/>
        <v>-20844.631472251851</v>
      </c>
      <c r="G167">
        <f t="shared" ca="1" si="64"/>
        <v>10668</v>
      </c>
      <c r="H167" s="9">
        <f t="shared" ca="1" si="50"/>
        <v>170.07997805444393</v>
      </c>
      <c r="I167" s="9">
        <f t="shared" ca="1" si="51"/>
        <v>-143.75490766518561</v>
      </c>
      <c r="J167" s="9">
        <f t="shared" ca="1" si="52"/>
        <v>0</v>
      </c>
      <c r="K167" s="9">
        <f t="shared" ca="1" si="53"/>
        <v>222.69412298672404</v>
      </c>
      <c r="L167" s="9">
        <f t="shared" ca="1" si="54"/>
        <v>130.20514523201842</v>
      </c>
      <c r="M167">
        <f t="shared" ca="1" si="65"/>
        <v>55.661067386831277</v>
      </c>
      <c r="N167">
        <f t="shared" ca="1" si="66"/>
        <v>33.327980967078183</v>
      </c>
    </row>
    <row r="168" spans="1:14" x14ac:dyDescent="0.25">
      <c r="A168" s="4">
        <f t="shared" si="42"/>
        <v>0.4267361111111096</v>
      </c>
      <c r="B168" s="3">
        <f t="shared" si="61"/>
        <v>1553300870</v>
      </c>
      <c r="C168">
        <f t="shared" si="47"/>
        <v>3</v>
      </c>
      <c r="D168">
        <f t="shared" si="48"/>
        <v>138</v>
      </c>
      <c r="E168">
        <f t="shared" ca="1" si="62"/>
        <v>25512.268558766667</v>
      </c>
      <c r="F168">
        <f t="shared" ca="1" si="63"/>
        <v>-21563.406010577779</v>
      </c>
      <c r="G168">
        <f t="shared" ca="1" si="64"/>
        <v>10668</v>
      </c>
      <c r="H168" s="9">
        <f t="shared" ca="1" si="50"/>
        <v>170.07997805444467</v>
      </c>
      <c r="I168" s="9">
        <f t="shared" ca="1" si="51"/>
        <v>-143.75490766518487</v>
      </c>
      <c r="J168" s="9">
        <f t="shared" ca="1" si="52"/>
        <v>0</v>
      </c>
      <c r="K168" s="9">
        <f t="shared" ca="1" si="53"/>
        <v>222.69412298672412</v>
      </c>
      <c r="L168" s="9">
        <f t="shared" ca="1" si="54"/>
        <v>130.20514523201817</v>
      </c>
      <c r="M168">
        <f t="shared" ca="1" si="65"/>
        <v>55.654552469135801</v>
      </c>
      <c r="N168">
        <f t="shared" ca="1" si="66"/>
        <v>33.341589506172838</v>
      </c>
    </row>
    <row r="169" spans="1:14" x14ac:dyDescent="0.25">
      <c r="A169" s="4">
        <f t="shared" si="42"/>
        <v>0.42679398148147996</v>
      </c>
      <c r="B169" s="3">
        <f t="shared" si="61"/>
        <v>1553300875</v>
      </c>
      <c r="C169">
        <f t="shared" si="47"/>
        <v>3</v>
      </c>
      <c r="D169">
        <f t="shared" si="48"/>
        <v>138</v>
      </c>
      <c r="E169">
        <f t="shared" ca="1" si="62"/>
        <v>26362.668449038891</v>
      </c>
      <c r="F169">
        <f t="shared" ca="1" si="63"/>
        <v>-22282.180548903703</v>
      </c>
      <c r="G169">
        <f t="shared" ca="1" si="64"/>
        <v>10668</v>
      </c>
      <c r="H169" s="9">
        <f t="shared" ref="H169:H232" ca="1" si="67">(E170-E169)/($B170-$B169)</f>
        <v>170.07997805444467</v>
      </c>
      <c r="I169" s="9">
        <f t="shared" ref="I169:I232" ca="1" si="68">(F170-F169)/($B170-$B169)</f>
        <v>-143.75490766518561</v>
      </c>
      <c r="J169" s="9">
        <f t="shared" ref="J169:J232" ca="1" si="69">(G170-G169)/($B170-$B169)</f>
        <v>0</v>
      </c>
      <c r="K169" s="9">
        <f t="shared" ref="K169:K232" ca="1" si="70">SQRT(H169*H169+I169*I169)</f>
        <v>222.69412298672458</v>
      </c>
      <c r="L169" s="9">
        <f t="shared" ref="L169:L232" ca="1" si="71">DEGREES(ATAN2(I169,H169))</f>
        <v>130.20514523201831</v>
      </c>
      <c r="M169">
        <f t="shared" ca="1" si="65"/>
        <v>55.648037551440332</v>
      </c>
      <c r="N169">
        <f t="shared" ca="1" si="66"/>
        <v>33.355198045267485</v>
      </c>
    </row>
    <row r="170" spans="1:14" x14ac:dyDescent="0.25">
      <c r="A170" s="4">
        <f t="shared" si="42"/>
        <v>0.42685185185185032</v>
      </c>
      <c r="B170" s="3">
        <f t="shared" si="61"/>
        <v>1553300880</v>
      </c>
      <c r="C170">
        <f t="shared" si="47"/>
        <v>3</v>
      </c>
      <c r="D170">
        <f t="shared" si="48"/>
        <v>138</v>
      </c>
      <c r="E170">
        <f t="shared" ca="1" si="62"/>
        <v>27213.068339311114</v>
      </c>
      <c r="F170">
        <f t="shared" ca="1" si="63"/>
        <v>-23000.955087229631</v>
      </c>
      <c r="G170">
        <f t="shared" ca="1" si="64"/>
        <v>10668</v>
      </c>
      <c r="H170" s="9">
        <f t="shared" ca="1" si="67"/>
        <v>170.07997805444393</v>
      </c>
      <c r="I170" s="9">
        <f t="shared" ca="1" si="68"/>
        <v>-143.75490766518487</v>
      </c>
      <c r="J170" s="9">
        <f t="shared" ca="1" si="69"/>
        <v>0</v>
      </c>
      <c r="K170" s="9">
        <f t="shared" ca="1" si="70"/>
        <v>222.69412298672356</v>
      </c>
      <c r="L170" s="9">
        <f t="shared" ca="1" si="71"/>
        <v>130.20514523201825</v>
      </c>
      <c r="M170">
        <f t="shared" ca="1" si="65"/>
        <v>55.641522633744856</v>
      </c>
      <c r="N170">
        <f t="shared" ca="1" si="66"/>
        <v>33.36880658436214</v>
      </c>
    </row>
    <row r="171" spans="1:14" x14ac:dyDescent="0.25">
      <c r="A171" s="4">
        <f t="shared" si="42"/>
        <v>0.42690972222222068</v>
      </c>
      <c r="B171" s="3">
        <f t="shared" si="61"/>
        <v>1553300885</v>
      </c>
      <c r="C171">
        <f t="shared" si="47"/>
        <v>3</v>
      </c>
      <c r="D171">
        <f t="shared" si="48"/>
        <v>138</v>
      </c>
      <c r="E171">
        <f t="shared" ca="1" si="62"/>
        <v>28063.468229583334</v>
      </c>
      <c r="F171">
        <f t="shared" ca="1" si="63"/>
        <v>-23719.729625555556</v>
      </c>
      <c r="G171">
        <f t="shared" ca="1" si="64"/>
        <v>10668</v>
      </c>
      <c r="H171" s="9">
        <f t="shared" ca="1" si="67"/>
        <v>170.07997805444467</v>
      </c>
      <c r="I171" s="9">
        <f t="shared" ca="1" si="68"/>
        <v>-143.75490766518561</v>
      </c>
      <c r="J171" s="9">
        <f t="shared" ca="1" si="69"/>
        <v>0</v>
      </c>
      <c r="K171" s="9">
        <f t="shared" ca="1" si="70"/>
        <v>222.69412298672458</v>
      </c>
      <c r="L171" s="9">
        <f t="shared" ca="1" si="71"/>
        <v>130.20514523201831</v>
      </c>
      <c r="M171">
        <f t="shared" ca="1" si="65"/>
        <v>55.63500771604938</v>
      </c>
      <c r="N171">
        <f t="shared" ca="1" si="66"/>
        <v>33.382415123456788</v>
      </c>
    </row>
    <row r="172" spans="1:14" x14ac:dyDescent="0.25">
      <c r="A172" s="4">
        <f t="shared" si="42"/>
        <v>0.42696759259259104</v>
      </c>
      <c r="B172" s="3">
        <f t="shared" si="61"/>
        <v>1553300890</v>
      </c>
      <c r="C172">
        <f t="shared" si="47"/>
        <v>3</v>
      </c>
      <c r="D172">
        <f t="shared" si="48"/>
        <v>138</v>
      </c>
      <c r="E172">
        <f t="shared" ca="1" si="62"/>
        <v>28913.868119855557</v>
      </c>
      <c r="F172">
        <f t="shared" ca="1" si="63"/>
        <v>-24438.504163881484</v>
      </c>
      <c r="G172">
        <f t="shared" ca="1" si="64"/>
        <v>10668</v>
      </c>
      <c r="H172" s="9">
        <f t="shared" ca="1" si="67"/>
        <v>170.07997805444467</v>
      </c>
      <c r="I172" s="9">
        <f t="shared" ca="1" si="68"/>
        <v>-143.75490766518487</v>
      </c>
      <c r="J172" s="9">
        <f t="shared" ca="1" si="69"/>
        <v>0</v>
      </c>
      <c r="K172" s="9">
        <f t="shared" ca="1" si="70"/>
        <v>222.69412298672412</v>
      </c>
      <c r="L172" s="9">
        <f t="shared" ca="1" si="71"/>
        <v>130.20514523201817</v>
      </c>
      <c r="M172">
        <f t="shared" ca="1" si="65"/>
        <v>55.628492798353911</v>
      </c>
      <c r="N172">
        <f t="shared" ca="1" si="66"/>
        <v>33.396023662551436</v>
      </c>
    </row>
    <row r="173" spans="1:14" x14ac:dyDescent="0.25">
      <c r="A173" s="4">
        <f t="shared" si="42"/>
        <v>0.4270254629629614</v>
      </c>
      <c r="B173" s="3">
        <f t="shared" si="61"/>
        <v>1553300895</v>
      </c>
      <c r="C173">
        <f t="shared" si="47"/>
        <v>3</v>
      </c>
      <c r="D173">
        <f t="shared" si="48"/>
        <v>138</v>
      </c>
      <c r="E173">
        <f t="shared" ca="1" si="62"/>
        <v>29764.26801012778</v>
      </c>
      <c r="F173">
        <f t="shared" ca="1" si="63"/>
        <v>-25157.278702207408</v>
      </c>
      <c r="G173">
        <f t="shared" ca="1" si="64"/>
        <v>10668</v>
      </c>
      <c r="H173" s="9">
        <f t="shared" ca="1" si="67"/>
        <v>170.07997805444467</v>
      </c>
      <c r="I173" s="9">
        <f t="shared" ca="1" si="68"/>
        <v>-143.75490766518487</v>
      </c>
      <c r="J173" s="9">
        <f t="shared" ca="1" si="69"/>
        <v>0</v>
      </c>
      <c r="K173" s="9">
        <f t="shared" ca="1" si="70"/>
        <v>222.69412298672412</v>
      </c>
      <c r="L173" s="9">
        <f t="shared" ca="1" si="71"/>
        <v>130.20514523201817</v>
      </c>
      <c r="M173">
        <f t="shared" ca="1" si="65"/>
        <v>55.621977880658434</v>
      </c>
      <c r="N173">
        <f t="shared" ca="1" si="66"/>
        <v>33.40963220164609</v>
      </c>
    </row>
    <row r="174" spans="1:14" x14ac:dyDescent="0.25">
      <c r="A174" s="4">
        <f t="shared" si="42"/>
        <v>0.42708333333333176</v>
      </c>
      <c r="B174" s="3">
        <f t="shared" si="61"/>
        <v>1553300900</v>
      </c>
      <c r="C174">
        <f t="shared" si="47"/>
        <v>3</v>
      </c>
      <c r="D174">
        <f t="shared" si="48"/>
        <v>138</v>
      </c>
      <c r="E174">
        <f t="shared" ca="1" si="62"/>
        <v>30614.667900400003</v>
      </c>
      <c r="F174">
        <f t="shared" ca="1" si="63"/>
        <v>-25876.053240533332</v>
      </c>
      <c r="G174">
        <f t="shared" ca="1" si="64"/>
        <v>10668</v>
      </c>
      <c r="H174" s="9">
        <f t="shared" ca="1" si="67"/>
        <v>170.07997805444393</v>
      </c>
      <c r="I174" s="9">
        <f t="shared" ca="1" si="68"/>
        <v>-143.75490766518561</v>
      </c>
      <c r="J174" s="9">
        <f t="shared" ca="1" si="69"/>
        <v>0</v>
      </c>
      <c r="K174" s="9">
        <f t="shared" ca="1" si="70"/>
        <v>222.69412298672404</v>
      </c>
      <c r="L174" s="9">
        <f t="shared" ca="1" si="71"/>
        <v>130.20514523201842</v>
      </c>
      <c r="M174">
        <f t="shared" ca="1" si="65"/>
        <v>55.615462962962965</v>
      </c>
      <c r="N174">
        <f t="shared" ca="1" si="66"/>
        <v>33.423240740740738</v>
      </c>
    </row>
    <row r="175" spans="1:14" x14ac:dyDescent="0.25">
      <c r="A175" s="4">
        <f t="shared" si="42"/>
        <v>0.42714120370370212</v>
      </c>
      <c r="B175" s="3">
        <f t="shared" si="61"/>
        <v>1553300905</v>
      </c>
      <c r="C175">
        <f t="shared" si="47"/>
        <v>3</v>
      </c>
      <c r="D175">
        <f t="shared" si="48"/>
        <v>138</v>
      </c>
      <c r="E175">
        <f t="shared" ca="1" si="62"/>
        <v>31465.067790672223</v>
      </c>
      <c r="F175">
        <f t="shared" ca="1" si="63"/>
        <v>-26594.82777885926</v>
      </c>
      <c r="G175">
        <f t="shared" ca="1" si="64"/>
        <v>10668</v>
      </c>
      <c r="H175" s="9">
        <f t="shared" ca="1" si="67"/>
        <v>170.07997805444467</v>
      </c>
      <c r="I175" s="9">
        <f t="shared" ca="1" si="68"/>
        <v>-143.75490766518487</v>
      </c>
      <c r="J175" s="9">
        <f t="shared" ca="1" si="69"/>
        <v>0</v>
      </c>
      <c r="K175" s="9">
        <f t="shared" ca="1" si="70"/>
        <v>222.69412298672412</v>
      </c>
      <c r="L175" s="9">
        <f t="shared" ca="1" si="71"/>
        <v>130.20514523201817</v>
      </c>
      <c r="M175">
        <f t="shared" ca="1" si="65"/>
        <v>55.608948045267489</v>
      </c>
      <c r="N175">
        <f t="shared" ca="1" si="66"/>
        <v>33.436849279835386</v>
      </c>
    </row>
    <row r="176" spans="1:14" x14ac:dyDescent="0.25">
      <c r="A176" s="4">
        <f t="shared" si="42"/>
        <v>0.42719907407407248</v>
      </c>
      <c r="B176" s="3">
        <f t="shared" si="61"/>
        <v>1553300910</v>
      </c>
      <c r="C176">
        <f t="shared" si="47"/>
        <v>3</v>
      </c>
      <c r="D176">
        <f t="shared" si="48"/>
        <v>138</v>
      </c>
      <c r="E176">
        <f t="shared" ca="1" si="62"/>
        <v>32315.467680944446</v>
      </c>
      <c r="F176">
        <f t="shared" ca="1" si="63"/>
        <v>-27313.602317185185</v>
      </c>
      <c r="G176">
        <f t="shared" ca="1" si="64"/>
        <v>10668</v>
      </c>
      <c r="H176" s="9">
        <f t="shared" ca="1" si="67"/>
        <v>170.07997805444538</v>
      </c>
      <c r="I176" s="9">
        <f t="shared" ca="1" si="68"/>
        <v>-143.75490766518561</v>
      </c>
      <c r="J176" s="9">
        <f t="shared" ca="1" si="69"/>
        <v>0</v>
      </c>
      <c r="K176" s="9">
        <f t="shared" ca="1" si="70"/>
        <v>222.69412298672515</v>
      </c>
      <c r="L176" s="9">
        <f t="shared" ca="1" si="71"/>
        <v>130.2051452320182</v>
      </c>
      <c r="M176">
        <f t="shared" ca="1" si="65"/>
        <v>55.602433127572013</v>
      </c>
      <c r="N176">
        <f t="shared" ca="1" si="66"/>
        <v>33.45045781893004</v>
      </c>
    </row>
    <row r="177" spans="1:14" x14ac:dyDescent="0.25">
      <c r="A177" s="4">
        <f t="shared" si="42"/>
        <v>0.42725694444444284</v>
      </c>
      <c r="B177" s="3">
        <f t="shared" si="61"/>
        <v>1553300915</v>
      </c>
      <c r="C177">
        <f t="shared" si="47"/>
        <v>3</v>
      </c>
      <c r="D177">
        <f t="shared" si="48"/>
        <v>138</v>
      </c>
      <c r="E177">
        <f t="shared" ca="1" si="62"/>
        <v>33165.867571216673</v>
      </c>
      <c r="F177">
        <f t="shared" ca="1" si="63"/>
        <v>-28032.376855511113</v>
      </c>
      <c r="G177">
        <f t="shared" ca="1" si="64"/>
        <v>10668</v>
      </c>
      <c r="H177" s="9">
        <f t="shared" ca="1" si="67"/>
        <v>170.07997805444467</v>
      </c>
      <c r="I177" s="9">
        <f t="shared" ca="1" si="68"/>
        <v>-143.75490766518487</v>
      </c>
      <c r="J177" s="9">
        <f t="shared" ca="1" si="69"/>
        <v>0</v>
      </c>
      <c r="K177" s="9">
        <f t="shared" ca="1" si="70"/>
        <v>222.69412298672412</v>
      </c>
      <c r="L177" s="9">
        <f t="shared" ca="1" si="71"/>
        <v>130.20514523201817</v>
      </c>
      <c r="M177">
        <f t="shared" ca="1" si="65"/>
        <v>55.595918209876544</v>
      </c>
      <c r="N177">
        <f t="shared" ca="1" si="66"/>
        <v>33.464066358024688</v>
      </c>
    </row>
    <row r="178" spans="1:14" x14ac:dyDescent="0.25">
      <c r="A178" s="4">
        <f t="shared" si="42"/>
        <v>0.4273148148148132</v>
      </c>
      <c r="B178" s="3">
        <f t="shared" si="61"/>
        <v>1553300920</v>
      </c>
      <c r="C178">
        <f t="shared" si="47"/>
        <v>3</v>
      </c>
      <c r="D178">
        <f t="shared" si="48"/>
        <v>138</v>
      </c>
      <c r="E178">
        <f t="shared" ca="1" si="62"/>
        <v>34016.267461488897</v>
      </c>
      <c r="F178">
        <f t="shared" ca="1" si="63"/>
        <v>-28751.151393837037</v>
      </c>
      <c r="G178">
        <f t="shared" ca="1" si="64"/>
        <v>10668</v>
      </c>
      <c r="H178" s="9">
        <f t="shared" ca="1" si="67"/>
        <v>170.07997805444467</v>
      </c>
      <c r="I178" s="9">
        <f t="shared" ca="1" si="68"/>
        <v>-143.75490766518561</v>
      </c>
      <c r="J178" s="9">
        <f t="shared" ca="1" si="69"/>
        <v>0</v>
      </c>
      <c r="K178" s="9">
        <f t="shared" ca="1" si="70"/>
        <v>222.69412298672458</v>
      </c>
      <c r="L178" s="9">
        <f t="shared" ca="1" si="71"/>
        <v>130.20514523201831</v>
      </c>
      <c r="M178">
        <f t="shared" ca="1" si="65"/>
        <v>55.589403292181068</v>
      </c>
      <c r="N178">
        <f t="shared" ca="1" si="66"/>
        <v>33.477674897119336</v>
      </c>
    </row>
    <row r="179" spans="1:14" x14ac:dyDescent="0.25">
      <c r="A179" s="4">
        <f t="shared" si="42"/>
        <v>0.42737268518518357</v>
      </c>
      <c r="B179" s="3">
        <f t="shared" si="61"/>
        <v>1553300925</v>
      </c>
      <c r="C179">
        <f t="shared" si="47"/>
        <v>3</v>
      </c>
      <c r="D179">
        <f t="shared" si="48"/>
        <v>138</v>
      </c>
      <c r="E179">
        <f t="shared" ca="1" si="62"/>
        <v>34866.66735176112</v>
      </c>
      <c r="F179">
        <f t="shared" ca="1" si="63"/>
        <v>-29469.925932162965</v>
      </c>
      <c r="G179">
        <f t="shared" ca="1" si="64"/>
        <v>10668</v>
      </c>
      <c r="H179" s="9">
        <f t="shared" ca="1" si="67"/>
        <v>170.07997805444467</v>
      </c>
      <c r="I179" s="9">
        <f t="shared" ca="1" si="68"/>
        <v>-143.75490766518487</v>
      </c>
      <c r="J179" s="9">
        <f t="shared" ca="1" si="69"/>
        <v>0</v>
      </c>
      <c r="K179" s="9">
        <f t="shared" ca="1" si="70"/>
        <v>222.69412298672412</v>
      </c>
      <c r="L179" s="9">
        <f t="shared" ca="1" si="71"/>
        <v>130.20514523201817</v>
      </c>
      <c r="M179">
        <f t="shared" ca="1" si="65"/>
        <v>55.582888374485599</v>
      </c>
      <c r="N179">
        <f t="shared" ca="1" si="66"/>
        <v>33.49128343621399</v>
      </c>
    </row>
    <row r="180" spans="1:14" x14ac:dyDescent="0.25">
      <c r="A180" s="4">
        <f t="shared" si="42"/>
        <v>0.42743055555555393</v>
      </c>
      <c r="B180" s="3">
        <f t="shared" si="61"/>
        <v>1553300930</v>
      </c>
      <c r="C180">
        <f t="shared" si="47"/>
        <v>3</v>
      </c>
      <c r="D180">
        <f t="shared" si="48"/>
        <v>138</v>
      </c>
      <c r="E180">
        <f t="shared" ca="1" si="62"/>
        <v>35717.067242033343</v>
      </c>
      <c r="F180">
        <f t="shared" ca="1" si="63"/>
        <v>-30188.70047048889</v>
      </c>
      <c r="G180">
        <f t="shared" ca="1" si="64"/>
        <v>10668</v>
      </c>
      <c r="H180" s="9">
        <f t="shared" ca="1" si="67"/>
        <v>170.07997805444319</v>
      </c>
      <c r="I180" s="9">
        <f t="shared" ca="1" si="68"/>
        <v>-143.75490766518487</v>
      </c>
      <c r="J180" s="9">
        <f t="shared" ca="1" si="69"/>
        <v>0</v>
      </c>
      <c r="K180" s="9">
        <f t="shared" ca="1" si="70"/>
        <v>222.69412298672299</v>
      </c>
      <c r="L180" s="9">
        <f t="shared" ca="1" si="71"/>
        <v>130.20514523201842</v>
      </c>
      <c r="M180">
        <f t="shared" ca="1" si="65"/>
        <v>55.576373456790122</v>
      </c>
      <c r="N180">
        <f t="shared" ca="1" si="66"/>
        <v>33.504891975308638</v>
      </c>
    </row>
    <row r="181" spans="1:14" x14ac:dyDescent="0.25">
      <c r="A181" s="4">
        <f t="shared" si="42"/>
        <v>0.42748842592592429</v>
      </c>
      <c r="B181" s="3">
        <f t="shared" si="61"/>
        <v>1553300935</v>
      </c>
      <c r="C181">
        <f t="shared" si="47"/>
        <v>3</v>
      </c>
      <c r="D181">
        <f t="shared" si="48"/>
        <v>138</v>
      </c>
      <c r="E181">
        <f t="shared" ca="1" si="62"/>
        <v>36567.467132305559</v>
      </c>
      <c r="F181">
        <f t="shared" ca="1" si="63"/>
        <v>-30907.475008814814</v>
      </c>
      <c r="G181">
        <f t="shared" ca="1" si="64"/>
        <v>10668</v>
      </c>
      <c r="H181" s="9">
        <f t="shared" ca="1" si="67"/>
        <v>170.07997805444467</v>
      </c>
      <c r="I181" s="9">
        <f t="shared" ca="1" si="68"/>
        <v>-143.75490766518561</v>
      </c>
      <c r="J181" s="9">
        <f t="shared" ca="1" si="69"/>
        <v>0</v>
      </c>
      <c r="K181" s="9">
        <f t="shared" ca="1" si="70"/>
        <v>222.69412298672458</v>
      </c>
      <c r="L181" s="9">
        <f t="shared" ca="1" si="71"/>
        <v>130.20514523201831</v>
      </c>
      <c r="M181">
        <f t="shared" ca="1" si="65"/>
        <v>55.569858539094653</v>
      </c>
      <c r="N181">
        <f t="shared" ca="1" si="66"/>
        <v>33.518500514403293</v>
      </c>
    </row>
    <row r="182" spans="1:14" x14ac:dyDescent="0.25">
      <c r="A182" s="4">
        <f t="shared" si="42"/>
        <v>0.42754629629629465</v>
      </c>
      <c r="B182" s="3">
        <f t="shared" si="61"/>
        <v>1553300940</v>
      </c>
      <c r="C182">
        <f t="shared" si="47"/>
        <v>3</v>
      </c>
      <c r="D182">
        <f t="shared" si="48"/>
        <v>138</v>
      </c>
      <c r="E182">
        <f t="shared" ca="1" si="62"/>
        <v>37417.867022577782</v>
      </c>
      <c r="F182">
        <f t="shared" ca="1" si="63"/>
        <v>-31626.249547140742</v>
      </c>
      <c r="G182">
        <f t="shared" ca="1" si="64"/>
        <v>10668</v>
      </c>
      <c r="H182" s="9">
        <f t="shared" ca="1" si="67"/>
        <v>170.07997805444467</v>
      </c>
      <c r="I182" s="9">
        <f t="shared" ca="1" si="68"/>
        <v>-143.75490766518487</v>
      </c>
      <c r="J182" s="9">
        <f t="shared" ca="1" si="69"/>
        <v>0</v>
      </c>
      <c r="K182" s="9">
        <f t="shared" ca="1" si="70"/>
        <v>222.69412298672412</v>
      </c>
      <c r="L182" s="9">
        <f t="shared" ca="1" si="71"/>
        <v>130.20514523201817</v>
      </c>
      <c r="M182">
        <f t="shared" ca="1" si="65"/>
        <v>55.563343621399177</v>
      </c>
      <c r="N182">
        <f t="shared" ca="1" si="66"/>
        <v>33.53210905349794</v>
      </c>
    </row>
    <row r="183" spans="1:14" x14ac:dyDescent="0.25">
      <c r="A183" s="4">
        <f t="shared" si="42"/>
        <v>0.42760416666666501</v>
      </c>
      <c r="B183" s="3">
        <f t="shared" si="61"/>
        <v>1553300945</v>
      </c>
      <c r="C183">
        <f t="shared" si="47"/>
        <v>3</v>
      </c>
      <c r="D183">
        <f t="shared" si="48"/>
        <v>138</v>
      </c>
      <c r="E183">
        <f t="shared" ca="1" si="62"/>
        <v>38268.266912850006</v>
      </c>
      <c r="F183">
        <f t="shared" ca="1" si="63"/>
        <v>-32345.024085466666</v>
      </c>
      <c r="G183">
        <f t="shared" ca="1" si="64"/>
        <v>10668</v>
      </c>
      <c r="H183" s="9">
        <f t="shared" ca="1" si="67"/>
        <v>170.07997805444467</v>
      </c>
      <c r="I183" s="9">
        <f t="shared" ca="1" si="68"/>
        <v>-143.75490766518561</v>
      </c>
      <c r="J183" s="9">
        <f t="shared" ca="1" si="69"/>
        <v>0</v>
      </c>
      <c r="K183" s="9">
        <f t="shared" ca="1" si="70"/>
        <v>222.69412298672458</v>
      </c>
      <c r="L183" s="9">
        <f t="shared" ca="1" si="71"/>
        <v>130.20514523201831</v>
      </c>
      <c r="M183">
        <f t="shared" ca="1" si="65"/>
        <v>55.556828703703701</v>
      </c>
      <c r="N183">
        <f t="shared" ca="1" si="66"/>
        <v>33.545717592592588</v>
      </c>
    </row>
    <row r="184" spans="1:14" x14ac:dyDescent="0.25">
      <c r="A184" s="4">
        <f t="shared" si="42"/>
        <v>0.42766203703703537</v>
      </c>
      <c r="B184" s="3">
        <f t="shared" si="61"/>
        <v>1553300950</v>
      </c>
      <c r="C184">
        <f t="shared" si="47"/>
        <v>3</v>
      </c>
      <c r="D184">
        <f t="shared" si="48"/>
        <v>138</v>
      </c>
      <c r="E184">
        <f t="shared" ca="1" si="62"/>
        <v>39118.666803122229</v>
      </c>
      <c r="F184">
        <f t="shared" ca="1" si="63"/>
        <v>-33063.798623792594</v>
      </c>
      <c r="G184">
        <f t="shared" ca="1" si="64"/>
        <v>10668</v>
      </c>
      <c r="H184" s="9">
        <f t="shared" ca="1" si="67"/>
        <v>170.07997805444467</v>
      </c>
      <c r="I184" s="9">
        <f t="shared" ca="1" si="68"/>
        <v>-143.75490766518487</v>
      </c>
      <c r="J184" s="9">
        <f t="shared" ca="1" si="69"/>
        <v>0</v>
      </c>
      <c r="K184" s="9">
        <f t="shared" ca="1" si="70"/>
        <v>222.69412298672412</v>
      </c>
      <c r="L184" s="9">
        <f t="shared" ca="1" si="71"/>
        <v>130.20514523201817</v>
      </c>
      <c r="M184">
        <f t="shared" ca="1" si="65"/>
        <v>55.550313786008232</v>
      </c>
      <c r="N184">
        <f t="shared" ca="1" si="66"/>
        <v>33.559326131687243</v>
      </c>
    </row>
    <row r="185" spans="1:14" x14ac:dyDescent="0.25">
      <c r="A185" s="4">
        <f t="shared" si="42"/>
        <v>0.42771990740740573</v>
      </c>
      <c r="B185" s="3">
        <f t="shared" si="61"/>
        <v>1553300955</v>
      </c>
      <c r="C185">
        <f t="shared" si="47"/>
        <v>3</v>
      </c>
      <c r="D185">
        <f t="shared" si="48"/>
        <v>138</v>
      </c>
      <c r="E185">
        <f t="shared" ca="1" si="62"/>
        <v>39969.066693394452</v>
      </c>
      <c r="F185">
        <f t="shared" ca="1" si="63"/>
        <v>-33782.573162118519</v>
      </c>
      <c r="G185">
        <f t="shared" ca="1" si="64"/>
        <v>10668</v>
      </c>
      <c r="H185" s="9">
        <f t="shared" ca="1" si="67"/>
        <v>170.07997805444467</v>
      </c>
      <c r="I185" s="9">
        <f t="shared" ca="1" si="68"/>
        <v>-143.75490766518487</v>
      </c>
      <c r="J185" s="9">
        <f t="shared" ca="1" si="69"/>
        <v>0</v>
      </c>
      <c r="K185" s="9">
        <f t="shared" ca="1" si="70"/>
        <v>222.69412298672412</v>
      </c>
      <c r="L185" s="9">
        <f t="shared" ca="1" si="71"/>
        <v>130.20514523201817</v>
      </c>
      <c r="M185">
        <f t="shared" ca="1" si="65"/>
        <v>55.543798868312756</v>
      </c>
      <c r="N185">
        <f t="shared" ca="1" si="66"/>
        <v>33.572934670781891</v>
      </c>
    </row>
    <row r="186" spans="1:14" x14ac:dyDescent="0.25">
      <c r="A186" s="4">
        <f t="shared" ref="A186:A249" si="72">A185+5/24/3600</f>
        <v>0.42777777777777609</v>
      </c>
      <c r="B186" s="3">
        <f t="shared" si="61"/>
        <v>1553300960</v>
      </c>
      <c r="C186">
        <f t="shared" si="47"/>
        <v>3</v>
      </c>
      <c r="D186">
        <f t="shared" si="48"/>
        <v>138</v>
      </c>
      <c r="E186">
        <f t="shared" ca="1" si="62"/>
        <v>40819.466583666675</v>
      </c>
      <c r="F186">
        <f t="shared" ca="1" si="63"/>
        <v>-34501.347700444443</v>
      </c>
      <c r="G186">
        <f t="shared" ca="1" si="64"/>
        <v>10668</v>
      </c>
      <c r="H186" s="9">
        <f t="shared" ca="1" si="67"/>
        <v>170.07997805444467</v>
      </c>
      <c r="I186" s="9">
        <f t="shared" ca="1" si="68"/>
        <v>-143.75490766518632</v>
      </c>
      <c r="J186" s="9">
        <f t="shared" ca="1" si="69"/>
        <v>0</v>
      </c>
      <c r="K186" s="9">
        <f t="shared" ca="1" si="70"/>
        <v>222.69412298672503</v>
      </c>
      <c r="L186" s="9">
        <f t="shared" ca="1" si="71"/>
        <v>130.20514523201845</v>
      </c>
      <c r="M186">
        <f t="shared" ca="1" si="65"/>
        <v>55.537283950617287</v>
      </c>
      <c r="N186">
        <f t="shared" ca="1" si="66"/>
        <v>33.586543209876538</v>
      </c>
    </row>
    <row r="187" spans="1:14" x14ac:dyDescent="0.25">
      <c r="A187" s="4">
        <f t="shared" si="72"/>
        <v>0.42783564814814645</v>
      </c>
      <c r="B187" s="3">
        <f t="shared" si="61"/>
        <v>1553300965</v>
      </c>
      <c r="C187">
        <f t="shared" si="47"/>
        <v>3</v>
      </c>
      <c r="D187">
        <f t="shared" si="48"/>
        <v>138</v>
      </c>
      <c r="E187">
        <f t="shared" ca="1" si="62"/>
        <v>41669.866473938899</v>
      </c>
      <c r="F187">
        <f t="shared" ca="1" si="63"/>
        <v>-35220.122238770375</v>
      </c>
      <c r="G187">
        <f t="shared" ca="1" si="64"/>
        <v>10668</v>
      </c>
      <c r="H187" s="9">
        <f t="shared" ca="1" si="67"/>
        <v>170.07997805444467</v>
      </c>
      <c r="I187" s="9">
        <f t="shared" ca="1" si="68"/>
        <v>-143.75490766518487</v>
      </c>
      <c r="J187" s="9">
        <f t="shared" ca="1" si="69"/>
        <v>0</v>
      </c>
      <c r="K187" s="9">
        <f t="shared" ca="1" si="70"/>
        <v>222.69412298672412</v>
      </c>
      <c r="L187" s="9">
        <f t="shared" ca="1" si="71"/>
        <v>130.20514523201817</v>
      </c>
      <c r="M187">
        <f t="shared" ca="1" si="65"/>
        <v>55.53076903292181</v>
      </c>
      <c r="N187">
        <f t="shared" ca="1" si="66"/>
        <v>33.600151748971193</v>
      </c>
    </row>
    <row r="188" spans="1:14" x14ac:dyDescent="0.25">
      <c r="A188" s="4">
        <f t="shared" si="72"/>
        <v>0.42789351851851681</v>
      </c>
      <c r="B188" s="3">
        <f t="shared" si="61"/>
        <v>1553300970</v>
      </c>
      <c r="C188">
        <f t="shared" si="47"/>
        <v>3</v>
      </c>
      <c r="D188">
        <f t="shared" si="48"/>
        <v>138</v>
      </c>
      <c r="E188">
        <f t="shared" ca="1" si="62"/>
        <v>42520.266364211122</v>
      </c>
      <c r="F188">
        <f t="shared" ca="1" si="63"/>
        <v>-35938.896777096299</v>
      </c>
      <c r="G188">
        <f t="shared" ca="1" si="64"/>
        <v>10668</v>
      </c>
      <c r="H188" s="9">
        <f t="shared" ca="1" si="67"/>
        <v>170.07997805444319</v>
      </c>
      <c r="I188" s="9">
        <f t="shared" ca="1" si="68"/>
        <v>-143.75490766518487</v>
      </c>
      <c r="J188" s="9">
        <f t="shared" ca="1" si="69"/>
        <v>0</v>
      </c>
      <c r="K188" s="9">
        <f t="shared" ca="1" si="70"/>
        <v>222.69412298672299</v>
      </c>
      <c r="L188" s="9">
        <f t="shared" ca="1" si="71"/>
        <v>130.20514523201842</v>
      </c>
      <c r="M188">
        <f t="shared" ca="1" si="65"/>
        <v>55.524254115226334</v>
      </c>
      <c r="N188">
        <f t="shared" ca="1" si="66"/>
        <v>33.613760288065841</v>
      </c>
    </row>
    <row r="189" spans="1:14" x14ac:dyDescent="0.25">
      <c r="A189" s="4">
        <f t="shared" si="72"/>
        <v>0.42795138888888717</v>
      </c>
      <c r="B189" s="3">
        <f t="shared" si="61"/>
        <v>1553300975</v>
      </c>
      <c r="C189">
        <f t="shared" si="47"/>
        <v>3</v>
      </c>
      <c r="D189">
        <f t="shared" si="48"/>
        <v>138</v>
      </c>
      <c r="E189">
        <f t="shared" ca="1" si="62"/>
        <v>43370.666254483338</v>
      </c>
      <c r="F189">
        <f t="shared" ca="1" si="63"/>
        <v>-36657.671315422223</v>
      </c>
      <c r="G189">
        <f t="shared" ca="1" si="64"/>
        <v>10668</v>
      </c>
      <c r="H189" s="9">
        <f t="shared" ca="1" si="67"/>
        <v>170.07997805444467</v>
      </c>
      <c r="I189" s="9">
        <f t="shared" ca="1" si="68"/>
        <v>-143.75490766518487</v>
      </c>
      <c r="J189" s="9">
        <f t="shared" ca="1" si="69"/>
        <v>0</v>
      </c>
      <c r="K189" s="9">
        <f t="shared" ca="1" si="70"/>
        <v>222.69412298672412</v>
      </c>
      <c r="L189" s="9">
        <f t="shared" ca="1" si="71"/>
        <v>130.20514523201817</v>
      </c>
      <c r="M189">
        <f t="shared" ca="1" si="65"/>
        <v>55.517739197530865</v>
      </c>
      <c r="N189">
        <f t="shared" ca="1" si="66"/>
        <v>33.627368827160488</v>
      </c>
    </row>
    <row r="190" spans="1:14" x14ac:dyDescent="0.25">
      <c r="A190" s="4">
        <f t="shared" si="72"/>
        <v>0.42800925925925754</v>
      </c>
      <c r="B190" s="3">
        <f t="shared" si="61"/>
        <v>1553300980</v>
      </c>
      <c r="C190">
        <f t="shared" si="47"/>
        <v>3</v>
      </c>
      <c r="D190">
        <f t="shared" si="48"/>
        <v>138</v>
      </c>
      <c r="E190">
        <f t="shared" ca="1" si="62"/>
        <v>44221.066144755561</v>
      </c>
      <c r="F190">
        <f t="shared" ca="1" si="63"/>
        <v>-37376.445853748148</v>
      </c>
      <c r="G190">
        <f t="shared" ca="1" si="64"/>
        <v>10668</v>
      </c>
      <c r="H190" s="9">
        <f t="shared" ca="1" si="67"/>
        <v>170.07997805444467</v>
      </c>
      <c r="I190" s="9">
        <f t="shared" ca="1" si="68"/>
        <v>-143.75490766518487</v>
      </c>
      <c r="J190" s="9">
        <f t="shared" ca="1" si="69"/>
        <v>0</v>
      </c>
      <c r="K190" s="9">
        <f t="shared" ca="1" si="70"/>
        <v>222.69412298672412</v>
      </c>
      <c r="L190" s="9">
        <f t="shared" ca="1" si="71"/>
        <v>130.20514523201817</v>
      </c>
      <c r="M190">
        <f t="shared" ca="1" si="65"/>
        <v>55.511224279835389</v>
      </c>
      <c r="N190">
        <f t="shared" ca="1" si="66"/>
        <v>33.640977366255143</v>
      </c>
    </row>
    <row r="191" spans="1:14" x14ac:dyDescent="0.25">
      <c r="A191" s="4">
        <f t="shared" si="72"/>
        <v>0.4280671296296279</v>
      </c>
      <c r="B191" s="3">
        <f t="shared" si="61"/>
        <v>1553300985</v>
      </c>
      <c r="C191">
        <f t="shared" si="47"/>
        <v>3</v>
      </c>
      <c r="D191">
        <f t="shared" si="48"/>
        <v>138</v>
      </c>
      <c r="E191">
        <f t="shared" ca="1" si="62"/>
        <v>45071.466035027785</v>
      </c>
      <c r="F191">
        <f t="shared" ca="1" si="63"/>
        <v>-38095.220392074072</v>
      </c>
      <c r="G191">
        <f t="shared" ca="1" si="64"/>
        <v>10668</v>
      </c>
      <c r="H191" s="9">
        <f t="shared" ca="1" si="67"/>
        <v>170.07997805444467</v>
      </c>
      <c r="I191" s="9">
        <f t="shared" ca="1" si="68"/>
        <v>-143.75490766518632</v>
      </c>
      <c r="J191" s="9">
        <f t="shared" ca="1" si="69"/>
        <v>0</v>
      </c>
      <c r="K191" s="9">
        <f t="shared" ca="1" si="70"/>
        <v>222.69412298672503</v>
      </c>
      <c r="L191" s="9">
        <f t="shared" ca="1" si="71"/>
        <v>130.20514523201845</v>
      </c>
      <c r="M191">
        <f t="shared" ca="1" si="65"/>
        <v>55.50470936213992</v>
      </c>
      <c r="N191">
        <f t="shared" ca="1" si="66"/>
        <v>33.654585905349791</v>
      </c>
    </row>
    <row r="192" spans="1:14" x14ac:dyDescent="0.25">
      <c r="A192" s="4">
        <f t="shared" si="72"/>
        <v>0.42812499999999826</v>
      </c>
      <c r="B192" s="3">
        <f t="shared" si="61"/>
        <v>1553300990</v>
      </c>
      <c r="C192">
        <f t="shared" si="47"/>
        <v>3</v>
      </c>
      <c r="D192">
        <f t="shared" si="48"/>
        <v>138</v>
      </c>
      <c r="E192">
        <f t="shared" ca="1" si="62"/>
        <v>45921.865925300008</v>
      </c>
      <c r="F192">
        <f t="shared" ca="1" si="63"/>
        <v>-38813.994930400004</v>
      </c>
      <c r="G192">
        <f t="shared" ca="1" si="64"/>
        <v>10668</v>
      </c>
      <c r="H192" s="9">
        <f t="shared" ca="1" si="67"/>
        <v>170.07997805444467</v>
      </c>
      <c r="I192" s="9">
        <f t="shared" ca="1" si="68"/>
        <v>-143.75490766518487</v>
      </c>
      <c r="J192" s="9">
        <f t="shared" ca="1" si="69"/>
        <v>0</v>
      </c>
      <c r="K192" s="9">
        <f t="shared" ca="1" si="70"/>
        <v>222.69412298672412</v>
      </c>
      <c r="L192" s="9">
        <f t="shared" ca="1" si="71"/>
        <v>130.20514523201817</v>
      </c>
      <c r="M192">
        <f t="shared" ca="1" si="65"/>
        <v>55.498194444444444</v>
      </c>
      <c r="N192">
        <f t="shared" ca="1" si="66"/>
        <v>33.668194444444438</v>
      </c>
    </row>
    <row r="193" spans="1:14" x14ac:dyDescent="0.25">
      <c r="A193" s="4">
        <f t="shared" si="72"/>
        <v>0.42818287037036862</v>
      </c>
      <c r="B193" s="3">
        <f t="shared" si="61"/>
        <v>1553300995</v>
      </c>
      <c r="C193">
        <f t="shared" si="47"/>
        <v>3</v>
      </c>
      <c r="D193">
        <f t="shared" si="48"/>
        <v>138</v>
      </c>
      <c r="E193">
        <f t="shared" ca="1" si="62"/>
        <v>46772.265815572231</v>
      </c>
      <c r="F193">
        <f t="shared" ca="1" si="63"/>
        <v>-39532.769468725928</v>
      </c>
      <c r="G193">
        <f t="shared" ca="1" si="64"/>
        <v>10668</v>
      </c>
      <c r="H193" s="9">
        <f t="shared" ca="1" si="67"/>
        <v>170.07997805444467</v>
      </c>
      <c r="I193" s="9">
        <f t="shared" ca="1" si="68"/>
        <v>-143.75490766518487</v>
      </c>
      <c r="J193" s="9">
        <f t="shared" ca="1" si="69"/>
        <v>0</v>
      </c>
      <c r="K193" s="9">
        <f t="shared" ca="1" si="70"/>
        <v>222.69412298672412</v>
      </c>
      <c r="L193" s="9">
        <f t="shared" ca="1" si="71"/>
        <v>130.20514523201817</v>
      </c>
      <c r="M193">
        <f t="shared" ca="1" si="65"/>
        <v>55.491679526748968</v>
      </c>
      <c r="N193">
        <f t="shared" ca="1" si="66"/>
        <v>33.681802983539093</v>
      </c>
    </row>
    <row r="194" spans="1:14" x14ac:dyDescent="0.25">
      <c r="A194" s="4">
        <f t="shared" si="72"/>
        <v>0.42824074074073898</v>
      </c>
      <c r="B194" s="3">
        <f t="shared" si="61"/>
        <v>1553301000</v>
      </c>
      <c r="C194">
        <f t="shared" si="47"/>
        <v>3</v>
      </c>
      <c r="D194">
        <f t="shared" si="48"/>
        <v>138</v>
      </c>
      <c r="E194">
        <f t="shared" ca="1" si="62"/>
        <v>47622.665705844454</v>
      </c>
      <c r="F194">
        <f t="shared" ca="1" si="63"/>
        <v>-40251.544007051853</v>
      </c>
      <c r="G194">
        <f t="shared" ca="1" si="64"/>
        <v>10668</v>
      </c>
      <c r="H194" s="9">
        <f t="shared" ca="1" si="67"/>
        <v>170.07997805444467</v>
      </c>
      <c r="I194" s="9">
        <f t="shared" ca="1" si="68"/>
        <v>-143.75490766518487</v>
      </c>
      <c r="J194" s="9">
        <f t="shared" ca="1" si="69"/>
        <v>0</v>
      </c>
      <c r="K194" s="9">
        <f t="shared" ca="1" si="70"/>
        <v>222.69412298672412</v>
      </c>
      <c r="L194" s="9">
        <f t="shared" ca="1" si="71"/>
        <v>130.20514523201817</v>
      </c>
      <c r="M194">
        <f t="shared" ca="1" si="65"/>
        <v>55.485164609053498</v>
      </c>
      <c r="N194">
        <f t="shared" ca="1" si="66"/>
        <v>33.695411522633741</v>
      </c>
    </row>
    <row r="195" spans="1:14" x14ac:dyDescent="0.25">
      <c r="A195" s="4">
        <f t="shared" si="72"/>
        <v>0.42829861111110934</v>
      </c>
      <c r="B195" s="3">
        <f t="shared" si="61"/>
        <v>1553301005</v>
      </c>
      <c r="C195">
        <f t="shared" si="47"/>
        <v>3</v>
      </c>
      <c r="D195">
        <f t="shared" si="48"/>
        <v>138</v>
      </c>
      <c r="E195">
        <f t="shared" ca="1" si="62"/>
        <v>48473.065596116678</v>
      </c>
      <c r="F195">
        <f t="shared" ca="1" si="63"/>
        <v>-40970.318545377777</v>
      </c>
      <c r="G195">
        <f t="shared" ca="1" si="64"/>
        <v>10668</v>
      </c>
      <c r="H195" s="9">
        <f t="shared" ca="1" si="67"/>
        <v>170.07997805444467</v>
      </c>
      <c r="I195" s="9">
        <f t="shared" ca="1" si="68"/>
        <v>-143.75490766518487</v>
      </c>
      <c r="J195" s="9">
        <f t="shared" ca="1" si="69"/>
        <v>0</v>
      </c>
      <c r="K195" s="9">
        <f t="shared" ca="1" si="70"/>
        <v>222.69412298672412</v>
      </c>
      <c r="L195" s="9">
        <f t="shared" ca="1" si="71"/>
        <v>130.20514523201817</v>
      </c>
      <c r="M195">
        <f t="shared" ca="1" si="65"/>
        <v>55.478649691358022</v>
      </c>
      <c r="N195">
        <f t="shared" ca="1" si="66"/>
        <v>33.709020061728395</v>
      </c>
    </row>
    <row r="196" spans="1:14" x14ac:dyDescent="0.25">
      <c r="A196" s="4">
        <f t="shared" si="72"/>
        <v>0.4283564814814797</v>
      </c>
      <c r="B196" s="3">
        <f t="shared" si="61"/>
        <v>1553301010</v>
      </c>
      <c r="C196">
        <f t="shared" si="47"/>
        <v>3</v>
      </c>
      <c r="D196">
        <f t="shared" si="48"/>
        <v>138</v>
      </c>
      <c r="E196">
        <f t="shared" ca="1" si="62"/>
        <v>49323.465486388901</v>
      </c>
      <c r="F196">
        <f t="shared" ca="1" si="63"/>
        <v>-41689.093083703701</v>
      </c>
      <c r="G196">
        <f t="shared" ca="1" si="64"/>
        <v>10668</v>
      </c>
      <c r="H196" s="9">
        <f t="shared" ca="1" si="67"/>
        <v>170.07997805444319</v>
      </c>
      <c r="I196" s="9">
        <f t="shared" ca="1" si="68"/>
        <v>-143.75490766518632</v>
      </c>
      <c r="J196" s="9">
        <f t="shared" ca="1" si="69"/>
        <v>0</v>
      </c>
      <c r="K196" s="9">
        <f t="shared" ca="1" si="70"/>
        <v>222.69412298672393</v>
      </c>
      <c r="L196" s="9">
        <f t="shared" ca="1" si="71"/>
        <v>130.20514523201871</v>
      </c>
      <c r="M196">
        <f t="shared" ca="1" si="65"/>
        <v>55.472134773662553</v>
      </c>
      <c r="N196">
        <f t="shared" ca="1" si="66"/>
        <v>33.722628600823043</v>
      </c>
    </row>
    <row r="197" spans="1:14" x14ac:dyDescent="0.25">
      <c r="A197" s="4">
        <f t="shared" si="72"/>
        <v>0.42841435185185006</v>
      </c>
      <c r="B197" s="3">
        <f t="shared" si="61"/>
        <v>1553301015</v>
      </c>
      <c r="C197">
        <f t="shared" si="47"/>
        <v>3</v>
      </c>
      <c r="D197">
        <f t="shared" si="48"/>
        <v>138</v>
      </c>
      <c r="E197">
        <f t="shared" ca="1" si="62"/>
        <v>50173.865376661117</v>
      </c>
      <c r="F197">
        <f t="shared" ca="1" si="63"/>
        <v>-42407.867622029633</v>
      </c>
      <c r="G197">
        <f t="shared" ca="1" si="64"/>
        <v>10668</v>
      </c>
      <c r="H197" s="9">
        <f t="shared" ca="1" si="67"/>
        <v>170.07997805444467</v>
      </c>
      <c r="I197" s="9">
        <f t="shared" ca="1" si="68"/>
        <v>-143.75490766518487</v>
      </c>
      <c r="J197" s="9">
        <f t="shared" ca="1" si="69"/>
        <v>0</v>
      </c>
      <c r="K197" s="9">
        <f t="shared" ca="1" si="70"/>
        <v>222.69412298672412</v>
      </c>
      <c r="L197" s="9">
        <f t="shared" ca="1" si="71"/>
        <v>130.20514523201817</v>
      </c>
      <c r="M197">
        <f t="shared" ca="1" si="65"/>
        <v>55.465619855967077</v>
      </c>
      <c r="N197">
        <f t="shared" ca="1" si="66"/>
        <v>33.736237139917691</v>
      </c>
    </row>
    <row r="198" spans="1:14" x14ac:dyDescent="0.25">
      <c r="A198" s="4">
        <f t="shared" si="72"/>
        <v>0.42847222222222042</v>
      </c>
      <c r="B198" s="3">
        <f t="shared" si="61"/>
        <v>1553301020</v>
      </c>
      <c r="C198">
        <f t="shared" si="47"/>
        <v>3</v>
      </c>
      <c r="D198">
        <f t="shared" si="48"/>
        <v>138</v>
      </c>
      <c r="E198">
        <f t="shared" ca="1" si="62"/>
        <v>51024.26526693334</v>
      </c>
      <c r="F198">
        <f t="shared" ca="1" si="63"/>
        <v>-43126.642160355557</v>
      </c>
      <c r="G198">
        <f t="shared" ca="1" si="64"/>
        <v>10668</v>
      </c>
      <c r="H198" s="9">
        <f t="shared" ca="1" si="67"/>
        <v>170.07997805444467</v>
      </c>
      <c r="I198" s="9">
        <f t="shared" ca="1" si="68"/>
        <v>-143.75490766518487</v>
      </c>
      <c r="J198" s="9">
        <f t="shared" ca="1" si="69"/>
        <v>0</v>
      </c>
      <c r="K198" s="9">
        <f t="shared" ca="1" si="70"/>
        <v>222.69412298672412</v>
      </c>
      <c r="L198" s="9">
        <f t="shared" ca="1" si="71"/>
        <v>130.20514523201817</v>
      </c>
      <c r="M198">
        <f t="shared" ca="1" si="65"/>
        <v>55.459104938271601</v>
      </c>
      <c r="N198">
        <f t="shared" ca="1" si="66"/>
        <v>33.749845679012346</v>
      </c>
    </row>
    <row r="199" spans="1:14" x14ac:dyDescent="0.25">
      <c r="A199" s="4">
        <f t="shared" si="72"/>
        <v>0.42853009259259078</v>
      </c>
      <c r="B199" s="3">
        <f t="shared" si="61"/>
        <v>1553301025</v>
      </c>
      <c r="C199">
        <f t="shared" si="47"/>
        <v>3</v>
      </c>
      <c r="D199">
        <f t="shared" si="48"/>
        <v>138</v>
      </c>
      <c r="E199">
        <f t="shared" ca="1" si="62"/>
        <v>51874.665157205563</v>
      </c>
      <c r="F199">
        <f t="shared" ca="1" si="63"/>
        <v>-43845.416698681482</v>
      </c>
      <c r="G199">
        <f t="shared" ca="1" si="64"/>
        <v>10668</v>
      </c>
      <c r="H199" s="9">
        <f t="shared" ca="1" si="67"/>
        <v>170.07997805444467</v>
      </c>
      <c r="I199" s="9">
        <f t="shared" ca="1" si="68"/>
        <v>-143.75490766518487</v>
      </c>
      <c r="J199" s="9">
        <f t="shared" ca="1" si="69"/>
        <v>0</v>
      </c>
      <c r="K199" s="9">
        <f t="shared" ca="1" si="70"/>
        <v>222.69412298672412</v>
      </c>
      <c r="L199" s="9">
        <f t="shared" ca="1" si="71"/>
        <v>130.20514523201817</v>
      </c>
      <c r="M199">
        <f t="shared" ca="1" si="65"/>
        <v>55.452590020576132</v>
      </c>
      <c r="N199">
        <f t="shared" ca="1" si="66"/>
        <v>33.763454218106993</v>
      </c>
    </row>
    <row r="200" spans="1:14" x14ac:dyDescent="0.25">
      <c r="A200" s="4">
        <f t="shared" si="72"/>
        <v>0.42858796296296114</v>
      </c>
      <c r="B200" s="3">
        <f t="shared" si="61"/>
        <v>1553301030</v>
      </c>
      <c r="C200">
        <f t="shared" ref="C200:C247" si="73">C199</f>
        <v>3</v>
      </c>
      <c r="D200">
        <f t="shared" ref="D200:D247" si="74">D199</f>
        <v>138</v>
      </c>
      <c r="E200">
        <f t="shared" ca="1" si="62"/>
        <v>52725.065047477787</v>
      </c>
      <c r="F200">
        <f t="shared" ca="1" si="63"/>
        <v>-44564.191237007406</v>
      </c>
      <c r="G200">
        <f t="shared" ca="1" si="64"/>
        <v>10668</v>
      </c>
      <c r="H200" s="9">
        <f t="shared" ca="1" si="67"/>
        <v>170.07997805444467</v>
      </c>
      <c r="I200" s="9">
        <f t="shared" ca="1" si="68"/>
        <v>-143.75490766518632</v>
      </c>
      <c r="J200" s="9">
        <f t="shared" ca="1" si="69"/>
        <v>0</v>
      </c>
      <c r="K200" s="9">
        <f t="shared" ca="1" si="70"/>
        <v>222.69412298672503</v>
      </c>
      <c r="L200" s="9">
        <f t="shared" ca="1" si="71"/>
        <v>130.20514523201845</v>
      </c>
      <c r="M200">
        <f t="shared" ca="1" si="65"/>
        <v>55.446075102880656</v>
      </c>
      <c r="N200">
        <f t="shared" ca="1" si="66"/>
        <v>33.777062757201641</v>
      </c>
    </row>
    <row r="201" spans="1:14" x14ac:dyDescent="0.25">
      <c r="A201" s="4">
        <f t="shared" si="72"/>
        <v>0.42864583333333151</v>
      </c>
      <c r="B201" s="3">
        <f t="shared" si="61"/>
        <v>1553301035</v>
      </c>
      <c r="C201">
        <f t="shared" si="73"/>
        <v>3</v>
      </c>
      <c r="D201">
        <f t="shared" si="74"/>
        <v>138</v>
      </c>
      <c r="E201">
        <f t="shared" ca="1" si="62"/>
        <v>53575.46493775001</v>
      </c>
      <c r="F201">
        <f t="shared" ca="1" si="63"/>
        <v>-45282.965775333338</v>
      </c>
      <c r="G201">
        <f t="shared" ca="1" si="64"/>
        <v>10668</v>
      </c>
      <c r="H201" s="9">
        <f t="shared" ca="1" si="67"/>
        <v>170.07997805444467</v>
      </c>
      <c r="I201" s="9">
        <f t="shared" ca="1" si="68"/>
        <v>-143.75490766518487</v>
      </c>
      <c r="J201" s="9">
        <f t="shared" ca="1" si="69"/>
        <v>0</v>
      </c>
      <c r="K201" s="9">
        <f t="shared" ca="1" si="70"/>
        <v>222.69412298672412</v>
      </c>
      <c r="L201" s="9">
        <f t="shared" ca="1" si="71"/>
        <v>130.20514523201817</v>
      </c>
      <c r="M201">
        <f t="shared" ca="1" si="65"/>
        <v>55.439560185185186</v>
      </c>
      <c r="N201">
        <f t="shared" ca="1" si="66"/>
        <v>33.790671296296296</v>
      </c>
    </row>
    <row r="202" spans="1:14" x14ac:dyDescent="0.25">
      <c r="A202" s="4">
        <f t="shared" si="72"/>
        <v>0.42870370370370187</v>
      </c>
      <c r="B202" s="3">
        <f t="shared" si="61"/>
        <v>1553301040</v>
      </c>
      <c r="C202">
        <f t="shared" si="73"/>
        <v>3</v>
      </c>
      <c r="D202">
        <f t="shared" si="74"/>
        <v>138</v>
      </c>
      <c r="E202">
        <f t="shared" ca="1" si="62"/>
        <v>54425.864828022233</v>
      </c>
      <c r="F202">
        <f t="shared" ca="1" si="63"/>
        <v>-46001.740313659262</v>
      </c>
      <c r="G202">
        <f t="shared" ca="1" si="64"/>
        <v>10668</v>
      </c>
      <c r="H202" s="9">
        <f t="shared" ca="1" si="67"/>
        <v>170.07997805444467</v>
      </c>
      <c r="I202" s="9">
        <f t="shared" ca="1" si="68"/>
        <v>-143.75490766518487</v>
      </c>
      <c r="J202" s="9">
        <f t="shared" ca="1" si="69"/>
        <v>0</v>
      </c>
      <c r="K202" s="9">
        <f t="shared" ca="1" si="70"/>
        <v>222.69412298672412</v>
      </c>
      <c r="L202" s="9">
        <f t="shared" ca="1" si="71"/>
        <v>130.20514523201817</v>
      </c>
      <c r="M202">
        <f t="shared" ca="1" si="65"/>
        <v>55.43304526748971</v>
      </c>
      <c r="N202">
        <f t="shared" ca="1" si="66"/>
        <v>33.804279835390943</v>
      </c>
    </row>
    <row r="203" spans="1:14" x14ac:dyDescent="0.25">
      <c r="A203" s="4">
        <f t="shared" si="72"/>
        <v>0.42876157407407223</v>
      </c>
      <c r="B203" s="3">
        <f t="shared" si="61"/>
        <v>1553301045</v>
      </c>
      <c r="C203">
        <f t="shared" si="73"/>
        <v>3</v>
      </c>
      <c r="D203">
        <f t="shared" si="74"/>
        <v>138</v>
      </c>
      <c r="E203">
        <f t="shared" ca="1" si="62"/>
        <v>55276.264718294457</v>
      </c>
      <c r="F203">
        <f t="shared" ca="1" si="63"/>
        <v>-46720.514851985186</v>
      </c>
      <c r="G203">
        <f t="shared" ca="1" si="64"/>
        <v>10668</v>
      </c>
      <c r="H203" s="9">
        <f t="shared" ca="1" si="67"/>
        <v>170.07997805444319</v>
      </c>
      <c r="I203" s="9">
        <f t="shared" ca="1" si="68"/>
        <v>-143.75490766518487</v>
      </c>
      <c r="J203" s="9">
        <f t="shared" ca="1" si="69"/>
        <v>0</v>
      </c>
      <c r="K203" s="9">
        <f t="shared" ca="1" si="70"/>
        <v>222.69412298672299</v>
      </c>
      <c r="L203" s="9">
        <f t="shared" ca="1" si="71"/>
        <v>130.20514523201842</v>
      </c>
      <c r="M203">
        <f t="shared" ca="1" si="65"/>
        <v>55.426530349794234</v>
      </c>
      <c r="N203">
        <f t="shared" ca="1" si="66"/>
        <v>33.817888374485591</v>
      </c>
    </row>
    <row r="204" spans="1:14" x14ac:dyDescent="0.25">
      <c r="A204" s="4">
        <f t="shared" si="72"/>
        <v>0.42881944444444259</v>
      </c>
      <c r="B204" s="3">
        <f t="shared" si="61"/>
        <v>1553301050</v>
      </c>
      <c r="C204">
        <f t="shared" si="73"/>
        <v>3</v>
      </c>
      <c r="D204">
        <f t="shared" si="74"/>
        <v>138</v>
      </c>
      <c r="E204">
        <f t="shared" ca="1" si="62"/>
        <v>56126.664608566673</v>
      </c>
      <c r="F204">
        <f t="shared" ca="1" si="63"/>
        <v>-47439.289390311111</v>
      </c>
      <c r="G204">
        <f t="shared" ca="1" si="64"/>
        <v>10668</v>
      </c>
      <c r="H204" s="9">
        <f t="shared" ca="1" si="67"/>
        <v>170.07997805444467</v>
      </c>
      <c r="I204" s="9">
        <f t="shared" ca="1" si="68"/>
        <v>-143.75490766518487</v>
      </c>
      <c r="J204" s="9">
        <f t="shared" ca="1" si="69"/>
        <v>0</v>
      </c>
      <c r="K204" s="9">
        <f t="shared" ca="1" si="70"/>
        <v>222.69412298672412</v>
      </c>
      <c r="L204" s="9">
        <f t="shared" ca="1" si="71"/>
        <v>130.20514523201817</v>
      </c>
      <c r="M204">
        <f t="shared" ca="1" si="65"/>
        <v>55.420015432098765</v>
      </c>
      <c r="N204">
        <f t="shared" ca="1" si="66"/>
        <v>33.831496913580246</v>
      </c>
    </row>
    <row r="205" spans="1:14" x14ac:dyDescent="0.25">
      <c r="A205" s="4">
        <f t="shared" si="72"/>
        <v>0.42887731481481295</v>
      </c>
      <c r="B205" s="3">
        <f t="shared" si="61"/>
        <v>1553301055</v>
      </c>
      <c r="C205">
        <f t="shared" si="73"/>
        <v>3</v>
      </c>
      <c r="D205">
        <f t="shared" si="74"/>
        <v>138</v>
      </c>
      <c r="E205">
        <f t="shared" ca="1" si="62"/>
        <v>56977.064498838896</v>
      </c>
      <c r="F205">
        <f t="shared" ca="1" si="63"/>
        <v>-48158.063928637035</v>
      </c>
      <c r="G205">
        <f t="shared" ca="1" si="64"/>
        <v>10668</v>
      </c>
      <c r="H205" s="9">
        <f t="shared" ca="1" si="67"/>
        <v>170.07997805444467</v>
      </c>
      <c r="I205" s="9">
        <f t="shared" ca="1" si="68"/>
        <v>-143.75490766518632</v>
      </c>
      <c r="J205" s="9">
        <f t="shared" ca="1" si="69"/>
        <v>0</v>
      </c>
      <c r="K205" s="9">
        <f t="shared" ca="1" si="70"/>
        <v>222.69412298672503</v>
      </c>
      <c r="L205" s="9">
        <f t="shared" ca="1" si="71"/>
        <v>130.20514523201845</v>
      </c>
      <c r="M205">
        <f t="shared" ca="1" si="65"/>
        <v>55.413500514403289</v>
      </c>
      <c r="N205">
        <f t="shared" ca="1" si="66"/>
        <v>33.845105452674893</v>
      </c>
    </row>
    <row r="206" spans="1:14" x14ac:dyDescent="0.25">
      <c r="A206" s="4">
        <f t="shared" si="72"/>
        <v>0.42893518518518331</v>
      </c>
      <c r="B206" s="3">
        <f t="shared" si="61"/>
        <v>1553301060</v>
      </c>
      <c r="C206">
        <f t="shared" si="73"/>
        <v>3</v>
      </c>
      <c r="D206">
        <f t="shared" si="74"/>
        <v>138</v>
      </c>
      <c r="E206">
        <f t="shared" ca="1" si="62"/>
        <v>57827.464389111119</v>
      </c>
      <c r="F206">
        <f t="shared" ca="1" si="63"/>
        <v>-48876.838466962967</v>
      </c>
      <c r="G206">
        <f t="shared" ca="1" si="64"/>
        <v>10668</v>
      </c>
      <c r="H206" s="9">
        <f t="shared" ca="1" si="67"/>
        <v>170.07997805444467</v>
      </c>
      <c r="I206" s="9">
        <f t="shared" ca="1" si="68"/>
        <v>-143.75490766518487</v>
      </c>
      <c r="J206" s="9">
        <f t="shared" ca="1" si="69"/>
        <v>0</v>
      </c>
      <c r="K206" s="9">
        <f t="shared" ca="1" si="70"/>
        <v>222.69412298672412</v>
      </c>
      <c r="L206" s="9">
        <f t="shared" ca="1" si="71"/>
        <v>130.20514523201817</v>
      </c>
      <c r="M206">
        <f t="shared" ca="1" si="65"/>
        <v>55.40698559670782</v>
      </c>
      <c r="N206">
        <f t="shared" ca="1" si="66"/>
        <v>33.858713991769548</v>
      </c>
    </row>
    <row r="207" spans="1:14" x14ac:dyDescent="0.25">
      <c r="A207" s="4">
        <f t="shared" si="72"/>
        <v>0.42899305555555367</v>
      </c>
      <c r="B207" s="3">
        <f t="shared" si="61"/>
        <v>1553301065</v>
      </c>
      <c r="C207">
        <f t="shared" si="73"/>
        <v>3</v>
      </c>
      <c r="D207">
        <f t="shared" si="74"/>
        <v>138</v>
      </c>
      <c r="E207">
        <f t="shared" ca="1" si="62"/>
        <v>58677.864279383342</v>
      </c>
      <c r="F207">
        <f t="shared" ca="1" si="63"/>
        <v>-49595.613005288891</v>
      </c>
      <c r="G207">
        <f t="shared" ca="1" si="64"/>
        <v>10668</v>
      </c>
      <c r="H207" s="9">
        <f t="shared" ca="1" si="67"/>
        <v>170.07997805444467</v>
      </c>
      <c r="I207" s="9">
        <f t="shared" ca="1" si="68"/>
        <v>-143.75490766518487</v>
      </c>
      <c r="J207" s="9">
        <f t="shared" ca="1" si="69"/>
        <v>0</v>
      </c>
      <c r="K207" s="9">
        <f t="shared" ca="1" si="70"/>
        <v>222.69412298672412</v>
      </c>
      <c r="L207" s="9">
        <f t="shared" ca="1" si="71"/>
        <v>130.20514523201817</v>
      </c>
      <c r="M207">
        <f t="shared" ca="1" si="65"/>
        <v>55.400470679012344</v>
      </c>
      <c r="N207">
        <f t="shared" ca="1" si="66"/>
        <v>33.872322530864196</v>
      </c>
    </row>
    <row r="208" spans="1:14" x14ac:dyDescent="0.25">
      <c r="A208" s="4">
        <f t="shared" si="72"/>
        <v>0.42905092592592403</v>
      </c>
      <c r="B208" s="3">
        <f t="shared" si="61"/>
        <v>1553301070</v>
      </c>
      <c r="C208">
        <f t="shared" si="73"/>
        <v>3</v>
      </c>
      <c r="D208">
        <f t="shared" si="74"/>
        <v>138</v>
      </c>
      <c r="E208">
        <f t="shared" ca="1" si="62"/>
        <v>59528.264169655566</v>
      </c>
      <c r="F208">
        <f t="shared" ca="1" si="63"/>
        <v>-50314.387543614816</v>
      </c>
      <c r="G208">
        <f t="shared" ca="1" si="64"/>
        <v>10668</v>
      </c>
      <c r="H208" s="9">
        <f t="shared" ca="1" si="67"/>
        <v>170.07997805444467</v>
      </c>
      <c r="I208" s="9">
        <f t="shared" ca="1" si="68"/>
        <v>-143.75490766518487</v>
      </c>
      <c r="J208" s="9">
        <f t="shared" ca="1" si="69"/>
        <v>0</v>
      </c>
      <c r="K208" s="9">
        <f t="shared" ca="1" si="70"/>
        <v>222.69412298672412</v>
      </c>
      <c r="L208" s="9">
        <f t="shared" ca="1" si="71"/>
        <v>130.20514523201817</v>
      </c>
      <c r="M208">
        <f t="shared" ca="1" si="65"/>
        <v>55.393955761316874</v>
      </c>
      <c r="N208">
        <f t="shared" ca="1" si="66"/>
        <v>33.885931069958843</v>
      </c>
    </row>
    <row r="209" spans="1:14" x14ac:dyDescent="0.25">
      <c r="A209" s="4">
        <f t="shared" si="72"/>
        <v>0.42910879629629439</v>
      </c>
      <c r="B209" s="3">
        <f t="shared" si="61"/>
        <v>1553301075</v>
      </c>
      <c r="C209">
        <f t="shared" si="73"/>
        <v>3</v>
      </c>
      <c r="D209">
        <f t="shared" si="74"/>
        <v>138</v>
      </c>
      <c r="E209">
        <f t="shared" ca="1" si="62"/>
        <v>60378.664059927789</v>
      </c>
      <c r="F209">
        <f t="shared" ca="1" si="63"/>
        <v>-51033.16208194074</v>
      </c>
      <c r="G209">
        <f t="shared" ca="1" si="64"/>
        <v>10668</v>
      </c>
      <c r="H209" s="9">
        <f t="shared" ca="1" si="67"/>
        <v>170.07997805444467</v>
      </c>
      <c r="I209" s="9">
        <f t="shared" ca="1" si="68"/>
        <v>-143.75490766518487</v>
      </c>
      <c r="J209" s="9">
        <f t="shared" ca="1" si="69"/>
        <v>0</v>
      </c>
      <c r="K209" s="9">
        <f t="shared" ca="1" si="70"/>
        <v>222.69412298672412</v>
      </c>
      <c r="L209" s="9">
        <f t="shared" ca="1" si="71"/>
        <v>130.20514523201817</v>
      </c>
      <c r="M209">
        <f t="shared" ca="1" si="65"/>
        <v>55.387440843621398</v>
      </c>
      <c r="N209">
        <f t="shared" ca="1" si="66"/>
        <v>33.899539609053498</v>
      </c>
    </row>
    <row r="210" spans="1:14" x14ac:dyDescent="0.25">
      <c r="A210" s="4">
        <f t="shared" si="72"/>
        <v>0.42916666666666475</v>
      </c>
      <c r="B210" s="3">
        <f t="shared" si="61"/>
        <v>1553301080</v>
      </c>
      <c r="C210">
        <f t="shared" si="73"/>
        <v>3</v>
      </c>
      <c r="D210">
        <f t="shared" si="74"/>
        <v>138</v>
      </c>
      <c r="E210">
        <f t="shared" ca="1" si="62"/>
        <v>61229.063950200012</v>
      </c>
      <c r="F210">
        <f t="shared" ca="1" si="63"/>
        <v>-51751.936620266664</v>
      </c>
      <c r="G210">
        <f t="shared" ca="1" si="64"/>
        <v>10668</v>
      </c>
      <c r="H210" s="9">
        <f t="shared" ca="1" si="67"/>
        <v>170.07997805444467</v>
      </c>
      <c r="I210" s="9">
        <f t="shared" ca="1" si="68"/>
        <v>-143.75490766518632</v>
      </c>
      <c r="J210" s="9">
        <f t="shared" ca="1" si="69"/>
        <v>0</v>
      </c>
      <c r="K210" s="9">
        <f t="shared" ca="1" si="70"/>
        <v>222.69412298672503</v>
      </c>
      <c r="L210" s="9">
        <f t="shared" ca="1" si="71"/>
        <v>130.20514523201845</v>
      </c>
      <c r="M210">
        <f t="shared" ca="1" si="65"/>
        <v>55.380925925925922</v>
      </c>
      <c r="N210">
        <f t="shared" ca="1" si="66"/>
        <v>33.913148148148146</v>
      </c>
    </row>
    <row r="211" spans="1:14" x14ac:dyDescent="0.25">
      <c r="A211" s="4">
        <f t="shared" si="72"/>
        <v>0.42922453703703511</v>
      </c>
      <c r="B211" s="3">
        <f t="shared" si="61"/>
        <v>1553301085</v>
      </c>
      <c r="C211">
        <f t="shared" si="73"/>
        <v>3</v>
      </c>
      <c r="D211">
        <f t="shared" si="74"/>
        <v>138</v>
      </c>
      <c r="E211">
        <f t="shared" ca="1" si="62"/>
        <v>62079.463840472235</v>
      </c>
      <c r="F211">
        <f t="shared" ca="1" si="63"/>
        <v>-52470.711158592596</v>
      </c>
      <c r="G211">
        <f t="shared" ca="1" si="64"/>
        <v>10668</v>
      </c>
      <c r="H211" s="9">
        <f t="shared" ca="1" si="67"/>
        <v>170.07997805444319</v>
      </c>
      <c r="I211" s="9">
        <f t="shared" ca="1" si="68"/>
        <v>-143.75490766518487</v>
      </c>
      <c r="J211" s="9">
        <f t="shared" ca="1" si="69"/>
        <v>0</v>
      </c>
      <c r="K211" s="9">
        <f t="shared" ca="1" si="70"/>
        <v>222.69412298672299</v>
      </c>
      <c r="L211" s="9">
        <f t="shared" ca="1" si="71"/>
        <v>130.20514523201842</v>
      </c>
      <c r="M211">
        <f t="shared" ca="1" si="65"/>
        <v>55.374411008230453</v>
      </c>
      <c r="N211">
        <f t="shared" ca="1" si="66"/>
        <v>33.926756687242793</v>
      </c>
    </row>
    <row r="212" spans="1:14" x14ac:dyDescent="0.25">
      <c r="A212" s="4">
        <f t="shared" si="72"/>
        <v>0.42928240740740548</v>
      </c>
      <c r="B212" s="3">
        <f t="shared" si="61"/>
        <v>1553301090</v>
      </c>
      <c r="C212">
        <f t="shared" si="73"/>
        <v>3</v>
      </c>
      <c r="D212">
        <f t="shared" si="74"/>
        <v>138</v>
      </c>
      <c r="E212">
        <f t="shared" ca="1" si="62"/>
        <v>62929.863730744451</v>
      </c>
      <c r="F212">
        <f t="shared" ca="1" si="63"/>
        <v>-53189.48569691852</v>
      </c>
      <c r="G212">
        <f t="shared" ca="1" si="64"/>
        <v>10668</v>
      </c>
      <c r="H212" s="9">
        <f t="shared" ca="1" si="67"/>
        <v>170.07997805444467</v>
      </c>
      <c r="I212" s="9">
        <f t="shared" ca="1" si="68"/>
        <v>-143.75490766518487</v>
      </c>
      <c r="J212" s="9">
        <f t="shared" ca="1" si="69"/>
        <v>0</v>
      </c>
      <c r="K212" s="9">
        <f t="shared" ca="1" si="70"/>
        <v>222.69412298672412</v>
      </c>
      <c r="L212" s="9">
        <f t="shared" ca="1" si="71"/>
        <v>130.20514523201817</v>
      </c>
      <c r="M212">
        <f t="shared" ca="1" si="65"/>
        <v>55.367896090534977</v>
      </c>
      <c r="N212">
        <f t="shared" ca="1" si="66"/>
        <v>33.940365226337448</v>
      </c>
    </row>
    <row r="213" spans="1:14" x14ac:dyDescent="0.25">
      <c r="A213" s="4">
        <f t="shared" si="72"/>
        <v>0.42934027777777584</v>
      </c>
      <c r="B213" s="3">
        <f t="shared" si="61"/>
        <v>1553301095</v>
      </c>
      <c r="C213">
        <f t="shared" si="73"/>
        <v>3</v>
      </c>
      <c r="D213">
        <f t="shared" si="74"/>
        <v>138</v>
      </c>
      <c r="E213">
        <f t="shared" ca="1" si="62"/>
        <v>63780.263621016675</v>
      </c>
      <c r="F213">
        <f t="shared" ca="1" si="63"/>
        <v>-53908.260235244445</v>
      </c>
      <c r="G213">
        <f t="shared" ca="1" si="64"/>
        <v>10668</v>
      </c>
      <c r="H213" s="9">
        <f t="shared" ca="1" si="67"/>
        <v>170.07997805444467</v>
      </c>
      <c r="I213" s="9">
        <f t="shared" ca="1" si="68"/>
        <v>-143.75490766518487</v>
      </c>
      <c r="J213" s="9">
        <f t="shared" ca="1" si="69"/>
        <v>0</v>
      </c>
      <c r="K213" s="9">
        <f t="shared" ca="1" si="70"/>
        <v>222.69412298672412</v>
      </c>
      <c r="L213" s="9">
        <f t="shared" ca="1" si="71"/>
        <v>130.20514523201817</v>
      </c>
      <c r="M213">
        <f t="shared" ca="1" si="65"/>
        <v>55.361381172839508</v>
      </c>
      <c r="N213">
        <f t="shared" ca="1" si="66"/>
        <v>33.953973765432096</v>
      </c>
    </row>
    <row r="214" spans="1:14" x14ac:dyDescent="0.25">
      <c r="A214" s="4">
        <f t="shared" si="72"/>
        <v>0.4293981481481462</v>
      </c>
      <c r="B214" s="3">
        <f t="shared" si="61"/>
        <v>1553301100</v>
      </c>
      <c r="C214">
        <f t="shared" si="73"/>
        <v>3</v>
      </c>
      <c r="D214">
        <f t="shared" si="74"/>
        <v>138</v>
      </c>
      <c r="E214">
        <f t="shared" ca="1" si="62"/>
        <v>64630.663511288898</v>
      </c>
      <c r="F214">
        <f t="shared" ca="1" si="63"/>
        <v>-54627.034773570369</v>
      </c>
      <c r="G214">
        <f t="shared" ca="1" si="64"/>
        <v>10668</v>
      </c>
      <c r="H214" s="9">
        <f t="shared" ca="1" si="67"/>
        <v>170.07997805444467</v>
      </c>
      <c r="I214" s="9">
        <f t="shared" ca="1" si="68"/>
        <v>-143.75490766518632</v>
      </c>
      <c r="J214" s="9">
        <f t="shared" ca="1" si="69"/>
        <v>0</v>
      </c>
      <c r="K214" s="9">
        <f t="shared" ca="1" si="70"/>
        <v>222.69412298672503</v>
      </c>
      <c r="L214" s="9">
        <f t="shared" ca="1" si="71"/>
        <v>130.20514523201845</v>
      </c>
      <c r="M214">
        <f t="shared" ca="1" si="65"/>
        <v>55.354866255144032</v>
      </c>
      <c r="N214">
        <f t="shared" ca="1" si="66"/>
        <v>33.967582304526744</v>
      </c>
    </row>
    <row r="215" spans="1:14" x14ac:dyDescent="0.25">
      <c r="A215" s="4">
        <f t="shared" si="72"/>
        <v>0.42945601851851656</v>
      </c>
      <c r="B215" s="3">
        <f t="shared" si="61"/>
        <v>1553301105</v>
      </c>
      <c r="C215">
        <f t="shared" si="73"/>
        <v>3</v>
      </c>
      <c r="D215">
        <f t="shared" si="74"/>
        <v>138</v>
      </c>
      <c r="E215">
        <f t="shared" ca="1" si="62"/>
        <v>65481.063401561121</v>
      </c>
      <c r="F215">
        <f t="shared" ca="1" si="63"/>
        <v>-55345.809311896301</v>
      </c>
      <c r="G215">
        <f t="shared" ca="1" si="64"/>
        <v>10668</v>
      </c>
      <c r="H215" s="9">
        <f t="shared" ca="1" si="67"/>
        <v>170.07997805444319</v>
      </c>
      <c r="I215" s="9">
        <f t="shared" ca="1" si="68"/>
        <v>-143.75490766518487</v>
      </c>
      <c r="J215" s="9">
        <f t="shared" ca="1" si="69"/>
        <v>0</v>
      </c>
      <c r="K215" s="9">
        <f t="shared" ca="1" si="70"/>
        <v>222.69412298672299</v>
      </c>
      <c r="L215" s="9">
        <f t="shared" ca="1" si="71"/>
        <v>130.20514523201842</v>
      </c>
      <c r="M215">
        <f t="shared" ca="1" si="65"/>
        <v>55.348351337448555</v>
      </c>
      <c r="N215">
        <f t="shared" ca="1" si="66"/>
        <v>33.981190843621398</v>
      </c>
    </row>
    <row r="216" spans="1:14" x14ac:dyDescent="0.25">
      <c r="A216" s="4">
        <f t="shared" si="72"/>
        <v>0.42951388888888692</v>
      </c>
      <c r="B216" s="3">
        <f t="shared" si="61"/>
        <v>1553301110</v>
      </c>
      <c r="C216">
        <f t="shared" si="73"/>
        <v>3</v>
      </c>
      <c r="D216">
        <f t="shared" si="74"/>
        <v>138</v>
      </c>
      <c r="E216">
        <f t="shared" ca="1" si="62"/>
        <v>66331.463291833337</v>
      </c>
      <c r="F216">
        <f t="shared" ca="1" si="63"/>
        <v>-56064.583850222225</v>
      </c>
      <c r="G216">
        <f t="shared" ca="1" si="64"/>
        <v>10668</v>
      </c>
      <c r="H216" s="9">
        <f t="shared" ca="1" si="67"/>
        <v>170.07997805444467</v>
      </c>
      <c r="I216" s="9">
        <f t="shared" ca="1" si="68"/>
        <v>-143.75490766518487</v>
      </c>
      <c r="J216" s="9">
        <f t="shared" ca="1" si="69"/>
        <v>0</v>
      </c>
      <c r="K216" s="9">
        <f t="shared" ca="1" si="70"/>
        <v>222.69412298672412</v>
      </c>
      <c r="L216" s="9">
        <f t="shared" ca="1" si="71"/>
        <v>130.20514523201817</v>
      </c>
      <c r="M216">
        <f t="shared" ca="1" si="65"/>
        <v>55.341836419753086</v>
      </c>
      <c r="N216">
        <f t="shared" ca="1" si="66"/>
        <v>33.994799382716046</v>
      </c>
    </row>
    <row r="217" spans="1:14" x14ac:dyDescent="0.25">
      <c r="A217" s="4">
        <f t="shared" si="72"/>
        <v>0.42957175925925728</v>
      </c>
      <c r="B217" s="3">
        <f t="shared" si="61"/>
        <v>1553301115</v>
      </c>
      <c r="C217">
        <f t="shared" si="73"/>
        <v>3</v>
      </c>
      <c r="D217">
        <f t="shared" si="74"/>
        <v>138</v>
      </c>
      <c r="E217">
        <f t="shared" ca="1" si="62"/>
        <v>67181.863182105561</v>
      </c>
      <c r="F217">
        <f t="shared" ca="1" si="63"/>
        <v>-56783.358388548149</v>
      </c>
      <c r="G217">
        <f t="shared" ca="1" si="64"/>
        <v>10668</v>
      </c>
      <c r="H217" s="9">
        <f t="shared" ca="1" si="67"/>
        <v>170.07997805444467</v>
      </c>
      <c r="I217" s="9">
        <f t="shared" ca="1" si="68"/>
        <v>-143.75490766518487</v>
      </c>
      <c r="J217" s="9">
        <f t="shared" ca="1" si="69"/>
        <v>0</v>
      </c>
      <c r="K217" s="9">
        <f t="shared" ca="1" si="70"/>
        <v>222.69412298672412</v>
      </c>
      <c r="L217" s="9">
        <f t="shared" ca="1" si="71"/>
        <v>130.20514523201817</v>
      </c>
      <c r="M217">
        <f t="shared" ca="1" si="65"/>
        <v>55.33532150205761</v>
      </c>
      <c r="N217">
        <f t="shared" ca="1" si="66"/>
        <v>34.008407921810701</v>
      </c>
    </row>
    <row r="218" spans="1:14" x14ac:dyDescent="0.25">
      <c r="A218" s="4">
        <f t="shared" si="72"/>
        <v>0.42962962962962764</v>
      </c>
      <c r="B218" s="3">
        <f t="shared" si="61"/>
        <v>1553301120</v>
      </c>
      <c r="C218">
        <f t="shared" si="73"/>
        <v>3</v>
      </c>
      <c r="D218">
        <f t="shared" si="74"/>
        <v>138</v>
      </c>
      <c r="E218">
        <f t="shared" ca="1" si="62"/>
        <v>68032.263072377784</v>
      </c>
      <c r="F218">
        <f t="shared" ca="1" si="63"/>
        <v>-57502.132926874074</v>
      </c>
      <c r="G218">
        <f t="shared" ca="1" si="64"/>
        <v>10668</v>
      </c>
      <c r="H218" s="9">
        <f t="shared" ca="1" si="67"/>
        <v>170.07997805444467</v>
      </c>
      <c r="I218" s="9">
        <f t="shared" ca="1" si="68"/>
        <v>-143.75490766518487</v>
      </c>
      <c r="J218" s="9">
        <f t="shared" ca="1" si="69"/>
        <v>0</v>
      </c>
      <c r="K218" s="9">
        <f t="shared" ca="1" si="70"/>
        <v>222.69412298672412</v>
      </c>
      <c r="L218" s="9">
        <f t="shared" ca="1" si="71"/>
        <v>130.20514523201817</v>
      </c>
      <c r="M218">
        <f t="shared" ca="1" si="65"/>
        <v>55.328806584362141</v>
      </c>
      <c r="N218">
        <f t="shared" ca="1" si="66"/>
        <v>34.022016460905348</v>
      </c>
    </row>
    <row r="219" spans="1:14" x14ac:dyDescent="0.25">
      <c r="A219" s="4">
        <f t="shared" si="72"/>
        <v>0.429687499999998</v>
      </c>
      <c r="B219" s="3">
        <f t="shared" si="61"/>
        <v>1553301125</v>
      </c>
      <c r="C219">
        <f t="shared" si="73"/>
        <v>3</v>
      </c>
      <c r="D219">
        <f t="shared" si="74"/>
        <v>138</v>
      </c>
      <c r="E219">
        <f t="shared" ca="1" si="62"/>
        <v>68882.662962650007</v>
      </c>
      <c r="F219">
        <f t="shared" ca="1" si="63"/>
        <v>-58220.907465199998</v>
      </c>
      <c r="G219">
        <f t="shared" ca="1" si="64"/>
        <v>10668</v>
      </c>
      <c r="H219" s="9">
        <f t="shared" ca="1" si="67"/>
        <v>170.07997805444467</v>
      </c>
      <c r="I219" s="9">
        <f t="shared" ca="1" si="68"/>
        <v>-143.75490766518632</v>
      </c>
      <c r="J219" s="9">
        <f t="shared" ca="1" si="69"/>
        <v>0</v>
      </c>
      <c r="K219" s="9">
        <f t="shared" ca="1" si="70"/>
        <v>222.69412298672503</v>
      </c>
      <c r="L219" s="9">
        <f t="shared" ca="1" si="71"/>
        <v>130.20514523201845</v>
      </c>
      <c r="M219">
        <f t="shared" ca="1" si="65"/>
        <v>55.322291666666665</v>
      </c>
      <c r="N219">
        <f t="shared" ca="1" si="66"/>
        <v>34.035624999999996</v>
      </c>
    </row>
    <row r="220" spans="1:14" x14ac:dyDescent="0.25">
      <c r="A220" s="4">
        <f t="shared" si="72"/>
        <v>0.42974537037036836</v>
      </c>
      <c r="B220" s="3">
        <f t="shared" si="61"/>
        <v>1553301130</v>
      </c>
      <c r="C220">
        <f t="shared" si="73"/>
        <v>3</v>
      </c>
      <c r="D220">
        <f t="shared" si="74"/>
        <v>138</v>
      </c>
      <c r="E220">
        <f t="shared" ca="1" si="62"/>
        <v>69733.06285292223</v>
      </c>
      <c r="F220">
        <f t="shared" ca="1" si="63"/>
        <v>-58939.68200352593</v>
      </c>
      <c r="G220">
        <f t="shared" ca="1" si="64"/>
        <v>10668</v>
      </c>
      <c r="H220" s="9">
        <f t="shared" ca="1" si="67"/>
        <v>170.07997805444467</v>
      </c>
      <c r="I220" s="9">
        <f t="shared" ca="1" si="68"/>
        <v>-143.75490766518487</v>
      </c>
      <c r="J220" s="9">
        <f t="shared" ca="1" si="69"/>
        <v>0</v>
      </c>
      <c r="K220" s="9">
        <f t="shared" ca="1" si="70"/>
        <v>222.69412298672412</v>
      </c>
      <c r="L220" s="9">
        <f t="shared" ca="1" si="71"/>
        <v>130.20514523201817</v>
      </c>
      <c r="M220">
        <f t="shared" ca="1" si="65"/>
        <v>55.315776748971189</v>
      </c>
      <c r="N220">
        <f t="shared" ca="1" si="66"/>
        <v>34.049233539094651</v>
      </c>
    </row>
    <row r="221" spans="1:14" x14ac:dyDescent="0.25">
      <c r="A221" s="4">
        <f t="shared" si="72"/>
        <v>0.42980324074073872</v>
      </c>
      <c r="B221" s="3">
        <f t="shared" si="61"/>
        <v>1553301135</v>
      </c>
      <c r="C221">
        <f t="shared" si="73"/>
        <v>3</v>
      </c>
      <c r="D221">
        <f t="shared" si="74"/>
        <v>138</v>
      </c>
      <c r="E221">
        <f t="shared" ca="1" si="62"/>
        <v>70583.462743194454</v>
      </c>
      <c r="F221">
        <f t="shared" ca="1" si="63"/>
        <v>-59658.456541851854</v>
      </c>
      <c r="G221">
        <f t="shared" ca="1" si="64"/>
        <v>10668</v>
      </c>
      <c r="H221" s="9">
        <f t="shared" ca="1" si="67"/>
        <v>170.07997805444467</v>
      </c>
      <c r="I221" s="9">
        <f t="shared" ca="1" si="68"/>
        <v>-143.75490766518487</v>
      </c>
      <c r="J221" s="9">
        <f t="shared" ca="1" si="69"/>
        <v>0</v>
      </c>
      <c r="K221" s="9">
        <f t="shared" ca="1" si="70"/>
        <v>222.69412298672412</v>
      </c>
      <c r="L221" s="9">
        <f t="shared" ca="1" si="71"/>
        <v>130.20514523201817</v>
      </c>
      <c r="M221">
        <f t="shared" ca="1" si="65"/>
        <v>55.30926183127572</v>
      </c>
      <c r="N221">
        <f t="shared" ca="1" si="66"/>
        <v>34.062842078189298</v>
      </c>
    </row>
    <row r="222" spans="1:14" x14ac:dyDescent="0.25">
      <c r="A222" s="4">
        <f t="shared" si="72"/>
        <v>0.42986111111110908</v>
      </c>
      <c r="B222" s="3">
        <f t="shared" si="61"/>
        <v>1553301140</v>
      </c>
      <c r="C222">
        <f t="shared" si="73"/>
        <v>3</v>
      </c>
      <c r="D222">
        <f t="shared" si="74"/>
        <v>138</v>
      </c>
      <c r="E222">
        <f t="shared" ca="1" si="62"/>
        <v>71433.862633466677</v>
      </c>
      <c r="F222">
        <f t="shared" ca="1" si="63"/>
        <v>-60377.231080177778</v>
      </c>
      <c r="G222">
        <f t="shared" ca="1" si="64"/>
        <v>10668</v>
      </c>
      <c r="H222" s="9">
        <f t="shared" ca="1" si="67"/>
        <v>170.07997805444467</v>
      </c>
      <c r="I222" s="9">
        <f t="shared" ca="1" si="68"/>
        <v>-143.75490766518487</v>
      </c>
      <c r="J222" s="9">
        <f t="shared" ca="1" si="69"/>
        <v>0</v>
      </c>
      <c r="K222" s="9">
        <f t="shared" ca="1" si="70"/>
        <v>222.69412298672412</v>
      </c>
      <c r="L222" s="9">
        <f t="shared" ca="1" si="71"/>
        <v>130.20514523201817</v>
      </c>
      <c r="M222">
        <f t="shared" ca="1" si="65"/>
        <v>55.302746913580243</v>
      </c>
      <c r="N222">
        <f t="shared" ca="1" si="66"/>
        <v>34.076450617283946</v>
      </c>
    </row>
    <row r="223" spans="1:14" x14ac:dyDescent="0.25">
      <c r="A223" s="4">
        <f t="shared" si="72"/>
        <v>0.42991898148147945</v>
      </c>
      <c r="B223" s="3">
        <f t="shared" si="61"/>
        <v>1553301145</v>
      </c>
      <c r="C223">
        <f t="shared" si="73"/>
        <v>3</v>
      </c>
      <c r="D223">
        <f t="shared" si="74"/>
        <v>138</v>
      </c>
      <c r="E223">
        <f t="shared" ca="1" si="62"/>
        <v>72284.2625237389</v>
      </c>
      <c r="F223">
        <f t="shared" ca="1" si="63"/>
        <v>-61096.005618503703</v>
      </c>
      <c r="G223">
        <f t="shared" ca="1" si="64"/>
        <v>10668</v>
      </c>
      <c r="H223" s="9">
        <f t="shared" ca="1" si="67"/>
        <v>170.07997805444174</v>
      </c>
      <c r="I223" s="9">
        <f t="shared" ca="1" si="68"/>
        <v>-143.75490766518487</v>
      </c>
      <c r="J223" s="9">
        <f t="shared" ca="1" si="69"/>
        <v>0</v>
      </c>
      <c r="K223" s="9">
        <f t="shared" ca="1" si="70"/>
        <v>222.69412298672188</v>
      </c>
      <c r="L223" s="9">
        <f t="shared" ca="1" si="71"/>
        <v>130.20514523201865</v>
      </c>
      <c r="M223">
        <f t="shared" ca="1" si="65"/>
        <v>55.296231995884774</v>
      </c>
      <c r="N223">
        <f t="shared" ca="1" si="66"/>
        <v>34.090059156378601</v>
      </c>
    </row>
    <row r="224" spans="1:14" x14ac:dyDescent="0.25">
      <c r="A224" s="4">
        <f t="shared" si="72"/>
        <v>0.42997685185184981</v>
      </c>
      <c r="B224" s="3">
        <f t="shared" si="61"/>
        <v>1553301150</v>
      </c>
      <c r="C224">
        <f t="shared" si="73"/>
        <v>3</v>
      </c>
      <c r="D224">
        <f t="shared" si="74"/>
        <v>138</v>
      </c>
      <c r="E224">
        <f t="shared" ca="1" si="62"/>
        <v>73134.662414011109</v>
      </c>
      <c r="F224">
        <f t="shared" ca="1" si="63"/>
        <v>-61814.780156829627</v>
      </c>
      <c r="G224">
        <f t="shared" ca="1" si="64"/>
        <v>10668</v>
      </c>
      <c r="H224" s="9">
        <f t="shared" ca="1" si="67"/>
        <v>170.07997805444467</v>
      </c>
      <c r="I224" s="9">
        <f t="shared" ca="1" si="68"/>
        <v>-143.75490766518632</v>
      </c>
      <c r="J224" s="9">
        <f t="shared" ca="1" si="69"/>
        <v>0</v>
      </c>
      <c r="K224" s="9">
        <f t="shared" ca="1" si="70"/>
        <v>222.69412298672503</v>
      </c>
      <c r="L224" s="9">
        <f t="shared" ca="1" si="71"/>
        <v>130.20514523201845</v>
      </c>
      <c r="M224">
        <f t="shared" ca="1" si="65"/>
        <v>55.289717078189298</v>
      </c>
      <c r="N224">
        <f t="shared" ca="1" si="66"/>
        <v>34.103667695473249</v>
      </c>
    </row>
    <row r="225" spans="1:14" x14ac:dyDescent="0.25">
      <c r="A225" s="4">
        <f t="shared" si="72"/>
        <v>0.43003472222222017</v>
      </c>
      <c r="B225" s="3">
        <f t="shared" si="61"/>
        <v>1553301155</v>
      </c>
      <c r="C225">
        <f t="shared" si="73"/>
        <v>3</v>
      </c>
      <c r="D225">
        <f t="shared" si="74"/>
        <v>138</v>
      </c>
      <c r="E225">
        <f t="shared" ca="1" si="62"/>
        <v>73985.062304283332</v>
      </c>
      <c r="F225">
        <f t="shared" ca="1" si="63"/>
        <v>-62533.554695155559</v>
      </c>
      <c r="G225">
        <f t="shared" ca="1" si="64"/>
        <v>10668</v>
      </c>
      <c r="H225" s="9">
        <f t="shared" ca="1" si="67"/>
        <v>170.07997805444467</v>
      </c>
      <c r="I225" s="9">
        <f t="shared" ca="1" si="68"/>
        <v>-143.75490766518487</v>
      </c>
      <c r="J225" s="9">
        <f t="shared" ca="1" si="69"/>
        <v>0</v>
      </c>
      <c r="K225" s="9">
        <f t="shared" ca="1" si="70"/>
        <v>222.69412298672412</v>
      </c>
      <c r="L225" s="9">
        <f t="shared" ca="1" si="71"/>
        <v>130.20514523201817</v>
      </c>
      <c r="M225">
        <f t="shared" ca="1" si="65"/>
        <v>55.283202160493822</v>
      </c>
      <c r="N225">
        <f t="shared" ca="1" si="66"/>
        <v>34.117276234567896</v>
      </c>
    </row>
    <row r="226" spans="1:14" x14ac:dyDescent="0.25">
      <c r="A226" s="4">
        <f t="shared" si="72"/>
        <v>0.43009259259259053</v>
      </c>
      <c r="B226" s="3">
        <f t="shared" si="61"/>
        <v>1553301160</v>
      </c>
      <c r="C226">
        <f t="shared" si="73"/>
        <v>3</v>
      </c>
      <c r="D226">
        <f t="shared" si="74"/>
        <v>138</v>
      </c>
      <c r="E226">
        <f t="shared" ca="1" si="62"/>
        <v>74835.462194555555</v>
      </c>
      <c r="F226">
        <f t="shared" ca="1" si="63"/>
        <v>-63252.329233481483</v>
      </c>
      <c r="G226">
        <f t="shared" ca="1" si="64"/>
        <v>10668</v>
      </c>
      <c r="H226" s="9">
        <f t="shared" ca="1" si="67"/>
        <v>170.07997805444467</v>
      </c>
      <c r="I226" s="9">
        <f t="shared" ca="1" si="68"/>
        <v>-143.75490766518487</v>
      </c>
      <c r="J226" s="9">
        <f t="shared" ca="1" si="69"/>
        <v>0</v>
      </c>
      <c r="K226" s="9">
        <f t="shared" ca="1" si="70"/>
        <v>222.69412298672412</v>
      </c>
      <c r="L226" s="9">
        <f t="shared" ca="1" si="71"/>
        <v>130.20514523201817</v>
      </c>
      <c r="M226">
        <f t="shared" ca="1" si="65"/>
        <v>55.276687242798353</v>
      </c>
      <c r="N226">
        <f t="shared" ca="1" si="66"/>
        <v>34.130884773662551</v>
      </c>
    </row>
    <row r="227" spans="1:14" x14ac:dyDescent="0.25">
      <c r="A227" s="4">
        <f t="shared" si="72"/>
        <v>0.43015046296296089</v>
      </c>
      <c r="B227" s="3">
        <f t="shared" ref="B227:B253" si="75">B226+SECOND(A227-A226)</f>
        <v>1553301165</v>
      </c>
      <c r="C227">
        <f t="shared" si="73"/>
        <v>3</v>
      </c>
      <c r="D227">
        <f t="shared" si="74"/>
        <v>138</v>
      </c>
      <c r="E227">
        <f t="shared" ref="E227:E253" ca="1" si="76">INDIRECT("E$"&amp;C227)+INDIRECT("H$"&amp;C227)*($B227-INDIRECT("B$"&amp;D227))</f>
        <v>75685.862084827779</v>
      </c>
      <c r="F227">
        <f t="shared" ref="F227:F253" ca="1" si="77">INDIRECT("F$"&amp;C227)+INDIRECT("I$"&amp;C227)*($B227-INDIRECT("B$"&amp;D227))</f>
        <v>-63971.103771807408</v>
      </c>
      <c r="G227">
        <f t="shared" ref="G227:G253" ca="1" si="78">INDIRECT("G$"&amp;C227)+INDIRECT("J$"&amp;C227)*($B227-INDIRECT("B$"&amp;D227))</f>
        <v>10668</v>
      </c>
      <c r="H227" s="9">
        <f t="shared" ca="1" si="67"/>
        <v>170.07997805444467</v>
      </c>
      <c r="I227" s="9">
        <f t="shared" ca="1" si="68"/>
        <v>-143.75490766518487</v>
      </c>
      <c r="J227" s="9">
        <f t="shared" ca="1" si="69"/>
        <v>0</v>
      </c>
      <c r="K227" s="9">
        <f t="shared" ca="1" si="70"/>
        <v>222.69412298672412</v>
      </c>
      <c r="L227" s="9">
        <f t="shared" ca="1" si="71"/>
        <v>130.20514523201817</v>
      </c>
      <c r="M227">
        <f t="shared" ref="M227:M253" ca="1" si="79">INDIRECT("M$"&amp;C227)+INDIRECT("O$"&amp;C227)*($B227-INDIRECT("B$"&amp;D227))</f>
        <v>55.270172325102877</v>
      </c>
      <c r="N227">
        <f t="shared" ref="N227:N253" ca="1" si="80">INDIRECT("N$"&amp;C227)+INDIRECT("P$"&amp;C227)*($B227-INDIRECT("B$"&amp;D227))</f>
        <v>34.144493312757199</v>
      </c>
    </row>
    <row r="228" spans="1:14" x14ac:dyDescent="0.25">
      <c r="A228" s="4">
        <f t="shared" si="72"/>
        <v>0.43020833333333125</v>
      </c>
      <c r="B228" s="3">
        <f t="shared" si="75"/>
        <v>1553301170</v>
      </c>
      <c r="C228">
        <f t="shared" si="73"/>
        <v>3</v>
      </c>
      <c r="D228">
        <f t="shared" si="74"/>
        <v>138</v>
      </c>
      <c r="E228">
        <f t="shared" ca="1" si="76"/>
        <v>76536.261975100002</v>
      </c>
      <c r="F228">
        <f t="shared" ca="1" si="77"/>
        <v>-64689.878310133332</v>
      </c>
      <c r="G228">
        <f t="shared" ca="1" si="78"/>
        <v>10668</v>
      </c>
      <c r="H228" s="9">
        <f t="shared" ca="1" si="67"/>
        <v>170.07997805444467</v>
      </c>
      <c r="I228" s="9">
        <f t="shared" ca="1" si="68"/>
        <v>-143.75490766518632</v>
      </c>
      <c r="J228" s="9">
        <f t="shared" ca="1" si="69"/>
        <v>0</v>
      </c>
      <c r="K228" s="9">
        <f t="shared" ca="1" si="70"/>
        <v>222.69412298672503</v>
      </c>
      <c r="L228" s="9">
        <f t="shared" ca="1" si="71"/>
        <v>130.20514523201845</v>
      </c>
      <c r="M228">
        <f t="shared" ca="1" si="79"/>
        <v>55.263657407407408</v>
      </c>
      <c r="N228">
        <f t="shared" ca="1" si="80"/>
        <v>34.158101851851853</v>
      </c>
    </row>
    <row r="229" spans="1:14" x14ac:dyDescent="0.25">
      <c r="A229" s="4">
        <f t="shared" si="72"/>
        <v>0.43026620370370161</v>
      </c>
      <c r="B229" s="3">
        <f t="shared" si="75"/>
        <v>1553301175</v>
      </c>
      <c r="C229">
        <f t="shared" si="73"/>
        <v>3</v>
      </c>
      <c r="D229">
        <f t="shared" si="74"/>
        <v>138</v>
      </c>
      <c r="E229">
        <f t="shared" ca="1" si="76"/>
        <v>77386.661865372225</v>
      </c>
      <c r="F229">
        <f t="shared" ca="1" si="77"/>
        <v>-65408.652848459264</v>
      </c>
      <c r="G229">
        <f t="shared" ca="1" si="78"/>
        <v>10668</v>
      </c>
      <c r="H229" s="9">
        <f t="shared" ca="1" si="67"/>
        <v>170.07997805444467</v>
      </c>
      <c r="I229" s="9">
        <f t="shared" ca="1" si="68"/>
        <v>-143.75490766518487</v>
      </c>
      <c r="J229" s="9">
        <f t="shared" ca="1" si="69"/>
        <v>0</v>
      </c>
      <c r="K229" s="9">
        <f t="shared" ca="1" si="70"/>
        <v>222.69412298672412</v>
      </c>
      <c r="L229" s="9">
        <f t="shared" ca="1" si="71"/>
        <v>130.20514523201817</v>
      </c>
      <c r="M229">
        <f t="shared" ca="1" si="79"/>
        <v>55.257142489711931</v>
      </c>
      <c r="N229">
        <f t="shared" ca="1" si="80"/>
        <v>34.171710390946501</v>
      </c>
    </row>
    <row r="230" spans="1:14" x14ac:dyDescent="0.25">
      <c r="A230" s="4">
        <f t="shared" si="72"/>
        <v>0.43032407407407197</v>
      </c>
      <c r="B230" s="3">
        <f t="shared" si="75"/>
        <v>1553301180</v>
      </c>
      <c r="C230">
        <f t="shared" si="73"/>
        <v>3</v>
      </c>
      <c r="D230">
        <f t="shared" si="74"/>
        <v>138</v>
      </c>
      <c r="E230">
        <f t="shared" ca="1" si="76"/>
        <v>78237.061755644449</v>
      </c>
      <c r="F230">
        <f t="shared" ca="1" si="77"/>
        <v>-66127.427386785188</v>
      </c>
      <c r="G230">
        <f t="shared" ca="1" si="78"/>
        <v>10668</v>
      </c>
      <c r="H230" s="9">
        <f t="shared" ca="1" si="67"/>
        <v>170.07997805444467</v>
      </c>
      <c r="I230" s="9">
        <f t="shared" ca="1" si="68"/>
        <v>-143.75490766518342</v>
      </c>
      <c r="J230" s="9">
        <f t="shared" ca="1" si="69"/>
        <v>0</v>
      </c>
      <c r="K230" s="9">
        <f t="shared" ca="1" si="70"/>
        <v>222.69412298672319</v>
      </c>
      <c r="L230" s="9">
        <f t="shared" ca="1" si="71"/>
        <v>130.20514523201786</v>
      </c>
      <c r="M230">
        <f t="shared" ca="1" si="79"/>
        <v>55.250627572016455</v>
      </c>
      <c r="N230">
        <f t="shared" ca="1" si="80"/>
        <v>34.185318930041149</v>
      </c>
    </row>
    <row r="231" spans="1:14" x14ac:dyDescent="0.25">
      <c r="A231" s="4">
        <f t="shared" si="72"/>
        <v>0.43038194444444233</v>
      </c>
      <c r="B231" s="3">
        <f t="shared" si="75"/>
        <v>1553301185</v>
      </c>
      <c r="C231">
        <f t="shared" si="73"/>
        <v>3</v>
      </c>
      <c r="D231">
        <f t="shared" si="74"/>
        <v>138</v>
      </c>
      <c r="E231">
        <f t="shared" ca="1" si="76"/>
        <v>79087.461645916672</v>
      </c>
      <c r="F231">
        <f t="shared" ca="1" si="77"/>
        <v>-66846.201925111105</v>
      </c>
      <c r="G231">
        <f t="shared" ca="1" si="78"/>
        <v>10668</v>
      </c>
      <c r="H231" s="9">
        <f t="shared" ca="1" si="67"/>
        <v>170.07997805444467</v>
      </c>
      <c r="I231" s="9">
        <f t="shared" ca="1" si="68"/>
        <v>-143.75490766518632</v>
      </c>
      <c r="J231" s="9">
        <f t="shared" ca="1" si="69"/>
        <v>0</v>
      </c>
      <c r="K231" s="9">
        <f t="shared" ca="1" si="70"/>
        <v>222.69412298672503</v>
      </c>
      <c r="L231" s="9">
        <f t="shared" ca="1" si="71"/>
        <v>130.20514523201845</v>
      </c>
      <c r="M231">
        <f t="shared" ca="1" si="79"/>
        <v>55.244112654320986</v>
      </c>
      <c r="N231">
        <f t="shared" ca="1" si="80"/>
        <v>34.198927469135803</v>
      </c>
    </row>
    <row r="232" spans="1:14" x14ac:dyDescent="0.25">
      <c r="A232" s="4">
        <f t="shared" si="72"/>
        <v>0.43043981481481269</v>
      </c>
      <c r="B232" s="3">
        <f t="shared" si="75"/>
        <v>1553301190</v>
      </c>
      <c r="C232">
        <f t="shared" si="73"/>
        <v>3</v>
      </c>
      <c r="D232">
        <f t="shared" si="74"/>
        <v>138</v>
      </c>
      <c r="E232">
        <f t="shared" ca="1" si="76"/>
        <v>79937.861536188895</v>
      </c>
      <c r="F232">
        <f t="shared" ca="1" si="77"/>
        <v>-67564.976463437037</v>
      </c>
      <c r="G232">
        <f t="shared" ca="1" si="78"/>
        <v>10668</v>
      </c>
      <c r="H232" s="9">
        <f t="shared" ca="1" si="67"/>
        <v>170.07997805444467</v>
      </c>
      <c r="I232" s="9">
        <f t="shared" ca="1" si="68"/>
        <v>-143.75490766518632</v>
      </c>
      <c r="J232" s="9">
        <f t="shared" ca="1" si="69"/>
        <v>0</v>
      </c>
      <c r="K232" s="9">
        <f t="shared" ca="1" si="70"/>
        <v>222.69412298672503</v>
      </c>
      <c r="L232" s="9">
        <f t="shared" ca="1" si="71"/>
        <v>130.20514523201845</v>
      </c>
      <c r="M232">
        <f t="shared" ca="1" si="79"/>
        <v>55.23759773662551</v>
      </c>
      <c r="N232">
        <f t="shared" ca="1" si="80"/>
        <v>34.212536008230451</v>
      </c>
    </row>
    <row r="233" spans="1:14" x14ac:dyDescent="0.25">
      <c r="A233" s="4">
        <f t="shared" si="72"/>
        <v>0.43049768518518305</v>
      </c>
      <c r="B233" s="3">
        <f t="shared" si="75"/>
        <v>1553301195</v>
      </c>
      <c r="C233">
        <f t="shared" si="73"/>
        <v>3</v>
      </c>
      <c r="D233">
        <f t="shared" si="74"/>
        <v>138</v>
      </c>
      <c r="E233">
        <f t="shared" ca="1" si="76"/>
        <v>80788.261426461118</v>
      </c>
      <c r="F233">
        <f t="shared" ca="1" si="77"/>
        <v>-68283.751001762968</v>
      </c>
      <c r="G233">
        <f t="shared" ca="1" si="78"/>
        <v>10668</v>
      </c>
      <c r="H233" s="9">
        <f t="shared" ref="H233:H247" ca="1" si="81">(E234-E233)/($B234-$B233)</f>
        <v>170.07997805444467</v>
      </c>
      <c r="I233" s="9">
        <f t="shared" ref="I233:I247" ca="1" si="82">(F234-F233)/($B234-$B233)</f>
        <v>-143.75490766518342</v>
      </c>
      <c r="J233" s="9">
        <f t="shared" ref="J233:J247" ca="1" si="83">(G234-G233)/($B234-$B233)</f>
        <v>0</v>
      </c>
      <c r="K233" s="9">
        <f t="shared" ref="K233:K247" ca="1" si="84">SQRT(H233*H233+I233*I233)</f>
        <v>222.69412298672319</v>
      </c>
      <c r="L233" s="9">
        <f t="shared" ref="L233:L247" ca="1" si="85">DEGREES(ATAN2(I233,H233))</f>
        <v>130.20514523201786</v>
      </c>
      <c r="M233">
        <f t="shared" ca="1" si="79"/>
        <v>55.231082818930041</v>
      </c>
      <c r="N233">
        <f t="shared" ca="1" si="80"/>
        <v>34.226144547325099</v>
      </c>
    </row>
    <row r="234" spans="1:14" x14ac:dyDescent="0.25">
      <c r="A234" s="4">
        <f t="shared" si="72"/>
        <v>0.43055555555555342</v>
      </c>
      <c r="B234" s="3">
        <f t="shared" si="75"/>
        <v>1553301200</v>
      </c>
      <c r="C234">
        <f t="shared" si="73"/>
        <v>3</v>
      </c>
      <c r="D234">
        <f t="shared" si="74"/>
        <v>138</v>
      </c>
      <c r="E234">
        <f t="shared" ca="1" si="76"/>
        <v>81638.661316733342</v>
      </c>
      <c r="F234">
        <f t="shared" ca="1" si="77"/>
        <v>-69002.525540088885</v>
      </c>
      <c r="G234">
        <f t="shared" ca="1" si="78"/>
        <v>10668</v>
      </c>
      <c r="H234" s="9">
        <f t="shared" ca="1" si="81"/>
        <v>170.07997805444467</v>
      </c>
      <c r="I234" s="9">
        <f t="shared" ca="1" si="82"/>
        <v>-143.75490766518632</v>
      </c>
      <c r="J234" s="9">
        <f t="shared" ca="1" si="83"/>
        <v>0</v>
      </c>
      <c r="K234" s="9">
        <f t="shared" ca="1" si="84"/>
        <v>222.69412298672503</v>
      </c>
      <c r="L234" s="9">
        <f t="shared" ca="1" si="85"/>
        <v>130.20514523201845</v>
      </c>
      <c r="M234">
        <f t="shared" ca="1" si="79"/>
        <v>55.224567901234565</v>
      </c>
      <c r="N234">
        <f t="shared" ca="1" si="80"/>
        <v>34.239753086419753</v>
      </c>
    </row>
    <row r="235" spans="1:14" x14ac:dyDescent="0.25">
      <c r="A235" s="4">
        <f t="shared" si="72"/>
        <v>0.43061342592592378</v>
      </c>
      <c r="B235" s="3">
        <f t="shared" si="75"/>
        <v>1553301205</v>
      </c>
      <c r="C235">
        <f t="shared" si="73"/>
        <v>3</v>
      </c>
      <c r="D235">
        <f t="shared" si="74"/>
        <v>138</v>
      </c>
      <c r="E235">
        <f t="shared" ca="1" si="76"/>
        <v>82489.061207005565</v>
      </c>
      <c r="F235">
        <f t="shared" ca="1" si="77"/>
        <v>-69721.300078414817</v>
      </c>
      <c r="G235">
        <f t="shared" ca="1" si="78"/>
        <v>10668</v>
      </c>
      <c r="H235" s="9">
        <f t="shared" ca="1" si="81"/>
        <v>170.07997805444467</v>
      </c>
      <c r="I235" s="9">
        <f t="shared" ca="1" si="82"/>
        <v>-143.75490766518632</v>
      </c>
      <c r="J235" s="9">
        <f t="shared" ca="1" si="83"/>
        <v>0</v>
      </c>
      <c r="K235" s="9">
        <f t="shared" ca="1" si="84"/>
        <v>222.69412298672503</v>
      </c>
      <c r="L235" s="9">
        <f t="shared" ca="1" si="85"/>
        <v>130.20514523201845</v>
      </c>
      <c r="M235">
        <f t="shared" ca="1" si="79"/>
        <v>55.218052983539096</v>
      </c>
      <c r="N235">
        <f t="shared" ca="1" si="80"/>
        <v>34.253361625514401</v>
      </c>
    </row>
    <row r="236" spans="1:14" x14ac:dyDescent="0.25">
      <c r="A236" s="4">
        <f t="shared" si="72"/>
        <v>0.43067129629629414</v>
      </c>
      <c r="B236" s="3">
        <f t="shared" si="75"/>
        <v>1553301210</v>
      </c>
      <c r="C236">
        <f t="shared" si="73"/>
        <v>3</v>
      </c>
      <c r="D236">
        <f t="shared" si="74"/>
        <v>138</v>
      </c>
      <c r="E236">
        <f t="shared" ca="1" si="76"/>
        <v>83339.461097277788</v>
      </c>
      <c r="F236">
        <f t="shared" ca="1" si="77"/>
        <v>-70440.074616740749</v>
      </c>
      <c r="G236">
        <f t="shared" ca="1" si="78"/>
        <v>10668</v>
      </c>
      <c r="H236" s="9">
        <f t="shared" ca="1" si="81"/>
        <v>170.07997805444467</v>
      </c>
      <c r="I236" s="9">
        <f t="shared" ca="1" si="82"/>
        <v>-143.75490766518342</v>
      </c>
      <c r="J236" s="9">
        <f t="shared" ca="1" si="83"/>
        <v>0</v>
      </c>
      <c r="K236" s="9">
        <f t="shared" ca="1" si="84"/>
        <v>222.69412298672319</v>
      </c>
      <c r="L236" s="9">
        <f t="shared" ca="1" si="85"/>
        <v>130.20514523201786</v>
      </c>
      <c r="M236">
        <f t="shared" ca="1" si="79"/>
        <v>55.211538065843619</v>
      </c>
      <c r="N236">
        <f t="shared" ca="1" si="80"/>
        <v>34.266970164609049</v>
      </c>
    </row>
    <row r="237" spans="1:14" x14ac:dyDescent="0.25">
      <c r="A237" s="4">
        <f t="shared" si="72"/>
        <v>0.4307291666666645</v>
      </c>
      <c r="B237" s="3">
        <f t="shared" si="75"/>
        <v>1553301215</v>
      </c>
      <c r="C237">
        <f t="shared" si="73"/>
        <v>3</v>
      </c>
      <c r="D237">
        <f t="shared" si="74"/>
        <v>138</v>
      </c>
      <c r="E237">
        <f t="shared" ca="1" si="76"/>
        <v>84189.860987550011</v>
      </c>
      <c r="F237">
        <f t="shared" ca="1" si="77"/>
        <v>-71158.849155066666</v>
      </c>
      <c r="G237">
        <f t="shared" ca="1" si="78"/>
        <v>10668</v>
      </c>
      <c r="H237" s="9">
        <f t="shared" ca="1" si="81"/>
        <v>170.07997805444467</v>
      </c>
      <c r="I237" s="9">
        <f t="shared" ca="1" si="82"/>
        <v>-143.75490766518632</v>
      </c>
      <c r="J237" s="9">
        <f t="shared" ca="1" si="83"/>
        <v>0</v>
      </c>
      <c r="K237" s="9">
        <f t="shared" ca="1" si="84"/>
        <v>222.69412298672503</v>
      </c>
      <c r="L237" s="9">
        <f t="shared" ca="1" si="85"/>
        <v>130.20514523201845</v>
      </c>
      <c r="M237">
        <f t="shared" ca="1" si="79"/>
        <v>55.205023148148143</v>
      </c>
      <c r="N237">
        <f t="shared" ca="1" si="80"/>
        <v>34.280578703703704</v>
      </c>
    </row>
    <row r="238" spans="1:14" x14ac:dyDescent="0.25">
      <c r="A238" s="4">
        <f t="shared" si="72"/>
        <v>0.43078703703703486</v>
      </c>
      <c r="B238" s="3">
        <f t="shared" si="75"/>
        <v>1553301220</v>
      </c>
      <c r="C238">
        <f t="shared" si="73"/>
        <v>3</v>
      </c>
      <c r="D238">
        <f t="shared" si="74"/>
        <v>138</v>
      </c>
      <c r="E238">
        <f t="shared" ca="1" si="76"/>
        <v>85040.260877822235</v>
      </c>
      <c r="F238">
        <f t="shared" ca="1" si="77"/>
        <v>-71877.623693392597</v>
      </c>
      <c r="G238">
        <f t="shared" ca="1" si="78"/>
        <v>10668</v>
      </c>
      <c r="H238" s="9">
        <f t="shared" ca="1" si="81"/>
        <v>170.07997805444174</v>
      </c>
      <c r="I238" s="9">
        <f t="shared" ca="1" si="82"/>
        <v>-143.75490766518342</v>
      </c>
      <c r="J238" s="9">
        <f t="shared" ca="1" si="83"/>
        <v>0</v>
      </c>
      <c r="K238" s="9">
        <f t="shared" ca="1" si="84"/>
        <v>222.69412298672094</v>
      </c>
      <c r="L238" s="9">
        <f t="shared" ca="1" si="85"/>
        <v>130.20514523201837</v>
      </c>
      <c r="M238">
        <f t="shared" ca="1" si="79"/>
        <v>55.198508230452674</v>
      </c>
      <c r="N238">
        <f t="shared" ca="1" si="80"/>
        <v>34.294187242798351</v>
      </c>
    </row>
    <row r="239" spans="1:14" x14ac:dyDescent="0.25">
      <c r="A239" s="4">
        <f t="shared" si="72"/>
        <v>0.43084490740740522</v>
      </c>
      <c r="B239" s="3">
        <f t="shared" si="75"/>
        <v>1553301225</v>
      </c>
      <c r="C239">
        <f t="shared" si="73"/>
        <v>3</v>
      </c>
      <c r="D239">
        <f t="shared" si="74"/>
        <v>138</v>
      </c>
      <c r="E239">
        <f t="shared" ca="1" si="76"/>
        <v>85890.660768094443</v>
      </c>
      <c r="F239">
        <f t="shared" ca="1" si="77"/>
        <v>-72596.398231718515</v>
      </c>
      <c r="G239">
        <f t="shared" ca="1" si="78"/>
        <v>10668</v>
      </c>
      <c r="H239" s="9">
        <f t="shared" ca="1" si="81"/>
        <v>170.07997805444467</v>
      </c>
      <c r="I239" s="9">
        <f t="shared" ca="1" si="82"/>
        <v>-143.75490766518632</v>
      </c>
      <c r="J239" s="9">
        <f t="shared" ca="1" si="83"/>
        <v>0</v>
      </c>
      <c r="K239" s="9">
        <f t="shared" ca="1" si="84"/>
        <v>222.69412298672503</v>
      </c>
      <c r="L239" s="9">
        <f t="shared" ca="1" si="85"/>
        <v>130.20514523201845</v>
      </c>
      <c r="M239">
        <f t="shared" ca="1" si="79"/>
        <v>55.191993312757198</v>
      </c>
      <c r="N239">
        <f t="shared" ca="1" si="80"/>
        <v>34.307795781892999</v>
      </c>
    </row>
    <row r="240" spans="1:14" x14ac:dyDescent="0.25">
      <c r="A240" s="4">
        <f t="shared" si="72"/>
        <v>0.43090277777777558</v>
      </c>
      <c r="B240" s="3">
        <f t="shared" si="75"/>
        <v>1553301230</v>
      </c>
      <c r="C240">
        <f t="shared" si="73"/>
        <v>3</v>
      </c>
      <c r="D240">
        <f t="shared" si="74"/>
        <v>138</v>
      </c>
      <c r="E240">
        <f t="shared" ca="1" si="76"/>
        <v>86741.060658366667</v>
      </c>
      <c r="F240">
        <f t="shared" ca="1" si="77"/>
        <v>-73315.172770044446</v>
      </c>
      <c r="G240">
        <f t="shared" ca="1" si="78"/>
        <v>10668</v>
      </c>
      <c r="H240" s="9">
        <f t="shared" ca="1" si="81"/>
        <v>170.07997805444467</v>
      </c>
      <c r="I240" s="9">
        <f t="shared" ca="1" si="82"/>
        <v>-143.75490766518632</v>
      </c>
      <c r="J240" s="9">
        <f t="shared" ca="1" si="83"/>
        <v>0</v>
      </c>
      <c r="K240" s="9">
        <f t="shared" ca="1" si="84"/>
        <v>222.69412298672503</v>
      </c>
      <c r="L240" s="9">
        <f t="shared" ca="1" si="85"/>
        <v>130.20514523201845</v>
      </c>
      <c r="M240">
        <f t="shared" ca="1" si="79"/>
        <v>55.185478395061729</v>
      </c>
      <c r="N240">
        <f t="shared" ca="1" si="80"/>
        <v>34.321404320987654</v>
      </c>
    </row>
    <row r="241" spans="1:14" x14ac:dyDescent="0.25">
      <c r="A241" s="4">
        <f t="shared" si="72"/>
        <v>0.43096064814814594</v>
      </c>
      <c r="B241" s="3">
        <f t="shared" si="75"/>
        <v>1553301235</v>
      </c>
      <c r="C241">
        <f t="shared" si="73"/>
        <v>3</v>
      </c>
      <c r="D241">
        <f t="shared" si="74"/>
        <v>138</v>
      </c>
      <c r="E241">
        <f t="shared" ca="1" si="76"/>
        <v>87591.46054863889</v>
      </c>
      <c r="F241">
        <f t="shared" ca="1" si="77"/>
        <v>-74033.947308370378</v>
      </c>
      <c r="G241">
        <f t="shared" ca="1" si="78"/>
        <v>10668</v>
      </c>
      <c r="H241" s="9">
        <f t="shared" ca="1" si="81"/>
        <v>170.07997805444467</v>
      </c>
      <c r="I241" s="9">
        <f t="shared" ca="1" si="82"/>
        <v>-143.75490766518342</v>
      </c>
      <c r="J241" s="9">
        <f t="shared" ca="1" si="83"/>
        <v>0</v>
      </c>
      <c r="K241" s="9">
        <f t="shared" ca="1" si="84"/>
        <v>222.69412298672319</v>
      </c>
      <c r="L241" s="9">
        <f t="shared" ca="1" si="85"/>
        <v>130.20514523201786</v>
      </c>
      <c r="M241">
        <f t="shared" ca="1" si="79"/>
        <v>55.178963477366253</v>
      </c>
      <c r="N241">
        <f t="shared" ca="1" si="80"/>
        <v>34.335012860082301</v>
      </c>
    </row>
    <row r="242" spans="1:14" x14ac:dyDescent="0.25">
      <c r="A242" s="4">
        <f t="shared" si="72"/>
        <v>0.4310185185185163</v>
      </c>
      <c r="B242" s="3">
        <f t="shared" si="75"/>
        <v>1553301240</v>
      </c>
      <c r="C242">
        <f t="shared" si="73"/>
        <v>3</v>
      </c>
      <c r="D242">
        <f t="shared" si="74"/>
        <v>138</v>
      </c>
      <c r="E242">
        <f t="shared" ca="1" si="76"/>
        <v>88441.860438911113</v>
      </c>
      <c r="F242">
        <f t="shared" ca="1" si="77"/>
        <v>-74752.721846696295</v>
      </c>
      <c r="G242">
        <f t="shared" ca="1" si="78"/>
        <v>10668</v>
      </c>
      <c r="H242" s="9">
        <f t="shared" ca="1" si="81"/>
        <v>170.07997805444467</v>
      </c>
      <c r="I242" s="9">
        <f t="shared" ca="1" si="82"/>
        <v>-143.75490766518632</v>
      </c>
      <c r="J242" s="9">
        <f t="shared" ca="1" si="83"/>
        <v>0</v>
      </c>
      <c r="K242" s="9">
        <f t="shared" ca="1" si="84"/>
        <v>222.69412298672503</v>
      </c>
      <c r="L242" s="9">
        <f t="shared" ca="1" si="85"/>
        <v>130.20514523201845</v>
      </c>
      <c r="M242">
        <f t="shared" ca="1" si="79"/>
        <v>55.172448559670777</v>
      </c>
      <c r="N242">
        <f t="shared" ca="1" si="80"/>
        <v>34.348621399176956</v>
      </c>
    </row>
    <row r="243" spans="1:14" x14ac:dyDescent="0.25">
      <c r="A243" s="4">
        <f t="shared" si="72"/>
        <v>0.43107638888888666</v>
      </c>
      <c r="B243" s="3">
        <f t="shared" si="75"/>
        <v>1553301245</v>
      </c>
      <c r="C243">
        <f t="shared" si="73"/>
        <v>3</v>
      </c>
      <c r="D243">
        <f t="shared" si="74"/>
        <v>138</v>
      </c>
      <c r="E243">
        <f t="shared" ca="1" si="76"/>
        <v>89292.260329183337</v>
      </c>
      <c r="F243">
        <f t="shared" ca="1" si="77"/>
        <v>-75471.496385022227</v>
      </c>
      <c r="G243">
        <f t="shared" ca="1" si="78"/>
        <v>10668</v>
      </c>
      <c r="H243" s="9">
        <f t="shared" ca="1" si="81"/>
        <v>170.07997805444467</v>
      </c>
      <c r="I243" s="9">
        <f t="shared" ca="1" si="82"/>
        <v>-143.75490766518342</v>
      </c>
      <c r="J243" s="9">
        <f t="shared" ca="1" si="83"/>
        <v>0</v>
      </c>
      <c r="K243" s="9">
        <f t="shared" ca="1" si="84"/>
        <v>222.69412298672319</v>
      </c>
      <c r="L243" s="9">
        <f t="shared" ca="1" si="85"/>
        <v>130.20514523201786</v>
      </c>
      <c r="M243">
        <f t="shared" ca="1" si="79"/>
        <v>55.165933641975307</v>
      </c>
      <c r="N243">
        <f t="shared" ca="1" si="80"/>
        <v>34.362229938271604</v>
      </c>
    </row>
    <row r="244" spans="1:14" x14ac:dyDescent="0.25">
      <c r="A244" s="4">
        <f t="shared" si="72"/>
        <v>0.43113425925925702</v>
      </c>
      <c r="B244" s="3">
        <f t="shared" si="75"/>
        <v>1553301250</v>
      </c>
      <c r="C244">
        <f t="shared" si="73"/>
        <v>3</v>
      </c>
      <c r="D244">
        <f t="shared" si="74"/>
        <v>138</v>
      </c>
      <c r="E244">
        <f t="shared" ca="1" si="76"/>
        <v>90142.66021945556</v>
      </c>
      <c r="F244">
        <f t="shared" ca="1" si="77"/>
        <v>-76190.270923348144</v>
      </c>
      <c r="G244">
        <f t="shared" ca="1" si="78"/>
        <v>10668</v>
      </c>
      <c r="H244" s="9">
        <f t="shared" ca="1" si="81"/>
        <v>170.07997805444467</v>
      </c>
      <c r="I244" s="9">
        <f t="shared" ca="1" si="82"/>
        <v>-143.75490766518632</v>
      </c>
      <c r="J244" s="9">
        <f t="shared" ca="1" si="83"/>
        <v>0</v>
      </c>
      <c r="K244" s="9">
        <f t="shared" ca="1" si="84"/>
        <v>222.69412298672503</v>
      </c>
      <c r="L244" s="9">
        <f t="shared" ca="1" si="85"/>
        <v>130.20514523201845</v>
      </c>
      <c r="M244">
        <f t="shared" ca="1" si="79"/>
        <v>55.159418724279831</v>
      </c>
      <c r="N244">
        <f t="shared" ca="1" si="80"/>
        <v>34.375838477366251</v>
      </c>
    </row>
    <row r="245" spans="1:14" x14ac:dyDescent="0.25">
      <c r="A245" s="4">
        <f t="shared" si="72"/>
        <v>0.43119212962962739</v>
      </c>
      <c r="B245" s="3">
        <f t="shared" si="75"/>
        <v>1553301255</v>
      </c>
      <c r="C245">
        <f t="shared" si="73"/>
        <v>3</v>
      </c>
      <c r="D245">
        <f t="shared" si="74"/>
        <v>138</v>
      </c>
      <c r="E245">
        <f t="shared" ca="1" si="76"/>
        <v>90993.060109727783</v>
      </c>
      <c r="F245">
        <f t="shared" ca="1" si="77"/>
        <v>-76909.045461674075</v>
      </c>
      <c r="G245">
        <f t="shared" ca="1" si="78"/>
        <v>10668</v>
      </c>
      <c r="H245" s="9">
        <f t="shared" ca="1" si="81"/>
        <v>170.07997805444467</v>
      </c>
      <c r="I245" s="9">
        <f t="shared" ca="1" si="82"/>
        <v>-143.75490766518632</v>
      </c>
      <c r="J245" s="9">
        <f t="shared" ca="1" si="83"/>
        <v>0</v>
      </c>
      <c r="K245" s="9">
        <f t="shared" ca="1" si="84"/>
        <v>222.69412298672503</v>
      </c>
      <c r="L245" s="9">
        <f t="shared" ca="1" si="85"/>
        <v>130.20514523201845</v>
      </c>
      <c r="M245">
        <f t="shared" ca="1" si="79"/>
        <v>55.152903806584362</v>
      </c>
      <c r="N245">
        <f t="shared" ca="1" si="80"/>
        <v>34.389447016460906</v>
      </c>
    </row>
    <row r="246" spans="1:14" x14ac:dyDescent="0.25">
      <c r="A246" s="5">
        <f t="shared" si="72"/>
        <v>0.43124999999999775</v>
      </c>
      <c r="B246" s="3">
        <f t="shared" si="75"/>
        <v>1553301260</v>
      </c>
      <c r="C246">
        <f t="shared" si="73"/>
        <v>3</v>
      </c>
      <c r="D246">
        <f t="shared" si="74"/>
        <v>138</v>
      </c>
      <c r="E246">
        <f t="shared" ca="1" si="76"/>
        <v>91843.46</v>
      </c>
      <c r="F246">
        <f t="shared" ca="1" si="77"/>
        <v>-77627.820000000007</v>
      </c>
      <c r="G246">
        <f t="shared" ca="1" si="78"/>
        <v>10668</v>
      </c>
      <c r="H246" s="9">
        <f t="shared" ca="1" si="81"/>
        <v>170.07997805444467</v>
      </c>
      <c r="I246" s="9">
        <f t="shared" ca="1" si="82"/>
        <v>-143.75490766518342</v>
      </c>
      <c r="J246" s="9">
        <f t="shared" ca="1" si="83"/>
        <v>0</v>
      </c>
      <c r="K246" s="9">
        <f t="shared" ca="1" si="84"/>
        <v>222.69412298672319</v>
      </c>
      <c r="L246" s="9">
        <f t="shared" ca="1" si="85"/>
        <v>130.20514523201786</v>
      </c>
      <c r="M246">
        <f t="shared" ca="1" si="79"/>
        <v>55.146388888888886</v>
      </c>
      <c r="N246">
        <f t="shared" ca="1" si="80"/>
        <v>34.403055555555554</v>
      </c>
    </row>
    <row r="247" spans="1:14" x14ac:dyDescent="0.25">
      <c r="A247" s="4">
        <f t="shared" si="72"/>
        <v>0.43130787037036811</v>
      </c>
      <c r="B247" s="3">
        <f t="shared" si="75"/>
        <v>1553301265</v>
      </c>
      <c r="C247">
        <f t="shared" si="73"/>
        <v>3</v>
      </c>
      <c r="D247">
        <f t="shared" si="74"/>
        <v>138</v>
      </c>
      <c r="E247">
        <f t="shared" ca="1" si="76"/>
        <v>92693.85989027223</v>
      </c>
      <c r="F247">
        <f t="shared" ca="1" si="77"/>
        <v>-78346.594538325924</v>
      </c>
      <c r="G247">
        <f t="shared" ca="1" si="78"/>
        <v>10668</v>
      </c>
      <c r="H247" s="9">
        <f t="shared" ca="1" si="81"/>
        <v>5.9675390717120306E-5</v>
      </c>
      <c r="I247" s="9">
        <f t="shared" ca="1" si="82"/>
        <v>-5.0438763106476915E-5</v>
      </c>
      <c r="J247" s="9">
        <f t="shared" ca="1" si="83"/>
        <v>6.8679529466551998E-6</v>
      </c>
      <c r="K247" s="9">
        <f t="shared" ca="1" si="84"/>
        <v>7.8135914155734207E-5</v>
      </c>
      <c r="L247" s="9">
        <f t="shared" ca="1" si="85"/>
        <v>130.20512363076384</v>
      </c>
      <c r="M247">
        <f t="shared" ca="1" si="79"/>
        <v>55.13987397119341</v>
      </c>
      <c r="N247">
        <f t="shared" ca="1" si="80"/>
        <v>34.416664094650201</v>
      </c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253"/>
  <sheetViews>
    <sheetView workbookViewId="0">
      <selection activeCell="O123" sqref="O12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>
        <v>424202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0.41805555555555557</v>
      </c>
      <c r="B2" s="6" t="s">
        <v>84</v>
      </c>
      <c r="C2" s="7">
        <v>350</v>
      </c>
      <c r="D2" s="7"/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10668</v>
      </c>
      <c r="H2" s="9">
        <f t="shared" ref="H2:J3" si="0">(E3-E2)/(MINUTE($A3-$A2)*60+SECOND($A3-$A2))</f>
        <v>215.795619751</v>
      </c>
      <c r="I2" s="9">
        <f t="shared" si="0"/>
        <v>104.98718356533334</v>
      </c>
      <c r="J2" s="9">
        <f t="shared" si="0"/>
        <v>0</v>
      </c>
      <c r="K2" s="9">
        <f>SQRT(H2*H2+I2*I2)</f>
        <v>239.9792870576525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9.5000000000000043E-4</v>
      </c>
      <c r="P2" s="10">
        <f>(N3-N2)/(MINUTE($A3-$A2)*60+SECOND($A3-$A2))</f>
        <v>3.4532407407407342E-3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208.30121358233333</v>
      </c>
      <c r="I3" s="9">
        <f t="shared" si="0"/>
        <v>124.763099768</v>
      </c>
      <c r="J3" s="9">
        <f t="shared" si="0"/>
        <v>0</v>
      </c>
      <c r="K3" s="9">
        <f>SQRT(H3*H3+I3*I3)</f>
        <v>242.80697404233013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1.1111111111111072E-3</v>
      </c>
      <c r="P3" s="10">
        <f>(N4-N3)/(MINUTE($A4-$A3)*60+SECOND($A4-$A3))</f>
        <v>3.3333333333333335E-3</v>
      </c>
    </row>
    <row r="4" spans="1:16" x14ac:dyDescent="0.25">
      <c r="A4" s="5">
        <v>0.43194444444444446</v>
      </c>
      <c r="B4" s="6" t="s">
        <v>93</v>
      </c>
      <c r="C4" s="7">
        <v>350</v>
      </c>
      <c r="D4" s="7"/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10668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0.41805555555555557</v>
      </c>
      <c r="B6" s="3">
        <f>Params!D29+MINUTE(A6-Params!C29)*60+SECOND(A6-Params!C29)</f>
        <v>1553300120</v>
      </c>
      <c r="C6">
        <v>2</v>
      </c>
      <c r="D6">
        <f>ROW()</f>
        <v>6</v>
      </c>
      <c r="E6">
        <f ca="1">INDIRECT("E$"&amp;C6)+INDIRECT("H$"&amp;C6)*($B6-INDIRECT("B$"&amp;D6))</f>
        <v>-129477.1</v>
      </c>
      <c r="F6">
        <f ca="1">INDIRECT("F$"&amp;C6)+INDIRECT("I$"&amp;C6)*($B6-INDIRECT("B$"&amp;D6))</f>
        <v>-62992.480000000003</v>
      </c>
      <c r="G6">
        <f ca="1">INDIRECT("G$"&amp;C6)+INDIRECT("J$"&amp;C6)*($B6-INDIRECT("B$"&amp;D6))</f>
        <v>10668</v>
      </c>
      <c r="H6" s="9">
        <f ca="1">(E7-E6)/($B7-$B6)</f>
        <v>215.79561975100077</v>
      </c>
      <c r="I6" s="9">
        <f ca="1">(F7-F6)/($B7-$B6)</f>
        <v>104.98718356533354</v>
      </c>
      <c r="J6" s="9">
        <f ca="1">(G7-G6)/($B7-$B6)</f>
        <v>0</v>
      </c>
      <c r="K6" s="9">
        <f ca="1">SQRT(H6*H6+I6*I6)</f>
        <v>239.97928705765329</v>
      </c>
      <c r="L6" s="9">
        <f ca="1">DEGREES(ATAN2(I6,H6))</f>
        <v>64.056517093079492</v>
      </c>
      <c r="M6">
        <f ca="1">INDIRECT("M$"&amp;C6)+INDIRECT("O$"&amp;C6)*($B6-INDIRECT("B$"&amp;D6))</f>
        <v>55.28</v>
      </c>
      <c r="N6">
        <f ca="1">INDIRECT("N$"&amp;C6)+INDIRECT("P$"&amp;C6)*($B6-INDIRECT("B$"&amp;D6))</f>
        <v>30.861388888888889</v>
      </c>
      <c r="P6" s="3"/>
    </row>
    <row r="7" spans="1:16" x14ac:dyDescent="0.25">
      <c r="A7" s="4">
        <f>A6+5/24/3600</f>
        <v>0.41811342592592593</v>
      </c>
      <c r="B7" s="3">
        <f>B6+SECOND(A7-A6)</f>
        <v>1553300125</v>
      </c>
      <c r="C7">
        <f>C6</f>
        <v>2</v>
      </c>
      <c r="D7">
        <f>D6</f>
        <v>6</v>
      </c>
      <c r="E7">
        <f ca="1">INDIRECT("E$"&amp;C7)+INDIRECT("H$"&amp;C7)*($B7-INDIRECT("B$"&amp;D7))</f>
        <v>-128398.121901245</v>
      </c>
      <c r="F7">
        <f ca="1">INDIRECT("F$"&amp;C7)+INDIRECT("I$"&amp;C7)*($B7-INDIRECT("B$"&amp;D7))</f>
        <v>-62467.544082173335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215.79561975099787</v>
      </c>
      <c r="I7" s="9">
        <f t="shared" ca="1" si="2"/>
        <v>104.98718356533354</v>
      </c>
      <c r="J7" s="9">
        <f t="shared" ca="1" si="2"/>
        <v>0</v>
      </c>
      <c r="K7" s="9">
        <f t="shared" ref="K7:K70" ca="1" si="3">SQRT(H7*H7+I7*I7)</f>
        <v>239.97928705765068</v>
      </c>
      <c r="L7" s="9">
        <f t="shared" ref="L7:L70" ca="1" si="4">DEGREES(ATAN2(I7,H7))</f>
        <v>64.056517093079194</v>
      </c>
      <c r="M7">
        <f ca="1">INDIRECT("M$"&amp;C7)+INDIRECT("O$"&amp;C7)*($B7-INDIRECT("B$"&amp;D7))</f>
        <v>55.284750000000003</v>
      </c>
      <c r="N7">
        <f ca="1">INDIRECT("N$"&amp;C7)+INDIRECT("P$"&amp;C7)*($B7-INDIRECT("B$"&amp;D7))</f>
        <v>30.878655092592592</v>
      </c>
      <c r="P7" s="3"/>
    </row>
    <row r="8" spans="1:16" x14ac:dyDescent="0.25">
      <c r="A8" s="4">
        <f>A7+5/24/3600</f>
        <v>0.41817129629629629</v>
      </c>
      <c r="B8" s="3">
        <f>B7+SECOND(A8-A7)</f>
        <v>1553300130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-127319.14380249001</v>
      </c>
      <c r="F8">
        <f t="shared" ref="F8:F33" ca="1" si="7">INDIRECT("F$"&amp;C8)+INDIRECT("I$"&amp;C8)*($B8-INDIRECT("B$"&amp;D8))</f>
        <v>-61942.608164346668</v>
      </c>
      <c r="G8">
        <f t="shared" ca="1" si="1"/>
        <v>10668</v>
      </c>
      <c r="H8" s="9">
        <f t="shared" ca="1" si="2"/>
        <v>215.79561975100077</v>
      </c>
      <c r="I8" s="9">
        <f t="shared" ca="1" si="2"/>
        <v>104.98718356533354</v>
      </c>
      <c r="J8" s="9">
        <f t="shared" ca="1" si="2"/>
        <v>0</v>
      </c>
      <c r="K8" s="9">
        <f t="shared" ca="1" si="3"/>
        <v>239.97928705765329</v>
      </c>
      <c r="L8" s="9">
        <f t="shared" ca="1" si="4"/>
        <v>64.056517093079492</v>
      </c>
      <c r="M8">
        <f t="shared" ref="M8:M71" ca="1" si="8">INDIRECT("M$"&amp;C8)+INDIRECT("O$"&amp;C8)*($B8-INDIRECT("B$"&amp;D8))</f>
        <v>55.289500000000004</v>
      </c>
      <c r="N8">
        <f t="shared" ref="N8:N71" ca="1" si="9">INDIRECT("N$"&amp;C8)+INDIRECT("P$"&amp;C8)*($B8-INDIRECT("B$"&amp;D8))</f>
        <v>30.895921296296297</v>
      </c>
      <c r="P8" s="3"/>
    </row>
    <row r="9" spans="1:16" x14ac:dyDescent="0.25">
      <c r="A9" s="4">
        <f t="shared" ref="A9:A72" si="10">A8+5/24/3600</f>
        <v>0.41822916666666665</v>
      </c>
      <c r="B9" s="3">
        <f t="shared" ref="B9:B72" si="11">B8+SECOND(A9-A8)</f>
        <v>1553300135</v>
      </c>
      <c r="C9">
        <f t="shared" si="5"/>
        <v>2</v>
      </c>
      <c r="D9">
        <f t="shared" si="5"/>
        <v>6</v>
      </c>
      <c r="E9">
        <f t="shared" ca="1" si="6"/>
        <v>-126240.16570373501</v>
      </c>
      <c r="F9">
        <f t="shared" ca="1" si="7"/>
        <v>-61417.67224652</v>
      </c>
      <c r="G9">
        <f t="shared" ca="1" si="1"/>
        <v>10668</v>
      </c>
      <c r="H9" s="9">
        <f t="shared" ca="1" si="2"/>
        <v>215.79561975100077</v>
      </c>
      <c r="I9" s="9">
        <f t="shared" ca="1" si="2"/>
        <v>104.98718356533209</v>
      </c>
      <c r="J9" s="9">
        <f t="shared" ca="1" si="2"/>
        <v>0</v>
      </c>
      <c r="K9" s="9">
        <f t="shared" ca="1" si="3"/>
        <v>239.97928705765264</v>
      </c>
      <c r="L9" s="9">
        <f t="shared" ca="1" si="4"/>
        <v>64.056517093079805</v>
      </c>
      <c r="M9">
        <f t="shared" ca="1" si="8"/>
        <v>55.294249999999998</v>
      </c>
      <c r="N9">
        <f t="shared" ca="1" si="9"/>
        <v>30.913187499999999</v>
      </c>
    </row>
    <row r="10" spans="1:16" x14ac:dyDescent="0.25">
      <c r="A10" s="4">
        <f t="shared" si="10"/>
        <v>0.41828703703703701</v>
      </c>
      <c r="B10" s="3">
        <f t="shared" si="11"/>
        <v>1553300140</v>
      </c>
      <c r="C10">
        <f t="shared" si="5"/>
        <v>2</v>
      </c>
      <c r="D10">
        <f t="shared" si="5"/>
        <v>6</v>
      </c>
      <c r="E10">
        <f t="shared" ca="1" si="6"/>
        <v>-125161.18760498</v>
      </c>
      <c r="F10">
        <f t="shared" ca="1" si="7"/>
        <v>-60892.73632869334</v>
      </c>
      <c r="G10">
        <f t="shared" ca="1" si="1"/>
        <v>10668</v>
      </c>
      <c r="H10" s="9">
        <f t="shared" ca="1" si="2"/>
        <v>215.79561975100077</v>
      </c>
      <c r="I10" s="9">
        <f t="shared" ca="1" si="2"/>
        <v>104.98718356533354</v>
      </c>
      <c r="J10" s="9">
        <f t="shared" ca="1" si="2"/>
        <v>0</v>
      </c>
      <c r="K10" s="9">
        <f t="shared" ca="1" si="3"/>
        <v>239.97928705765329</v>
      </c>
      <c r="L10" s="9">
        <f t="shared" ca="1" si="4"/>
        <v>64.056517093079492</v>
      </c>
      <c r="M10">
        <f t="shared" ca="1" si="8"/>
        <v>55.298999999999999</v>
      </c>
      <c r="N10">
        <f t="shared" ca="1" si="9"/>
        <v>30.930453703703705</v>
      </c>
      <c r="P10" s="9"/>
    </row>
    <row r="11" spans="1:16" x14ac:dyDescent="0.25">
      <c r="A11" s="4">
        <f t="shared" si="10"/>
        <v>0.41834490740740737</v>
      </c>
      <c r="B11" s="3">
        <f t="shared" si="11"/>
        <v>1553300145</v>
      </c>
      <c r="C11">
        <f t="shared" si="5"/>
        <v>2</v>
      </c>
      <c r="D11">
        <f t="shared" si="5"/>
        <v>6</v>
      </c>
      <c r="E11">
        <f t="shared" ca="1" si="6"/>
        <v>-124082.209506225</v>
      </c>
      <c r="F11">
        <f t="shared" ca="1" si="7"/>
        <v>-60367.800410866672</v>
      </c>
      <c r="G11">
        <f t="shared" ca="1" si="1"/>
        <v>10668</v>
      </c>
      <c r="H11" s="9">
        <f t="shared" ca="1" si="2"/>
        <v>215.79561975099787</v>
      </c>
      <c r="I11" s="9">
        <f t="shared" ca="1" si="2"/>
        <v>104.98718356533354</v>
      </c>
      <c r="J11" s="9">
        <f t="shared" ca="1" si="2"/>
        <v>0</v>
      </c>
      <c r="K11" s="9">
        <f t="shared" ca="1" si="3"/>
        <v>239.97928705765068</v>
      </c>
      <c r="L11" s="9">
        <f t="shared" ca="1" si="4"/>
        <v>64.056517093079194</v>
      </c>
      <c r="M11">
        <f t="shared" ca="1" si="8"/>
        <v>55.303750000000001</v>
      </c>
      <c r="N11">
        <f t="shared" ca="1" si="9"/>
        <v>30.947719907407407</v>
      </c>
    </row>
    <row r="12" spans="1:16" x14ac:dyDescent="0.25">
      <c r="A12" s="4">
        <f t="shared" si="10"/>
        <v>0.41840277777777773</v>
      </c>
      <c r="B12" s="3">
        <f t="shared" si="11"/>
        <v>1553300150</v>
      </c>
      <c r="C12">
        <f t="shared" si="5"/>
        <v>2</v>
      </c>
      <c r="D12">
        <f t="shared" si="5"/>
        <v>6</v>
      </c>
      <c r="E12">
        <f t="shared" ca="1" si="6"/>
        <v>-123003.23140747001</v>
      </c>
      <c r="F12">
        <f t="shared" ca="1" si="7"/>
        <v>-59842.864493040004</v>
      </c>
      <c r="G12">
        <f t="shared" ca="1" si="1"/>
        <v>10668</v>
      </c>
      <c r="H12" s="9">
        <f t="shared" ca="1" si="2"/>
        <v>215.79561975100077</v>
      </c>
      <c r="I12" s="9">
        <f t="shared" ca="1" si="2"/>
        <v>104.98718356533354</v>
      </c>
      <c r="J12" s="9">
        <f t="shared" ca="1" si="2"/>
        <v>0</v>
      </c>
      <c r="K12" s="9">
        <f t="shared" ca="1" si="3"/>
        <v>239.97928705765329</v>
      </c>
      <c r="L12" s="9">
        <f t="shared" ca="1" si="4"/>
        <v>64.056517093079492</v>
      </c>
      <c r="M12">
        <f t="shared" ca="1" si="8"/>
        <v>55.308500000000002</v>
      </c>
      <c r="N12">
        <f t="shared" ca="1" si="9"/>
        <v>30.964986111111113</v>
      </c>
    </row>
    <row r="13" spans="1:16" x14ac:dyDescent="0.25">
      <c r="A13" s="4">
        <f t="shared" si="10"/>
        <v>0.4184606481481481</v>
      </c>
      <c r="B13" s="3">
        <f t="shared" si="11"/>
        <v>1553300155</v>
      </c>
      <c r="C13">
        <f t="shared" si="5"/>
        <v>2</v>
      </c>
      <c r="D13">
        <f t="shared" si="5"/>
        <v>6</v>
      </c>
      <c r="E13">
        <f t="shared" ca="1" si="6"/>
        <v>-121924.25330871501</v>
      </c>
      <c r="F13">
        <f t="shared" ca="1" si="7"/>
        <v>-59317.928575213336</v>
      </c>
      <c r="G13">
        <f t="shared" ca="1" si="1"/>
        <v>10668</v>
      </c>
      <c r="H13" s="9">
        <f t="shared" ca="1" si="2"/>
        <v>215.79561975100077</v>
      </c>
      <c r="I13" s="9">
        <f t="shared" ca="1" si="2"/>
        <v>104.98718356533354</v>
      </c>
      <c r="J13" s="9">
        <f t="shared" ca="1" si="2"/>
        <v>0</v>
      </c>
      <c r="K13" s="9">
        <f t="shared" ca="1" si="3"/>
        <v>239.97928705765329</v>
      </c>
      <c r="L13" s="9">
        <f t="shared" ca="1" si="4"/>
        <v>64.056517093079492</v>
      </c>
      <c r="M13">
        <f t="shared" ca="1" si="8"/>
        <v>55.313250000000004</v>
      </c>
      <c r="N13">
        <f t="shared" ca="1" si="9"/>
        <v>30.982252314814815</v>
      </c>
    </row>
    <row r="14" spans="1:16" x14ac:dyDescent="0.25">
      <c r="A14" s="4">
        <f t="shared" si="10"/>
        <v>0.41851851851851846</v>
      </c>
      <c r="B14" s="3">
        <f t="shared" si="11"/>
        <v>1553300160</v>
      </c>
      <c r="C14">
        <f t="shared" si="5"/>
        <v>2</v>
      </c>
      <c r="D14">
        <f t="shared" si="5"/>
        <v>6</v>
      </c>
      <c r="E14">
        <f t="shared" ca="1" si="6"/>
        <v>-120845.27520996</v>
      </c>
      <c r="F14">
        <f t="shared" ca="1" si="7"/>
        <v>-58792.992657386669</v>
      </c>
      <c r="G14">
        <f t="shared" ca="1" si="1"/>
        <v>10668</v>
      </c>
      <c r="H14" s="9">
        <f t="shared" ca="1" si="2"/>
        <v>215.79561975100077</v>
      </c>
      <c r="I14" s="9">
        <f t="shared" ca="1" si="2"/>
        <v>104.98718356533354</v>
      </c>
      <c r="J14" s="9">
        <f t="shared" ca="1" si="2"/>
        <v>0</v>
      </c>
      <c r="K14" s="9">
        <f t="shared" ca="1" si="3"/>
        <v>239.97928705765329</v>
      </c>
      <c r="L14" s="9">
        <f t="shared" ca="1" si="4"/>
        <v>64.056517093079492</v>
      </c>
      <c r="M14">
        <f t="shared" ca="1" si="8"/>
        <v>55.317999999999998</v>
      </c>
      <c r="N14">
        <f t="shared" ca="1" si="9"/>
        <v>30.999518518518517</v>
      </c>
    </row>
    <row r="15" spans="1:16" x14ac:dyDescent="0.25">
      <c r="A15" s="4">
        <f t="shared" si="10"/>
        <v>0.41857638888888882</v>
      </c>
      <c r="B15" s="3">
        <f t="shared" si="11"/>
        <v>1553300165</v>
      </c>
      <c r="C15">
        <f t="shared" si="5"/>
        <v>2</v>
      </c>
      <c r="D15">
        <f t="shared" si="5"/>
        <v>6</v>
      </c>
      <c r="E15">
        <f t="shared" ca="1" si="6"/>
        <v>-119766.297111205</v>
      </c>
      <c r="F15">
        <f t="shared" ca="1" si="7"/>
        <v>-58268.056739560001</v>
      </c>
      <c r="G15">
        <f t="shared" ca="1" si="1"/>
        <v>10668</v>
      </c>
      <c r="H15" s="9">
        <f t="shared" ca="1" si="2"/>
        <v>215.79561975099787</v>
      </c>
      <c r="I15" s="9">
        <f t="shared" ca="1" si="2"/>
        <v>104.98718356533354</v>
      </c>
      <c r="J15" s="9">
        <f t="shared" ca="1" si="2"/>
        <v>0</v>
      </c>
      <c r="K15" s="9">
        <f t="shared" ca="1" si="3"/>
        <v>239.97928705765068</v>
      </c>
      <c r="L15" s="9">
        <f t="shared" ca="1" si="4"/>
        <v>64.056517093079194</v>
      </c>
      <c r="M15">
        <f t="shared" ca="1" si="8"/>
        <v>55.322749999999999</v>
      </c>
      <c r="N15">
        <f t="shared" ca="1" si="9"/>
        <v>31.016784722222223</v>
      </c>
    </row>
    <row r="16" spans="1:16" x14ac:dyDescent="0.25">
      <c r="A16" s="4">
        <f t="shared" si="10"/>
        <v>0.41863425925925918</v>
      </c>
      <c r="B16" s="3">
        <f t="shared" si="11"/>
        <v>1553300170</v>
      </c>
      <c r="C16">
        <f t="shared" si="5"/>
        <v>2</v>
      </c>
      <c r="D16">
        <f t="shared" si="5"/>
        <v>6</v>
      </c>
      <c r="E16">
        <f t="shared" ca="1" si="6"/>
        <v>-118687.31901245001</v>
      </c>
      <c r="F16">
        <f t="shared" ca="1" si="7"/>
        <v>-57743.120821733333</v>
      </c>
      <c r="G16">
        <f t="shared" ca="1" si="1"/>
        <v>10668</v>
      </c>
      <c r="H16" s="9">
        <f t="shared" ca="1" si="2"/>
        <v>215.79561975100077</v>
      </c>
      <c r="I16" s="9">
        <f t="shared" ca="1" si="2"/>
        <v>104.98718356533209</v>
      </c>
      <c r="J16" s="9">
        <f t="shared" ca="1" si="2"/>
        <v>0</v>
      </c>
      <c r="K16" s="9">
        <f t="shared" ca="1" si="3"/>
        <v>239.97928705765264</v>
      </c>
      <c r="L16" s="9">
        <f t="shared" ca="1" si="4"/>
        <v>64.056517093079805</v>
      </c>
      <c r="M16">
        <f t="shared" ca="1" si="8"/>
        <v>55.327500000000001</v>
      </c>
      <c r="N16">
        <f t="shared" ca="1" si="9"/>
        <v>31.034050925925925</v>
      </c>
    </row>
    <row r="17" spans="1:14" x14ac:dyDescent="0.25">
      <c r="A17" s="4">
        <f t="shared" si="10"/>
        <v>0.41869212962962954</v>
      </c>
      <c r="B17" s="3">
        <f t="shared" si="11"/>
        <v>1553300175</v>
      </c>
      <c r="C17">
        <f t="shared" si="5"/>
        <v>2</v>
      </c>
      <c r="D17">
        <f t="shared" si="5"/>
        <v>6</v>
      </c>
      <c r="E17">
        <f t="shared" ca="1" si="6"/>
        <v>-117608.34091369501</v>
      </c>
      <c r="F17">
        <f t="shared" ca="1" si="7"/>
        <v>-57218.184903906673</v>
      </c>
      <c r="G17">
        <f t="shared" ca="1" si="1"/>
        <v>10668</v>
      </c>
      <c r="H17" s="9">
        <f t="shared" ca="1" si="2"/>
        <v>215.79561975100077</v>
      </c>
      <c r="I17" s="9">
        <f t="shared" ca="1" si="2"/>
        <v>104.98718356533354</v>
      </c>
      <c r="J17" s="9">
        <f t="shared" ca="1" si="2"/>
        <v>0</v>
      </c>
      <c r="K17" s="9">
        <f t="shared" ca="1" si="3"/>
        <v>239.97928705765329</v>
      </c>
      <c r="L17" s="9">
        <f t="shared" ca="1" si="4"/>
        <v>64.056517093079492</v>
      </c>
      <c r="M17">
        <f t="shared" ca="1" si="8"/>
        <v>55.332250000000002</v>
      </c>
      <c r="N17">
        <f t="shared" ca="1" si="9"/>
        <v>31.051317129629631</v>
      </c>
    </row>
    <row r="18" spans="1:14" x14ac:dyDescent="0.25">
      <c r="A18" s="4">
        <f t="shared" si="10"/>
        <v>0.4187499999999999</v>
      </c>
      <c r="B18" s="3">
        <f t="shared" si="11"/>
        <v>1553300180</v>
      </c>
      <c r="C18">
        <f t="shared" si="5"/>
        <v>2</v>
      </c>
      <c r="D18">
        <f t="shared" si="5"/>
        <v>6</v>
      </c>
      <c r="E18">
        <f t="shared" ca="1" si="6"/>
        <v>-116529.36281494</v>
      </c>
      <c r="F18">
        <f t="shared" ca="1" si="7"/>
        <v>-56693.248986080005</v>
      </c>
      <c r="G18">
        <f t="shared" ca="1" si="1"/>
        <v>10668</v>
      </c>
      <c r="H18" s="9">
        <f t="shared" ca="1" si="2"/>
        <v>215.79561975099787</v>
      </c>
      <c r="I18" s="9">
        <f t="shared" ca="1" si="2"/>
        <v>104.98718356533354</v>
      </c>
      <c r="J18" s="9">
        <f t="shared" ca="1" si="2"/>
        <v>0</v>
      </c>
      <c r="K18" s="9">
        <f t="shared" ca="1" si="3"/>
        <v>239.97928705765068</v>
      </c>
      <c r="L18" s="9">
        <f t="shared" ca="1" si="4"/>
        <v>64.056517093079194</v>
      </c>
      <c r="M18">
        <f t="shared" ca="1" si="8"/>
        <v>55.337000000000003</v>
      </c>
      <c r="N18">
        <f t="shared" ca="1" si="9"/>
        <v>31.068583333333333</v>
      </c>
    </row>
    <row r="19" spans="1:14" x14ac:dyDescent="0.25">
      <c r="A19" s="4">
        <f t="shared" si="10"/>
        <v>0.41880787037037026</v>
      </c>
      <c r="B19" s="3">
        <f t="shared" si="11"/>
        <v>1553300185</v>
      </c>
      <c r="C19">
        <f t="shared" si="5"/>
        <v>2</v>
      </c>
      <c r="D19">
        <f t="shared" si="5"/>
        <v>6</v>
      </c>
      <c r="E19">
        <f t="shared" ca="1" si="6"/>
        <v>-115450.38471618501</v>
      </c>
      <c r="F19">
        <f t="shared" ca="1" si="7"/>
        <v>-56168.313068253337</v>
      </c>
      <c r="G19">
        <f t="shared" ca="1" si="1"/>
        <v>10668</v>
      </c>
      <c r="H19" s="9">
        <f t="shared" ca="1" si="2"/>
        <v>215.79561975100077</v>
      </c>
      <c r="I19" s="9">
        <f t="shared" ca="1" si="2"/>
        <v>104.98718356533354</v>
      </c>
      <c r="J19" s="9">
        <f t="shared" ca="1" si="2"/>
        <v>0</v>
      </c>
      <c r="K19" s="9">
        <f t="shared" ca="1" si="3"/>
        <v>239.97928705765329</v>
      </c>
      <c r="L19" s="9">
        <f t="shared" ca="1" si="4"/>
        <v>64.056517093079492</v>
      </c>
      <c r="M19">
        <f t="shared" ca="1" si="8"/>
        <v>55.341750000000005</v>
      </c>
      <c r="N19">
        <f t="shared" ca="1" si="9"/>
        <v>31.085849537037038</v>
      </c>
    </row>
    <row r="20" spans="1:14" x14ac:dyDescent="0.25">
      <c r="A20" s="4">
        <f t="shared" si="10"/>
        <v>0.41886574074074062</v>
      </c>
      <c r="B20" s="3">
        <f t="shared" si="11"/>
        <v>1553300190</v>
      </c>
      <c r="C20">
        <f t="shared" si="5"/>
        <v>2</v>
      </c>
      <c r="D20">
        <f t="shared" si="5"/>
        <v>6</v>
      </c>
      <c r="E20">
        <f t="shared" ca="1" si="6"/>
        <v>-114371.40661743001</v>
      </c>
      <c r="F20">
        <f t="shared" ca="1" si="7"/>
        <v>-55643.37715042667</v>
      </c>
      <c r="G20">
        <f t="shared" ca="1" si="1"/>
        <v>10668</v>
      </c>
      <c r="H20" s="9">
        <f t="shared" ca="1" si="2"/>
        <v>215.79561975100077</v>
      </c>
      <c r="I20" s="9">
        <f t="shared" ca="1" si="2"/>
        <v>104.98718356533354</v>
      </c>
      <c r="J20" s="9">
        <f t="shared" ca="1" si="2"/>
        <v>0</v>
      </c>
      <c r="K20" s="9">
        <f t="shared" ca="1" si="3"/>
        <v>239.97928705765329</v>
      </c>
      <c r="L20" s="9">
        <f t="shared" ca="1" si="4"/>
        <v>64.056517093079492</v>
      </c>
      <c r="M20">
        <f t="shared" ca="1" si="8"/>
        <v>55.346499999999999</v>
      </c>
      <c r="N20">
        <f t="shared" ca="1" si="9"/>
        <v>31.103115740740741</v>
      </c>
    </row>
    <row r="21" spans="1:14" x14ac:dyDescent="0.25">
      <c r="A21" s="4">
        <f t="shared" si="10"/>
        <v>0.41892361111111098</v>
      </c>
      <c r="B21" s="3">
        <f t="shared" si="11"/>
        <v>1553300195</v>
      </c>
      <c r="C21">
        <f t="shared" si="5"/>
        <v>2</v>
      </c>
      <c r="D21">
        <f t="shared" si="5"/>
        <v>6</v>
      </c>
      <c r="E21">
        <f t="shared" ca="1" si="6"/>
        <v>-113292.42851867501</v>
      </c>
      <c r="F21">
        <f t="shared" ca="1" si="7"/>
        <v>-55118.441232600002</v>
      </c>
      <c r="G21">
        <f t="shared" ca="1" si="1"/>
        <v>10668</v>
      </c>
      <c r="H21" s="9">
        <f t="shared" ca="1" si="2"/>
        <v>215.79561975100077</v>
      </c>
      <c r="I21" s="9">
        <f t="shared" ca="1" si="2"/>
        <v>104.98718356533354</v>
      </c>
      <c r="J21" s="9">
        <f t="shared" ca="1" si="2"/>
        <v>0</v>
      </c>
      <c r="K21" s="9">
        <f t="shared" ca="1" si="3"/>
        <v>239.97928705765329</v>
      </c>
      <c r="L21" s="9">
        <f t="shared" ca="1" si="4"/>
        <v>64.056517093079492</v>
      </c>
      <c r="M21">
        <f t="shared" ca="1" si="8"/>
        <v>55.35125</v>
      </c>
      <c r="N21">
        <f t="shared" ca="1" si="9"/>
        <v>31.120381944444446</v>
      </c>
    </row>
    <row r="22" spans="1:14" x14ac:dyDescent="0.25">
      <c r="A22" s="4">
        <f t="shared" si="10"/>
        <v>0.41898148148148134</v>
      </c>
      <c r="B22" s="3">
        <f t="shared" si="11"/>
        <v>1553300200</v>
      </c>
      <c r="C22">
        <f t="shared" si="5"/>
        <v>2</v>
      </c>
      <c r="D22">
        <f t="shared" si="5"/>
        <v>6</v>
      </c>
      <c r="E22">
        <f t="shared" ca="1" si="6"/>
        <v>-112213.45041992</v>
      </c>
      <c r="F22">
        <f t="shared" ca="1" si="7"/>
        <v>-54593.505314773334</v>
      </c>
      <c r="G22">
        <f t="shared" ca="1" si="1"/>
        <v>10668</v>
      </c>
      <c r="H22" s="9">
        <f t="shared" ca="1" si="2"/>
        <v>215.79561975100077</v>
      </c>
      <c r="I22" s="9">
        <f t="shared" ca="1" si="2"/>
        <v>104.98718356533354</v>
      </c>
      <c r="J22" s="9">
        <f t="shared" ca="1" si="2"/>
        <v>0</v>
      </c>
      <c r="K22" s="9">
        <f t="shared" ca="1" si="3"/>
        <v>239.97928705765329</v>
      </c>
      <c r="L22" s="9">
        <f t="shared" ca="1" si="4"/>
        <v>64.056517093079492</v>
      </c>
      <c r="M22">
        <f t="shared" ca="1" si="8"/>
        <v>55.356000000000002</v>
      </c>
      <c r="N22">
        <f t="shared" ca="1" si="9"/>
        <v>31.137648148148148</v>
      </c>
    </row>
    <row r="23" spans="1:14" x14ac:dyDescent="0.25">
      <c r="A23" s="4">
        <f t="shared" si="10"/>
        <v>0.4190393518518517</v>
      </c>
      <c r="B23" s="3">
        <f t="shared" si="11"/>
        <v>1553300205</v>
      </c>
      <c r="C23">
        <f t="shared" si="5"/>
        <v>2</v>
      </c>
      <c r="D23">
        <f t="shared" si="5"/>
        <v>6</v>
      </c>
      <c r="E23">
        <f t="shared" ca="1" si="6"/>
        <v>-111134.472321165</v>
      </c>
      <c r="F23">
        <f t="shared" ca="1" si="7"/>
        <v>-54068.569396946667</v>
      </c>
      <c r="G23">
        <f t="shared" ca="1" si="1"/>
        <v>10668</v>
      </c>
      <c r="H23" s="9">
        <f t="shared" ca="1" si="2"/>
        <v>215.79561975099787</v>
      </c>
      <c r="I23" s="9">
        <f t="shared" ca="1" si="2"/>
        <v>104.98718356533209</v>
      </c>
      <c r="J23" s="9">
        <f t="shared" ca="1" si="2"/>
        <v>0</v>
      </c>
      <c r="K23" s="9">
        <f t="shared" ca="1" si="3"/>
        <v>239.97928705765005</v>
      </c>
      <c r="L23" s="9">
        <f t="shared" ca="1" si="4"/>
        <v>64.056517093079506</v>
      </c>
      <c r="M23">
        <f t="shared" ca="1" si="8"/>
        <v>55.360750000000003</v>
      </c>
      <c r="N23">
        <f t="shared" ca="1" si="9"/>
        <v>31.154914351851851</v>
      </c>
    </row>
    <row r="24" spans="1:14" x14ac:dyDescent="0.25">
      <c r="A24" s="4">
        <f t="shared" si="10"/>
        <v>0.41909722222222207</v>
      </c>
      <c r="B24" s="3">
        <f t="shared" si="11"/>
        <v>1553300210</v>
      </c>
      <c r="C24">
        <f t="shared" si="5"/>
        <v>2</v>
      </c>
      <c r="D24">
        <f t="shared" si="5"/>
        <v>6</v>
      </c>
      <c r="E24">
        <f t="shared" ca="1" si="6"/>
        <v>-110055.49422241001</v>
      </c>
      <c r="F24">
        <f t="shared" ca="1" si="7"/>
        <v>-53543.633479120006</v>
      </c>
      <c r="G24">
        <f t="shared" ca="1" si="1"/>
        <v>10668</v>
      </c>
      <c r="H24" s="9">
        <f t="shared" ca="1" si="2"/>
        <v>215.79561975100077</v>
      </c>
      <c r="I24" s="9">
        <f t="shared" ca="1" si="2"/>
        <v>104.98718356533354</v>
      </c>
      <c r="J24" s="9">
        <f t="shared" ca="1" si="2"/>
        <v>0</v>
      </c>
      <c r="K24" s="9">
        <f t="shared" ca="1" si="3"/>
        <v>239.97928705765329</v>
      </c>
      <c r="L24" s="9">
        <f t="shared" ca="1" si="4"/>
        <v>64.056517093079492</v>
      </c>
      <c r="M24">
        <f t="shared" ca="1" si="8"/>
        <v>55.365500000000004</v>
      </c>
      <c r="N24">
        <f t="shared" ca="1" si="9"/>
        <v>31.172180555555556</v>
      </c>
    </row>
    <row r="25" spans="1:14" x14ac:dyDescent="0.25">
      <c r="A25" s="4">
        <f t="shared" si="10"/>
        <v>0.41915509259259243</v>
      </c>
      <c r="B25" s="3">
        <f t="shared" si="11"/>
        <v>1553300215</v>
      </c>
      <c r="C25">
        <f t="shared" si="5"/>
        <v>2</v>
      </c>
      <c r="D25">
        <f t="shared" si="5"/>
        <v>6</v>
      </c>
      <c r="E25">
        <f t="shared" ca="1" si="6"/>
        <v>-108976.516123655</v>
      </c>
      <c r="F25">
        <f t="shared" ca="1" si="7"/>
        <v>-53018.697561293338</v>
      </c>
      <c r="G25">
        <f t="shared" ca="1" si="1"/>
        <v>10668</v>
      </c>
      <c r="H25" s="9">
        <f t="shared" ca="1" si="2"/>
        <v>215.79561975100077</v>
      </c>
      <c r="I25" s="9">
        <f t="shared" ca="1" si="2"/>
        <v>104.98718356533354</v>
      </c>
      <c r="J25" s="9">
        <f t="shared" ca="1" si="2"/>
        <v>0</v>
      </c>
      <c r="K25" s="9">
        <f t="shared" ca="1" si="3"/>
        <v>239.97928705765329</v>
      </c>
      <c r="L25" s="9">
        <f t="shared" ca="1" si="4"/>
        <v>64.056517093079492</v>
      </c>
      <c r="M25">
        <f t="shared" ca="1" si="8"/>
        <v>55.370249999999999</v>
      </c>
      <c r="N25">
        <f t="shared" ca="1" si="9"/>
        <v>31.189446759259258</v>
      </c>
    </row>
    <row r="26" spans="1:14" x14ac:dyDescent="0.25">
      <c r="A26" s="4">
        <f t="shared" si="10"/>
        <v>0.41921296296296279</v>
      </c>
      <c r="B26" s="3">
        <f t="shared" si="11"/>
        <v>1553300220</v>
      </c>
      <c r="C26">
        <f t="shared" si="5"/>
        <v>2</v>
      </c>
      <c r="D26">
        <f t="shared" si="5"/>
        <v>6</v>
      </c>
      <c r="E26">
        <f t="shared" ca="1" si="6"/>
        <v>-107897.5380249</v>
      </c>
      <c r="F26">
        <f t="shared" ca="1" si="7"/>
        <v>-52493.761643466671</v>
      </c>
      <c r="G26">
        <f t="shared" ca="1" si="1"/>
        <v>10668</v>
      </c>
      <c r="H26" s="9">
        <f t="shared" ca="1" si="2"/>
        <v>215.79561975099787</v>
      </c>
      <c r="I26" s="9">
        <f t="shared" ca="1" si="2"/>
        <v>104.98718356533354</v>
      </c>
      <c r="J26" s="9">
        <f t="shared" ca="1" si="2"/>
        <v>0</v>
      </c>
      <c r="K26" s="9">
        <f t="shared" ca="1" si="3"/>
        <v>239.97928705765068</v>
      </c>
      <c r="L26" s="9">
        <f t="shared" ca="1" si="4"/>
        <v>64.056517093079194</v>
      </c>
      <c r="M26">
        <f t="shared" ca="1" si="8"/>
        <v>55.375</v>
      </c>
      <c r="N26">
        <f t="shared" ca="1" si="9"/>
        <v>31.206712962962964</v>
      </c>
    </row>
    <row r="27" spans="1:14" x14ac:dyDescent="0.25">
      <c r="A27" s="4">
        <f t="shared" si="10"/>
        <v>0.41927083333333315</v>
      </c>
      <c r="B27" s="3">
        <f t="shared" si="11"/>
        <v>1553300225</v>
      </c>
      <c r="C27">
        <f t="shared" si="5"/>
        <v>2</v>
      </c>
      <c r="D27">
        <f t="shared" si="5"/>
        <v>6</v>
      </c>
      <c r="E27">
        <f t="shared" ca="1" si="6"/>
        <v>-106818.55992614501</v>
      </c>
      <c r="F27">
        <f t="shared" ca="1" si="7"/>
        <v>-51968.825725640003</v>
      </c>
      <c r="G27">
        <f t="shared" ca="1" si="1"/>
        <v>10668</v>
      </c>
      <c r="H27" s="9">
        <f t="shared" ca="1" si="2"/>
        <v>215.79561975100077</v>
      </c>
      <c r="I27" s="9">
        <f t="shared" ca="1" si="2"/>
        <v>104.98718356533354</v>
      </c>
      <c r="J27" s="9">
        <f t="shared" ca="1" si="2"/>
        <v>0</v>
      </c>
      <c r="K27" s="9">
        <f t="shared" ca="1" si="3"/>
        <v>239.97928705765329</v>
      </c>
      <c r="L27" s="9">
        <f t="shared" ca="1" si="4"/>
        <v>64.056517093079492</v>
      </c>
      <c r="M27">
        <f t="shared" ca="1" si="8"/>
        <v>55.379750000000001</v>
      </c>
      <c r="N27">
        <f t="shared" ca="1" si="9"/>
        <v>31.223979166666666</v>
      </c>
    </row>
    <row r="28" spans="1:14" x14ac:dyDescent="0.25">
      <c r="A28" s="4">
        <f t="shared" si="10"/>
        <v>0.41932870370370351</v>
      </c>
      <c r="B28" s="3">
        <f t="shared" si="11"/>
        <v>1553300230</v>
      </c>
      <c r="C28">
        <f t="shared" si="5"/>
        <v>2</v>
      </c>
      <c r="D28">
        <f t="shared" si="5"/>
        <v>6</v>
      </c>
      <c r="E28">
        <f t="shared" ca="1" si="6"/>
        <v>-105739.58182739001</v>
      </c>
      <c r="F28">
        <f t="shared" ca="1" si="7"/>
        <v>-51443.889807813335</v>
      </c>
      <c r="G28">
        <f t="shared" ca="1" si="1"/>
        <v>10668</v>
      </c>
      <c r="H28" s="9">
        <f t="shared" ca="1" si="2"/>
        <v>215.79561975100077</v>
      </c>
      <c r="I28" s="9">
        <f t="shared" ca="1" si="2"/>
        <v>104.98718356533354</v>
      </c>
      <c r="J28" s="9">
        <f t="shared" ca="1" si="2"/>
        <v>0</v>
      </c>
      <c r="K28" s="9">
        <f t="shared" ca="1" si="3"/>
        <v>239.97928705765329</v>
      </c>
      <c r="L28" s="9">
        <f t="shared" ca="1" si="4"/>
        <v>64.056517093079492</v>
      </c>
      <c r="M28">
        <f t="shared" ca="1" si="8"/>
        <v>55.384500000000003</v>
      </c>
      <c r="N28">
        <f t="shared" ca="1" si="9"/>
        <v>31.241245370370372</v>
      </c>
    </row>
    <row r="29" spans="1:14" x14ac:dyDescent="0.25">
      <c r="A29" s="4">
        <f t="shared" si="10"/>
        <v>0.41938657407407387</v>
      </c>
      <c r="B29" s="3">
        <f t="shared" si="11"/>
        <v>1553300235</v>
      </c>
      <c r="C29">
        <f t="shared" si="5"/>
        <v>2</v>
      </c>
      <c r="D29">
        <f t="shared" si="5"/>
        <v>6</v>
      </c>
      <c r="E29">
        <f t="shared" ca="1" si="6"/>
        <v>-104660.603728635</v>
      </c>
      <c r="F29">
        <f t="shared" ca="1" si="7"/>
        <v>-50918.953889986667</v>
      </c>
      <c r="G29">
        <f t="shared" ca="1" si="1"/>
        <v>10668</v>
      </c>
      <c r="H29" s="9">
        <f t="shared" ca="1" si="2"/>
        <v>215.79561975100077</v>
      </c>
      <c r="I29" s="9">
        <f t="shared" ca="1" si="2"/>
        <v>104.98718356533354</v>
      </c>
      <c r="J29" s="9">
        <f t="shared" ca="1" si="2"/>
        <v>0</v>
      </c>
      <c r="K29" s="9">
        <f t="shared" ca="1" si="3"/>
        <v>239.97928705765329</v>
      </c>
      <c r="L29" s="9">
        <f t="shared" ca="1" si="4"/>
        <v>64.056517093079492</v>
      </c>
      <c r="M29">
        <f t="shared" ca="1" si="8"/>
        <v>55.389250000000004</v>
      </c>
      <c r="N29">
        <f t="shared" ca="1" si="9"/>
        <v>31.258511574074074</v>
      </c>
    </row>
    <row r="30" spans="1:14" x14ac:dyDescent="0.25">
      <c r="A30" s="4">
        <f t="shared" si="10"/>
        <v>0.41944444444444423</v>
      </c>
      <c r="B30" s="3">
        <f t="shared" si="11"/>
        <v>1553300240</v>
      </c>
      <c r="C30">
        <f t="shared" si="5"/>
        <v>2</v>
      </c>
      <c r="D30">
        <f t="shared" si="5"/>
        <v>6</v>
      </c>
      <c r="E30">
        <f t="shared" ca="1" si="6"/>
        <v>-103581.62562988</v>
      </c>
      <c r="F30">
        <f t="shared" ca="1" si="7"/>
        <v>-50394.01797216</v>
      </c>
      <c r="G30">
        <f t="shared" ca="1" si="1"/>
        <v>10668</v>
      </c>
      <c r="H30" s="9">
        <f t="shared" ca="1" si="2"/>
        <v>215.79561975099787</v>
      </c>
      <c r="I30" s="9">
        <f t="shared" ca="1" si="2"/>
        <v>104.98718356533209</v>
      </c>
      <c r="J30" s="9">
        <f t="shared" ca="1" si="2"/>
        <v>0</v>
      </c>
      <c r="K30" s="9">
        <f t="shared" ca="1" si="3"/>
        <v>239.97928705765005</v>
      </c>
      <c r="L30" s="9">
        <f t="shared" ca="1" si="4"/>
        <v>64.056517093079506</v>
      </c>
      <c r="M30">
        <f t="shared" ca="1" si="8"/>
        <v>55.393999999999998</v>
      </c>
      <c r="N30">
        <f t="shared" ca="1" si="9"/>
        <v>31.275777777777776</v>
      </c>
    </row>
    <row r="31" spans="1:14" x14ac:dyDescent="0.25">
      <c r="A31" s="4">
        <f t="shared" si="10"/>
        <v>0.41950231481481459</v>
      </c>
      <c r="B31" s="3">
        <f t="shared" si="11"/>
        <v>1553300245</v>
      </c>
      <c r="C31">
        <f t="shared" si="5"/>
        <v>2</v>
      </c>
      <c r="D31">
        <f t="shared" si="5"/>
        <v>6</v>
      </c>
      <c r="E31">
        <f t="shared" ca="1" si="6"/>
        <v>-102502.64753112501</v>
      </c>
      <c r="F31">
        <f t="shared" ca="1" si="7"/>
        <v>-49869.082054333339</v>
      </c>
      <c r="G31">
        <f t="shared" ca="1" si="1"/>
        <v>10668</v>
      </c>
      <c r="H31" s="9">
        <f t="shared" ca="1" si="2"/>
        <v>215.79561975100077</v>
      </c>
      <c r="I31" s="9">
        <f t="shared" ca="1" si="2"/>
        <v>104.98718356533354</v>
      </c>
      <c r="J31" s="9">
        <f t="shared" ca="1" si="2"/>
        <v>0</v>
      </c>
      <c r="K31" s="9">
        <f t="shared" ca="1" si="3"/>
        <v>239.97928705765329</v>
      </c>
      <c r="L31" s="9">
        <f t="shared" ca="1" si="4"/>
        <v>64.056517093079492</v>
      </c>
      <c r="M31">
        <f t="shared" ca="1" si="8"/>
        <v>55.39875</v>
      </c>
      <c r="N31">
        <f t="shared" ca="1" si="9"/>
        <v>31.293043981481482</v>
      </c>
    </row>
    <row r="32" spans="1:14" x14ac:dyDescent="0.25">
      <c r="A32" s="4">
        <f t="shared" si="10"/>
        <v>0.41956018518518495</v>
      </c>
      <c r="B32" s="3">
        <f t="shared" si="11"/>
        <v>1553300250</v>
      </c>
      <c r="C32">
        <f t="shared" si="5"/>
        <v>2</v>
      </c>
      <c r="D32">
        <f t="shared" si="5"/>
        <v>6</v>
      </c>
      <c r="E32">
        <f t="shared" ca="1" si="6"/>
        <v>-101423.66943237001</v>
      </c>
      <c r="F32">
        <f t="shared" ca="1" si="7"/>
        <v>-49344.146136506672</v>
      </c>
      <c r="G32">
        <f t="shared" ca="1" si="1"/>
        <v>10668</v>
      </c>
      <c r="H32" s="9">
        <f t="shared" ca="1" si="2"/>
        <v>215.79561975100077</v>
      </c>
      <c r="I32" s="9">
        <f t="shared" ca="1" si="2"/>
        <v>104.98718356533354</v>
      </c>
      <c r="J32" s="9">
        <f t="shared" ca="1" si="2"/>
        <v>0</v>
      </c>
      <c r="K32" s="9">
        <f t="shared" ca="1" si="3"/>
        <v>239.97928705765329</v>
      </c>
      <c r="L32" s="9">
        <f t="shared" ca="1" si="4"/>
        <v>64.056517093079492</v>
      </c>
      <c r="M32">
        <f t="shared" ca="1" si="8"/>
        <v>55.403500000000001</v>
      </c>
      <c r="N32">
        <f t="shared" ca="1" si="9"/>
        <v>31.310310185185184</v>
      </c>
    </row>
    <row r="33" spans="1:14" x14ac:dyDescent="0.25">
      <c r="A33" s="4">
        <f>A32+5/24/3600</f>
        <v>0.41961805555555531</v>
      </c>
      <c r="B33" s="3">
        <f t="shared" si="11"/>
        <v>1553300255</v>
      </c>
      <c r="C33">
        <f t="shared" si="5"/>
        <v>2</v>
      </c>
      <c r="D33">
        <f t="shared" si="5"/>
        <v>6</v>
      </c>
      <c r="E33">
        <f t="shared" ca="1" si="6"/>
        <v>-100344.691333615</v>
      </c>
      <c r="F33">
        <f t="shared" ca="1" si="7"/>
        <v>-48819.210218680004</v>
      </c>
      <c r="G33">
        <f t="shared" ca="1" si="1"/>
        <v>10668</v>
      </c>
      <c r="H33" s="9">
        <f t="shared" ca="1" si="2"/>
        <v>215.79561975099787</v>
      </c>
      <c r="I33" s="9">
        <f t="shared" ca="1" si="2"/>
        <v>104.98718356533354</v>
      </c>
      <c r="J33" s="9">
        <f t="shared" ca="1" si="2"/>
        <v>0</v>
      </c>
      <c r="K33" s="9">
        <f t="shared" ca="1" si="3"/>
        <v>239.97928705765068</v>
      </c>
      <c r="L33" s="9">
        <f t="shared" ca="1" si="4"/>
        <v>64.056517093079194</v>
      </c>
      <c r="M33">
        <f t="shared" ca="1" si="8"/>
        <v>55.408250000000002</v>
      </c>
      <c r="N33">
        <f t="shared" ca="1" si="9"/>
        <v>31.32757638888889</v>
      </c>
    </row>
    <row r="34" spans="1:14" x14ac:dyDescent="0.25">
      <c r="A34" s="4">
        <f t="shared" si="10"/>
        <v>0.41967592592592567</v>
      </c>
      <c r="B34" s="3">
        <f t="shared" si="11"/>
        <v>1553300260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-99265.713234860013</v>
      </c>
      <c r="F34">
        <f ca="1">INDIRECT("F$"&amp;C34)+INDIRECT("I$"&amp;C34)*($B34-INDIRECT("B$"&amp;D34))</f>
        <v>-48294.274300853336</v>
      </c>
      <c r="G34">
        <f t="shared" ca="1" si="1"/>
        <v>10668</v>
      </c>
      <c r="H34" s="9">
        <f t="shared" ca="1" si="2"/>
        <v>215.79561975100077</v>
      </c>
      <c r="I34" s="9">
        <f t="shared" ca="1" si="2"/>
        <v>104.98718356533354</v>
      </c>
      <c r="J34" s="9">
        <f t="shared" ca="1" si="2"/>
        <v>0</v>
      </c>
      <c r="K34" s="9">
        <f t="shared" ca="1" si="3"/>
        <v>239.97928705765329</v>
      </c>
      <c r="L34" s="9">
        <f t="shared" ca="1" si="4"/>
        <v>64.056517093079492</v>
      </c>
      <c r="M34">
        <f t="shared" ca="1" si="8"/>
        <v>55.413000000000004</v>
      </c>
      <c r="N34">
        <f t="shared" ca="1" si="9"/>
        <v>31.344842592592592</v>
      </c>
    </row>
    <row r="35" spans="1:14" x14ac:dyDescent="0.25">
      <c r="A35" s="4">
        <f t="shared" si="10"/>
        <v>0.41973379629629604</v>
      </c>
      <c r="B35" s="3">
        <f t="shared" si="11"/>
        <v>1553300265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-98186.73513610501</v>
      </c>
      <c r="F35">
        <f ca="1">INDIRECT("F$"&amp;C35)+INDIRECT("I$"&amp;C35)*($B35-INDIRECT("B$"&amp;D35))</f>
        <v>-47769.338383026668</v>
      </c>
      <c r="G35">
        <f t="shared" ca="1" si="1"/>
        <v>10668</v>
      </c>
      <c r="H35" s="9">
        <f t="shared" ca="1" si="2"/>
        <v>215.79561975100077</v>
      </c>
      <c r="I35" s="9">
        <f t="shared" ca="1" si="2"/>
        <v>104.98718356533354</v>
      </c>
      <c r="J35" s="9">
        <f t="shared" ca="1" si="2"/>
        <v>0</v>
      </c>
      <c r="K35" s="9">
        <f t="shared" ca="1" si="3"/>
        <v>239.97928705765329</v>
      </c>
      <c r="L35" s="9">
        <f t="shared" ca="1" si="4"/>
        <v>64.056517093079492</v>
      </c>
      <c r="M35">
        <f t="shared" ca="1" si="8"/>
        <v>55.417749999999998</v>
      </c>
      <c r="N35">
        <f t="shared" ca="1" si="9"/>
        <v>31.362108796296297</v>
      </c>
    </row>
    <row r="36" spans="1:14" x14ac:dyDescent="0.25">
      <c r="A36" s="4">
        <f t="shared" si="10"/>
        <v>0.4197916666666664</v>
      </c>
      <c r="B36" s="3">
        <f t="shared" si="11"/>
        <v>1553300270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-97107.757037350006</v>
      </c>
      <c r="F36">
        <f t="shared" ref="F36:F99" ca="1" si="13">INDIRECT("F$"&amp;C36)+INDIRECT("I$"&amp;C36)*($B36-INDIRECT("B$"&amp;D36))</f>
        <v>-47244.402465200001</v>
      </c>
      <c r="G36">
        <f t="shared" ca="1" si="1"/>
        <v>10668</v>
      </c>
      <c r="H36" s="9">
        <f t="shared" ca="1" si="2"/>
        <v>215.79561975100077</v>
      </c>
      <c r="I36" s="9">
        <f t="shared" ca="1" si="2"/>
        <v>104.98718356533354</v>
      </c>
      <c r="J36" s="9">
        <f t="shared" ca="1" si="2"/>
        <v>0</v>
      </c>
      <c r="K36" s="9">
        <f t="shared" ca="1" si="3"/>
        <v>239.97928705765329</v>
      </c>
      <c r="L36" s="9">
        <f t="shared" ca="1" si="4"/>
        <v>64.056517093079492</v>
      </c>
      <c r="M36">
        <f t="shared" ca="1" si="8"/>
        <v>55.422499999999999</v>
      </c>
      <c r="N36">
        <f t="shared" ca="1" si="9"/>
        <v>31.379375</v>
      </c>
    </row>
    <row r="37" spans="1:14" x14ac:dyDescent="0.25">
      <c r="A37" s="4">
        <f t="shared" si="10"/>
        <v>0.41984953703703676</v>
      </c>
      <c r="B37" s="3">
        <f t="shared" si="11"/>
        <v>1553300275</v>
      </c>
      <c r="C37">
        <f t="shared" si="5"/>
        <v>2</v>
      </c>
      <c r="D37">
        <f t="shared" si="5"/>
        <v>6</v>
      </c>
      <c r="E37">
        <f t="shared" ca="1" si="12"/>
        <v>-96028.778938595002</v>
      </c>
      <c r="F37">
        <f t="shared" ca="1" si="13"/>
        <v>-46719.466547373333</v>
      </c>
      <c r="G37">
        <f t="shared" ca="1" si="1"/>
        <v>10668</v>
      </c>
      <c r="H37" s="9">
        <f t="shared" ca="1" si="2"/>
        <v>215.79561975100077</v>
      </c>
      <c r="I37" s="9">
        <f t="shared" ca="1" si="2"/>
        <v>104.98718356533209</v>
      </c>
      <c r="J37" s="9">
        <f t="shared" ca="1" si="2"/>
        <v>0</v>
      </c>
      <c r="K37" s="9">
        <f t="shared" ca="1" si="3"/>
        <v>239.97928705765264</v>
      </c>
      <c r="L37" s="9">
        <f t="shared" ca="1" si="4"/>
        <v>64.056517093079805</v>
      </c>
      <c r="M37">
        <f t="shared" ca="1" si="8"/>
        <v>55.427250000000001</v>
      </c>
      <c r="N37">
        <f t="shared" ca="1" si="9"/>
        <v>31.396641203703702</v>
      </c>
    </row>
    <row r="38" spans="1:14" x14ac:dyDescent="0.25">
      <c r="A38" s="4">
        <f t="shared" si="10"/>
        <v>0.41990740740740712</v>
      </c>
      <c r="B38" s="3">
        <f t="shared" si="11"/>
        <v>1553300280</v>
      </c>
      <c r="C38">
        <f t="shared" si="5"/>
        <v>2</v>
      </c>
      <c r="D38">
        <f t="shared" si="5"/>
        <v>6</v>
      </c>
      <c r="E38">
        <f t="shared" ca="1" si="12"/>
        <v>-94949.800839839998</v>
      </c>
      <c r="F38">
        <f t="shared" ca="1" si="13"/>
        <v>-46194.530629546673</v>
      </c>
      <c r="G38">
        <f t="shared" ca="1" si="1"/>
        <v>10668</v>
      </c>
      <c r="H38" s="9">
        <f t="shared" ca="1" si="2"/>
        <v>215.79561975099787</v>
      </c>
      <c r="I38" s="9">
        <f t="shared" ca="1" si="2"/>
        <v>104.987183565335</v>
      </c>
      <c r="J38" s="9">
        <f t="shared" ca="1" si="2"/>
        <v>0</v>
      </c>
      <c r="K38" s="9">
        <f t="shared" ca="1" si="3"/>
        <v>239.97928705765131</v>
      </c>
      <c r="L38" s="9">
        <f t="shared" ca="1" si="4"/>
        <v>64.056517093078881</v>
      </c>
      <c r="M38">
        <f t="shared" ca="1" si="8"/>
        <v>55.432000000000002</v>
      </c>
      <c r="N38">
        <f t="shared" ca="1" si="9"/>
        <v>31.413907407407407</v>
      </c>
    </row>
    <row r="39" spans="1:14" x14ac:dyDescent="0.25">
      <c r="A39" s="4">
        <f t="shared" si="10"/>
        <v>0.41996527777777748</v>
      </c>
      <c r="B39" s="3">
        <f t="shared" si="11"/>
        <v>1553300285</v>
      </c>
      <c r="C39">
        <f t="shared" si="5"/>
        <v>2</v>
      </c>
      <c r="D39">
        <f t="shared" si="5"/>
        <v>6</v>
      </c>
      <c r="E39">
        <f t="shared" ca="1" si="12"/>
        <v>-93870.822741085009</v>
      </c>
      <c r="F39">
        <f t="shared" ca="1" si="13"/>
        <v>-45669.594711719998</v>
      </c>
      <c r="G39">
        <f t="shared" ca="1" si="1"/>
        <v>10668</v>
      </c>
      <c r="H39" s="9">
        <f t="shared" ca="1" si="2"/>
        <v>215.79561975100077</v>
      </c>
      <c r="I39" s="9">
        <f t="shared" ca="1" si="2"/>
        <v>104.98718356533209</v>
      </c>
      <c r="J39" s="9">
        <f t="shared" ca="1" si="2"/>
        <v>0</v>
      </c>
      <c r="K39" s="9">
        <f t="shared" ca="1" si="3"/>
        <v>239.97928705765264</v>
      </c>
      <c r="L39" s="9">
        <f t="shared" ca="1" si="4"/>
        <v>64.056517093079805</v>
      </c>
      <c r="M39">
        <f t="shared" ca="1" si="8"/>
        <v>55.436750000000004</v>
      </c>
      <c r="N39">
        <f t="shared" ca="1" si="9"/>
        <v>31.43117361111111</v>
      </c>
    </row>
    <row r="40" spans="1:14" x14ac:dyDescent="0.25">
      <c r="A40" s="4">
        <f t="shared" si="10"/>
        <v>0.42002314814814784</v>
      </c>
      <c r="B40" s="3">
        <f t="shared" si="11"/>
        <v>1553300290</v>
      </c>
      <c r="C40">
        <f t="shared" si="5"/>
        <v>2</v>
      </c>
      <c r="D40">
        <f t="shared" si="5"/>
        <v>6</v>
      </c>
      <c r="E40">
        <f t="shared" ca="1" si="12"/>
        <v>-92791.844642330005</v>
      </c>
      <c r="F40">
        <f t="shared" ca="1" si="13"/>
        <v>-45144.658793893337</v>
      </c>
      <c r="G40">
        <f t="shared" ca="1" si="1"/>
        <v>10668</v>
      </c>
      <c r="H40" s="9">
        <f t="shared" ca="1" si="2"/>
        <v>215.79561975099787</v>
      </c>
      <c r="I40" s="9">
        <f t="shared" ca="1" si="2"/>
        <v>104.98718356533354</v>
      </c>
      <c r="J40" s="9">
        <f t="shared" ca="1" si="2"/>
        <v>0</v>
      </c>
      <c r="K40" s="9">
        <f t="shared" ca="1" si="3"/>
        <v>239.97928705765068</v>
      </c>
      <c r="L40" s="9">
        <f t="shared" ca="1" si="4"/>
        <v>64.056517093079194</v>
      </c>
      <c r="M40">
        <f t="shared" ca="1" si="8"/>
        <v>55.441499999999998</v>
      </c>
      <c r="N40">
        <f t="shared" ca="1" si="9"/>
        <v>31.448439814814815</v>
      </c>
    </row>
    <row r="41" spans="1:14" x14ac:dyDescent="0.25">
      <c r="A41" s="4">
        <f t="shared" si="10"/>
        <v>0.4200810185185182</v>
      </c>
      <c r="B41" s="3">
        <f t="shared" si="11"/>
        <v>1553300295</v>
      </c>
      <c r="C41">
        <f t="shared" si="5"/>
        <v>2</v>
      </c>
      <c r="D41">
        <f t="shared" si="5"/>
        <v>6</v>
      </c>
      <c r="E41">
        <f t="shared" ca="1" si="12"/>
        <v>-91712.866543575015</v>
      </c>
      <c r="F41">
        <f t="shared" ca="1" si="13"/>
        <v>-44619.722876066669</v>
      </c>
      <c r="G41">
        <f t="shared" ca="1" si="1"/>
        <v>10668</v>
      </c>
      <c r="H41" s="9">
        <f t="shared" ca="1" si="2"/>
        <v>215.79561975100077</v>
      </c>
      <c r="I41" s="9">
        <f t="shared" ca="1" si="2"/>
        <v>104.98718356533354</v>
      </c>
      <c r="J41" s="9">
        <f t="shared" ca="1" si="2"/>
        <v>0</v>
      </c>
      <c r="K41" s="9">
        <f t="shared" ca="1" si="3"/>
        <v>239.97928705765329</v>
      </c>
      <c r="L41" s="9">
        <f t="shared" ca="1" si="4"/>
        <v>64.056517093079492</v>
      </c>
      <c r="M41">
        <f t="shared" ca="1" si="8"/>
        <v>55.446249999999999</v>
      </c>
      <c r="N41">
        <f t="shared" ca="1" si="9"/>
        <v>31.465706018518517</v>
      </c>
    </row>
    <row r="42" spans="1:14" x14ac:dyDescent="0.25">
      <c r="A42" s="4">
        <f t="shared" si="10"/>
        <v>0.42013888888888856</v>
      </c>
      <c r="B42" s="3">
        <f t="shared" si="11"/>
        <v>1553300300</v>
      </c>
      <c r="C42">
        <f t="shared" si="5"/>
        <v>2</v>
      </c>
      <c r="D42">
        <f t="shared" si="5"/>
        <v>6</v>
      </c>
      <c r="E42">
        <f t="shared" ca="1" si="12"/>
        <v>-90633.888444820012</v>
      </c>
      <c r="F42">
        <f t="shared" ca="1" si="13"/>
        <v>-44094.786958240002</v>
      </c>
      <c r="G42">
        <f t="shared" ca="1" si="1"/>
        <v>10668</v>
      </c>
      <c r="H42" s="9">
        <f t="shared" ca="1" si="2"/>
        <v>215.79561975100077</v>
      </c>
      <c r="I42" s="9">
        <f t="shared" ca="1" si="2"/>
        <v>104.98718356533354</v>
      </c>
      <c r="J42" s="9">
        <f t="shared" ca="1" si="2"/>
        <v>0</v>
      </c>
      <c r="K42" s="9">
        <f t="shared" ca="1" si="3"/>
        <v>239.97928705765329</v>
      </c>
      <c r="L42" s="9">
        <f t="shared" ca="1" si="4"/>
        <v>64.056517093079492</v>
      </c>
      <c r="M42">
        <f t="shared" ca="1" si="8"/>
        <v>55.451000000000001</v>
      </c>
      <c r="N42">
        <f t="shared" ca="1" si="9"/>
        <v>31.482972222222223</v>
      </c>
    </row>
    <row r="43" spans="1:14" x14ac:dyDescent="0.25">
      <c r="A43" s="4">
        <f t="shared" si="10"/>
        <v>0.42019675925925892</v>
      </c>
      <c r="B43" s="3">
        <f t="shared" si="11"/>
        <v>1553300305</v>
      </c>
      <c r="C43">
        <f t="shared" si="5"/>
        <v>2</v>
      </c>
      <c r="D43">
        <f t="shared" si="5"/>
        <v>6</v>
      </c>
      <c r="E43">
        <f t="shared" ca="1" si="12"/>
        <v>-89554.910346065008</v>
      </c>
      <c r="F43">
        <f t="shared" ca="1" si="13"/>
        <v>-43569.851040413334</v>
      </c>
      <c r="G43">
        <f t="shared" ca="1" si="1"/>
        <v>10668</v>
      </c>
      <c r="H43" s="9">
        <f t="shared" ca="1" si="2"/>
        <v>215.79561975100077</v>
      </c>
      <c r="I43" s="9">
        <f t="shared" ca="1" si="2"/>
        <v>104.98718356533354</v>
      </c>
      <c r="J43" s="9">
        <f t="shared" ca="1" si="2"/>
        <v>0</v>
      </c>
      <c r="K43" s="9">
        <f t="shared" ca="1" si="3"/>
        <v>239.97928705765329</v>
      </c>
      <c r="L43" s="9">
        <f t="shared" ca="1" si="4"/>
        <v>64.056517093079492</v>
      </c>
      <c r="M43">
        <f t="shared" ca="1" si="8"/>
        <v>55.455750000000002</v>
      </c>
      <c r="N43">
        <f t="shared" ca="1" si="9"/>
        <v>31.500238425925925</v>
      </c>
    </row>
    <row r="44" spans="1:14" x14ac:dyDescent="0.25">
      <c r="A44" s="4">
        <f t="shared" si="10"/>
        <v>0.42025462962962928</v>
      </c>
      <c r="B44" s="3">
        <f t="shared" si="11"/>
        <v>1553300310</v>
      </c>
      <c r="C44">
        <f t="shared" si="5"/>
        <v>2</v>
      </c>
      <c r="D44">
        <f t="shared" si="5"/>
        <v>6</v>
      </c>
      <c r="E44">
        <f t="shared" ca="1" si="12"/>
        <v>-88475.932247310004</v>
      </c>
      <c r="F44">
        <f t="shared" ca="1" si="13"/>
        <v>-43044.915122586666</v>
      </c>
      <c r="G44">
        <f t="shared" ca="1" si="1"/>
        <v>10668</v>
      </c>
      <c r="H44" s="9">
        <f t="shared" ca="1" si="2"/>
        <v>215.79561975100077</v>
      </c>
      <c r="I44" s="9">
        <f t="shared" ca="1" si="2"/>
        <v>104.98718356533209</v>
      </c>
      <c r="J44" s="9">
        <f t="shared" ca="1" si="2"/>
        <v>0</v>
      </c>
      <c r="K44" s="9">
        <f t="shared" ca="1" si="3"/>
        <v>239.97928705765264</v>
      </c>
      <c r="L44" s="9">
        <f t="shared" ca="1" si="4"/>
        <v>64.056517093079805</v>
      </c>
      <c r="M44">
        <f t="shared" ca="1" si="8"/>
        <v>55.460500000000003</v>
      </c>
      <c r="N44">
        <f t="shared" ca="1" si="9"/>
        <v>31.517504629629627</v>
      </c>
    </row>
    <row r="45" spans="1:14" x14ac:dyDescent="0.25">
      <c r="A45" s="4">
        <f t="shared" si="10"/>
        <v>0.42031249999999964</v>
      </c>
      <c r="B45" s="3">
        <f t="shared" si="11"/>
        <v>1553300315</v>
      </c>
      <c r="C45">
        <f t="shared" si="5"/>
        <v>2</v>
      </c>
      <c r="D45">
        <f t="shared" si="5"/>
        <v>6</v>
      </c>
      <c r="E45">
        <f t="shared" ca="1" si="12"/>
        <v>-87396.954148555</v>
      </c>
      <c r="F45">
        <f t="shared" ca="1" si="13"/>
        <v>-42519.979204760006</v>
      </c>
      <c r="G45">
        <f t="shared" ca="1" si="1"/>
        <v>10668</v>
      </c>
      <c r="H45" s="9">
        <f t="shared" ca="1" si="2"/>
        <v>215.79561975100077</v>
      </c>
      <c r="I45" s="9">
        <f t="shared" ca="1" si="2"/>
        <v>104.987183565335</v>
      </c>
      <c r="J45" s="9">
        <f t="shared" ca="1" si="2"/>
        <v>0</v>
      </c>
      <c r="K45" s="9">
        <f t="shared" ca="1" si="3"/>
        <v>239.97928705765392</v>
      </c>
      <c r="L45" s="9">
        <f t="shared" ca="1" si="4"/>
        <v>64.056517093079179</v>
      </c>
      <c r="M45">
        <f t="shared" ca="1" si="8"/>
        <v>55.465250000000005</v>
      </c>
      <c r="N45">
        <f t="shared" ca="1" si="9"/>
        <v>31.534770833333333</v>
      </c>
    </row>
    <row r="46" spans="1:14" x14ac:dyDescent="0.25">
      <c r="A46" s="4">
        <f t="shared" si="10"/>
        <v>0.42037037037037001</v>
      </c>
      <c r="B46" s="3">
        <f t="shared" si="11"/>
        <v>1553300320</v>
      </c>
      <c r="C46">
        <f t="shared" si="5"/>
        <v>2</v>
      </c>
      <c r="D46">
        <f t="shared" si="5"/>
        <v>6</v>
      </c>
      <c r="E46">
        <f t="shared" ca="1" si="12"/>
        <v>-86317.976049799996</v>
      </c>
      <c r="F46">
        <f t="shared" ca="1" si="13"/>
        <v>-41995.043286933331</v>
      </c>
      <c r="G46">
        <f t="shared" ca="1" si="1"/>
        <v>10668</v>
      </c>
      <c r="H46" s="9">
        <f t="shared" ca="1" si="2"/>
        <v>215.79561975099787</v>
      </c>
      <c r="I46" s="9">
        <f t="shared" ca="1" si="2"/>
        <v>104.98718356533209</v>
      </c>
      <c r="J46" s="9">
        <f t="shared" ca="1" si="2"/>
        <v>0</v>
      </c>
      <c r="K46" s="9">
        <f t="shared" ca="1" si="3"/>
        <v>239.97928705765005</v>
      </c>
      <c r="L46" s="9">
        <f t="shared" ca="1" si="4"/>
        <v>64.056517093079506</v>
      </c>
      <c r="M46">
        <f t="shared" ca="1" si="8"/>
        <v>55.47</v>
      </c>
      <c r="N46">
        <f t="shared" ca="1" si="9"/>
        <v>31.552037037037035</v>
      </c>
    </row>
    <row r="47" spans="1:14" x14ac:dyDescent="0.25">
      <c r="A47" s="4">
        <f t="shared" si="10"/>
        <v>0.42042824074074037</v>
      </c>
      <c r="B47" s="3">
        <f t="shared" si="11"/>
        <v>1553300325</v>
      </c>
      <c r="C47">
        <f t="shared" si="5"/>
        <v>2</v>
      </c>
      <c r="D47">
        <f t="shared" si="5"/>
        <v>6</v>
      </c>
      <c r="E47">
        <f t="shared" ca="1" si="12"/>
        <v>-85238.997951045007</v>
      </c>
      <c r="F47">
        <f t="shared" ca="1" si="13"/>
        <v>-41470.10736910667</v>
      </c>
      <c r="G47">
        <f t="shared" ca="1" si="1"/>
        <v>10668</v>
      </c>
      <c r="H47" s="9">
        <f t="shared" ca="1" si="2"/>
        <v>215.79561975100077</v>
      </c>
      <c r="I47" s="9">
        <f t="shared" ca="1" si="2"/>
        <v>104.98718356533354</v>
      </c>
      <c r="J47" s="9">
        <f t="shared" ca="1" si="2"/>
        <v>0</v>
      </c>
      <c r="K47" s="9">
        <f t="shared" ca="1" si="3"/>
        <v>239.97928705765329</v>
      </c>
      <c r="L47" s="9">
        <f t="shared" ca="1" si="4"/>
        <v>64.056517093079492</v>
      </c>
      <c r="M47">
        <f t="shared" ca="1" si="8"/>
        <v>55.47475</v>
      </c>
      <c r="N47">
        <f t="shared" ca="1" si="9"/>
        <v>31.569303240740741</v>
      </c>
    </row>
    <row r="48" spans="1:14" x14ac:dyDescent="0.25">
      <c r="A48" s="4">
        <f t="shared" si="10"/>
        <v>0.42048611111111073</v>
      </c>
      <c r="B48" s="3">
        <f t="shared" si="11"/>
        <v>1553300330</v>
      </c>
      <c r="C48">
        <f t="shared" si="5"/>
        <v>2</v>
      </c>
      <c r="D48">
        <f t="shared" si="5"/>
        <v>6</v>
      </c>
      <c r="E48">
        <f t="shared" ca="1" si="12"/>
        <v>-84160.019852290003</v>
      </c>
      <c r="F48">
        <f t="shared" ca="1" si="13"/>
        <v>-40945.171451280003</v>
      </c>
      <c r="G48">
        <f t="shared" ca="1" si="1"/>
        <v>10668</v>
      </c>
      <c r="H48" s="9">
        <f t="shared" ca="1" si="2"/>
        <v>215.79561975099787</v>
      </c>
      <c r="I48" s="9">
        <f t="shared" ca="1" si="2"/>
        <v>104.98718356533354</v>
      </c>
      <c r="J48" s="9">
        <f t="shared" ca="1" si="2"/>
        <v>0</v>
      </c>
      <c r="K48" s="9">
        <f t="shared" ca="1" si="3"/>
        <v>239.97928705765068</v>
      </c>
      <c r="L48" s="9">
        <f t="shared" ca="1" si="4"/>
        <v>64.056517093079194</v>
      </c>
      <c r="M48">
        <f t="shared" ca="1" si="8"/>
        <v>55.479500000000002</v>
      </c>
      <c r="N48">
        <f t="shared" ca="1" si="9"/>
        <v>31.586569444444443</v>
      </c>
    </row>
    <row r="49" spans="1:19" x14ac:dyDescent="0.25">
      <c r="A49" s="4">
        <f t="shared" si="10"/>
        <v>0.42054398148148109</v>
      </c>
      <c r="B49" s="3">
        <f t="shared" si="11"/>
        <v>1553300335</v>
      </c>
      <c r="C49">
        <f t="shared" si="5"/>
        <v>2</v>
      </c>
      <c r="D49">
        <f t="shared" si="5"/>
        <v>6</v>
      </c>
      <c r="E49">
        <f t="shared" ca="1" si="12"/>
        <v>-83081.041753535013</v>
      </c>
      <c r="F49">
        <f t="shared" ca="1" si="13"/>
        <v>-40420.235533453335</v>
      </c>
      <c r="G49">
        <f t="shared" ca="1" si="1"/>
        <v>10668</v>
      </c>
      <c r="H49" s="9">
        <f t="shared" ca="1" si="2"/>
        <v>215.79561975100077</v>
      </c>
      <c r="I49" s="9">
        <f t="shared" ca="1" si="2"/>
        <v>104.98718356533354</v>
      </c>
      <c r="J49" s="9">
        <f t="shared" ca="1" si="2"/>
        <v>0</v>
      </c>
      <c r="K49" s="9">
        <f t="shared" ca="1" si="3"/>
        <v>239.97928705765329</v>
      </c>
      <c r="L49" s="9">
        <f t="shared" ca="1" si="4"/>
        <v>64.056517093079492</v>
      </c>
      <c r="M49">
        <f t="shared" ca="1" si="8"/>
        <v>55.484250000000003</v>
      </c>
      <c r="N49">
        <f t="shared" ca="1" si="9"/>
        <v>31.603835648148149</v>
      </c>
    </row>
    <row r="50" spans="1:19" x14ac:dyDescent="0.25">
      <c r="A50" s="4">
        <f t="shared" si="10"/>
        <v>0.42060185185185145</v>
      </c>
      <c r="B50" s="3">
        <f t="shared" si="11"/>
        <v>1553300340</v>
      </c>
      <c r="C50">
        <f t="shared" si="5"/>
        <v>2</v>
      </c>
      <c r="D50">
        <f t="shared" si="5"/>
        <v>6</v>
      </c>
      <c r="E50">
        <f t="shared" ca="1" si="12"/>
        <v>-82002.06365478001</v>
      </c>
      <c r="F50">
        <f t="shared" ca="1" si="13"/>
        <v>-39895.299615626667</v>
      </c>
      <c r="G50">
        <f t="shared" ca="1" si="1"/>
        <v>10668</v>
      </c>
      <c r="H50" s="9">
        <f t="shared" ca="1" si="2"/>
        <v>215.79561975100077</v>
      </c>
      <c r="I50" s="9">
        <f t="shared" ca="1" si="2"/>
        <v>104.98718356533354</v>
      </c>
      <c r="J50" s="9">
        <f t="shared" ca="1" si="2"/>
        <v>0</v>
      </c>
      <c r="K50" s="9">
        <f t="shared" ca="1" si="3"/>
        <v>239.97928705765329</v>
      </c>
      <c r="L50" s="9">
        <f t="shared" ca="1" si="4"/>
        <v>64.056517093079492</v>
      </c>
      <c r="M50">
        <f t="shared" ca="1" si="8"/>
        <v>55.489000000000004</v>
      </c>
      <c r="N50">
        <f t="shared" ca="1" si="9"/>
        <v>31.621101851851851</v>
      </c>
    </row>
    <row r="51" spans="1:19" x14ac:dyDescent="0.25">
      <c r="A51" s="4">
        <f t="shared" si="10"/>
        <v>0.42065972222222181</v>
      </c>
      <c r="B51" s="3">
        <f t="shared" si="11"/>
        <v>1553300345</v>
      </c>
      <c r="C51">
        <f t="shared" si="5"/>
        <v>2</v>
      </c>
      <c r="D51">
        <f t="shared" si="5"/>
        <v>6</v>
      </c>
      <c r="E51">
        <f t="shared" ca="1" si="12"/>
        <v>-80923.085556025006</v>
      </c>
      <c r="F51">
        <f t="shared" ca="1" si="13"/>
        <v>-39370.363697799999</v>
      </c>
      <c r="G51">
        <f t="shared" ca="1" si="1"/>
        <v>10668</v>
      </c>
      <c r="H51" s="9">
        <f t="shared" ca="1" si="2"/>
        <v>215.79561975100077</v>
      </c>
      <c r="I51" s="9">
        <f t="shared" ca="1" si="2"/>
        <v>104.98718356533209</v>
      </c>
      <c r="J51" s="9">
        <f t="shared" ca="1" si="2"/>
        <v>0</v>
      </c>
      <c r="K51" s="9">
        <f t="shared" ca="1" si="3"/>
        <v>239.97928705765264</v>
      </c>
      <c r="L51" s="9">
        <f t="shared" ca="1" si="4"/>
        <v>64.056517093079805</v>
      </c>
      <c r="M51">
        <f t="shared" ca="1" si="8"/>
        <v>55.493749999999999</v>
      </c>
      <c r="N51">
        <f t="shared" ca="1" si="9"/>
        <v>31.638368055555553</v>
      </c>
      <c r="O51" s="13"/>
      <c r="P51" s="13"/>
      <c r="Q51" s="13"/>
      <c r="R51" s="13"/>
      <c r="S51" s="13"/>
    </row>
    <row r="52" spans="1:19" x14ac:dyDescent="0.25">
      <c r="A52" s="4">
        <f>A51+5/24/3600</f>
        <v>0.42071759259259217</v>
      </c>
      <c r="B52" s="3">
        <f t="shared" si="11"/>
        <v>1553300350</v>
      </c>
      <c r="C52">
        <f t="shared" si="5"/>
        <v>2</v>
      </c>
      <c r="D52">
        <f t="shared" si="5"/>
        <v>6</v>
      </c>
      <c r="E52">
        <f t="shared" ca="1" si="12"/>
        <v>-79844.107457270002</v>
      </c>
      <c r="F52">
        <f t="shared" ca="1" si="13"/>
        <v>-38845.427779973339</v>
      </c>
      <c r="G52">
        <f t="shared" ca="1" si="1"/>
        <v>10668</v>
      </c>
      <c r="H52" s="9">
        <f t="shared" ca="1" si="2"/>
        <v>215.79561975100077</v>
      </c>
      <c r="I52" s="9">
        <f t="shared" ca="1" si="2"/>
        <v>104.987183565335</v>
      </c>
      <c r="J52" s="9">
        <f t="shared" ca="1" si="2"/>
        <v>0</v>
      </c>
      <c r="K52" s="9">
        <f t="shared" ca="1" si="3"/>
        <v>239.97928705765392</v>
      </c>
      <c r="L52" s="9">
        <f t="shared" ca="1" si="4"/>
        <v>64.056517093079179</v>
      </c>
      <c r="M52">
        <f t="shared" ca="1" si="8"/>
        <v>55.4985</v>
      </c>
      <c r="N52">
        <f t="shared" ca="1" si="9"/>
        <v>31.655634259259259</v>
      </c>
    </row>
    <row r="53" spans="1:19" x14ac:dyDescent="0.25">
      <c r="A53" s="4">
        <f t="shared" si="10"/>
        <v>0.42077546296296253</v>
      </c>
      <c r="B53" s="3">
        <f t="shared" si="11"/>
        <v>1553300355</v>
      </c>
      <c r="C53">
        <f t="shared" si="5"/>
        <v>2</v>
      </c>
      <c r="D53">
        <f t="shared" si="5"/>
        <v>6</v>
      </c>
      <c r="E53">
        <f t="shared" ca="1" si="12"/>
        <v>-78765.129358514998</v>
      </c>
      <c r="F53">
        <f t="shared" ca="1" si="13"/>
        <v>-38320.491862146664</v>
      </c>
      <c r="G53">
        <f t="shared" ca="1" si="1"/>
        <v>10668</v>
      </c>
      <c r="H53" s="9">
        <f t="shared" ca="1" si="2"/>
        <v>215.79561975099787</v>
      </c>
      <c r="I53" s="9">
        <f t="shared" ca="1" si="2"/>
        <v>104.98718356533209</v>
      </c>
      <c r="J53" s="9">
        <f t="shared" ca="1" si="2"/>
        <v>0</v>
      </c>
      <c r="K53" s="9">
        <f t="shared" ca="1" si="3"/>
        <v>239.97928705765005</v>
      </c>
      <c r="L53" s="9">
        <f t="shared" ca="1" si="4"/>
        <v>64.056517093079506</v>
      </c>
      <c r="M53">
        <f t="shared" ca="1" si="8"/>
        <v>55.503250000000001</v>
      </c>
      <c r="N53">
        <f t="shared" ca="1" si="9"/>
        <v>31.672900462962961</v>
      </c>
    </row>
    <row r="54" spans="1:19" x14ac:dyDescent="0.25">
      <c r="A54" s="8">
        <f t="shared" si="10"/>
        <v>0.42083333333333289</v>
      </c>
      <c r="B54" s="3">
        <f t="shared" si="11"/>
        <v>1553300360</v>
      </c>
      <c r="C54">
        <f t="shared" si="5"/>
        <v>2</v>
      </c>
      <c r="D54">
        <f t="shared" si="5"/>
        <v>6</v>
      </c>
      <c r="E54">
        <f t="shared" ca="1" si="12"/>
        <v>-77686.151259760009</v>
      </c>
      <c r="F54">
        <f t="shared" ca="1" si="13"/>
        <v>-37795.555944320004</v>
      </c>
      <c r="G54">
        <f t="shared" ca="1" si="1"/>
        <v>10668</v>
      </c>
      <c r="H54" s="9">
        <f t="shared" ca="1" si="2"/>
        <v>215.79561975100077</v>
      </c>
      <c r="I54" s="9">
        <f t="shared" ca="1" si="2"/>
        <v>104.98718356533354</v>
      </c>
      <c r="J54" s="9">
        <f t="shared" ca="1" si="2"/>
        <v>0</v>
      </c>
      <c r="K54" s="9">
        <f t="shared" ca="1" si="3"/>
        <v>239.97928705765329</v>
      </c>
      <c r="L54" s="9">
        <f t="shared" ca="1" si="4"/>
        <v>64.056517093079492</v>
      </c>
      <c r="M54">
        <f t="shared" ca="1" si="8"/>
        <v>55.508000000000003</v>
      </c>
      <c r="N54">
        <f t="shared" ca="1" si="9"/>
        <v>31.690166666666666</v>
      </c>
    </row>
    <row r="55" spans="1:19" x14ac:dyDescent="0.25">
      <c r="A55" s="4">
        <f t="shared" si="10"/>
        <v>0.42089120370370325</v>
      </c>
      <c r="B55" s="3">
        <f t="shared" si="11"/>
        <v>1553300365</v>
      </c>
      <c r="C55">
        <f t="shared" si="5"/>
        <v>2</v>
      </c>
      <c r="D55">
        <f t="shared" si="5"/>
        <v>6</v>
      </c>
      <c r="E55">
        <f t="shared" ca="1" si="12"/>
        <v>-76607.173161005005</v>
      </c>
      <c r="F55">
        <f t="shared" ca="1" si="13"/>
        <v>-37270.620026493336</v>
      </c>
      <c r="G55">
        <f t="shared" ca="1" si="1"/>
        <v>10668</v>
      </c>
      <c r="H55" s="9">
        <f t="shared" ca="1" si="2"/>
        <v>215.79561975099787</v>
      </c>
      <c r="I55" s="9">
        <f t="shared" ca="1" si="2"/>
        <v>104.98718356533354</v>
      </c>
      <c r="J55" s="9">
        <f t="shared" ca="1" si="2"/>
        <v>0</v>
      </c>
      <c r="K55" s="9">
        <f t="shared" ca="1" si="3"/>
        <v>239.97928705765068</v>
      </c>
      <c r="L55" s="9">
        <f t="shared" ca="1" si="4"/>
        <v>64.056517093079194</v>
      </c>
      <c r="M55">
        <f t="shared" ca="1" si="8"/>
        <v>55.512750000000004</v>
      </c>
      <c r="N55">
        <f t="shared" ca="1" si="9"/>
        <v>31.707432870370369</v>
      </c>
    </row>
    <row r="56" spans="1:19" x14ac:dyDescent="0.25">
      <c r="A56" s="4">
        <f t="shared" si="10"/>
        <v>0.42094907407407361</v>
      </c>
      <c r="B56" s="3">
        <f t="shared" si="11"/>
        <v>1553300370</v>
      </c>
      <c r="C56">
        <f t="shared" si="5"/>
        <v>2</v>
      </c>
      <c r="D56">
        <f t="shared" si="5"/>
        <v>6</v>
      </c>
      <c r="E56">
        <f t="shared" ca="1" si="12"/>
        <v>-75528.195062250015</v>
      </c>
      <c r="F56">
        <f t="shared" ca="1" si="13"/>
        <v>-36745.684108666668</v>
      </c>
      <c r="G56">
        <f t="shared" ca="1" si="1"/>
        <v>10668</v>
      </c>
      <c r="H56" s="9">
        <f t="shared" ca="1" si="2"/>
        <v>215.79561975100077</v>
      </c>
      <c r="I56" s="9">
        <f t="shared" ca="1" si="2"/>
        <v>104.98718356533354</v>
      </c>
      <c r="J56" s="9">
        <f t="shared" ca="1" si="2"/>
        <v>0</v>
      </c>
      <c r="K56" s="9">
        <f t="shared" ca="1" si="3"/>
        <v>239.97928705765329</v>
      </c>
      <c r="L56" s="9">
        <f t="shared" ca="1" si="4"/>
        <v>64.056517093079492</v>
      </c>
      <c r="M56">
        <f t="shared" ca="1" si="8"/>
        <v>55.517499999999998</v>
      </c>
      <c r="N56">
        <f t="shared" ca="1" si="9"/>
        <v>31.724699074074074</v>
      </c>
    </row>
    <row r="57" spans="1:19" x14ac:dyDescent="0.25">
      <c r="A57" s="4">
        <f t="shared" si="10"/>
        <v>0.42100694444444398</v>
      </c>
      <c r="B57" s="3">
        <f t="shared" si="11"/>
        <v>1553300375</v>
      </c>
      <c r="C57">
        <f t="shared" si="5"/>
        <v>2</v>
      </c>
      <c r="D57">
        <f t="shared" si="5"/>
        <v>6</v>
      </c>
      <c r="E57">
        <f t="shared" ca="1" si="12"/>
        <v>-74449.216963495011</v>
      </c>
      <c r="F57">
        <f t="shared" ca="1" si="13"/>
        <v>-36220.74819084</v>
      </c>
      <c r="G57">
        <f t="shared" ca="1" si="1"/>
        <v>10668</v>
      </c>
      <c r="H57" s="9">
        <f t="shared" ca="1" si="2"/>
        <v>215.79561975100077</v>
      </c>
      <c r="I57" s="9">
        <f t="shared" ca="1" si="2"/>
        <v>104.98718356533354</v>
      </c>
      <c r="J57" s="9">
        <f t="shared" ca="1" si="2"/>
        <v>0</v>
      </c>
      <c r="K57" s="9">
        <f t="shared" ca="1" si="3"/>
        <v>239.97928705765329</v>
      </c>
      <c r="L57" s="9">
        <f t="shared" ca="1" si="4"/>
        <v>64.056517093079492</v>
      </c>
      <c r="M57">
        <f t="shared" ca="1" si="8"/>
        <v>55.52225</v>
      </c>
      <c r="N57">
        <f t="shared" ca="1" si="9"/>
        <v>31.741965277777776</v>
      </c>
    </row>
    <row r="58" spans="1:19" x14ac:dyDescent="0.25">
      <c r="A58" s="4">
        <f t="shared" si="10"/>
        <v>0.42106481481481434</v>
      </c>
      <c r="B58" s="3">
        <f t="shared" si="11"/>
        <v>1553300380</v>
      </c>
      <c r="C58">
        <f t="shared" si="5"/>
        <v>2</v>
      </c>
      <c r="D58">
        <f t="shared" si="5"/>
        <v>6</v>
      </c>
      <c r="E58">
        <f t="shared" ca="1" si="12"/>
        <v>-73370.238864740008</v>
      </c>
      <c r="F58">
        <f t="shared" ca="1" si="13"/>
        <v>-35695.812273013333</v>
      </c>
      <c r="G58">
        <f t="shared" ca="1" si="1"/>
        <v>10668</v>
      </c>
      <c r="H58" s="9">
        <f t="shared" ca="1" si="2"/>
        <v>215.79561975100077</v>
      </c>
      <c r="I58" s="9">
        <f t="shared" ca="1" si="2"/>
        <v>104.98718356533209</v>
      </c>
      <c r="J58" s="9">
        <f t="shared" ca="1" si="2"/>
        <v>0</v>
      </c>
      <c r="K58" s="9">
        <f t="shared" ca="1" si="3"/>
        <v>239.97928705765264</v>
      </c>
      <c r="L58" s="9">
        <f t="shared" ca="1" si="4"/>
        <v>64.056517093079805</v>
      </c>
      <c r="M58">
        <f t="shared" ca="1" si="8"/>
        <v>55.527000000000001</v>
      </c>
      <c r="N58">
        <f t="shared" ca="1" si="9"/>
        <v>31.759231481481482</v>
      </c>
    </row>
    <row r="59" spans="1:19" x14ac:dyDescent="0.25">
      <c r="A59" s="4">
        <f t="shared" si="10"/>
        <v>0.4211226851851847</v>
      </c>
      <c r="B59" s="3">
        <f t="shared" si="11"/>
        <v>1553300385</v>
      </c>
      <c r="C59">
        <f t="shared" si="5"/>
        <v>2</v>
      </c>
      <c r="D59">
        <f t="shared" si="5"/>
        <v>6</v>
      </c>
      <c r="E59">
        <f t="shared" ca="1" si="12"/>
        <v>-72291.260765985004</v>
      </c>
      <c r="F59">
        <f t="shared" ca="1" si="13"/>
        <v>-35170.876355186672</v>
      </c>
      <c r="G59">
        <f t="shared" ca="1" si="1"/>
        <v>10668</v>
      </c>
      <c r="H59" s="9">
        <f t="shared" ca="1" si="2"/>
        <v>215.79561975100077</v>
      </c>
      <c r="I59" s="9">
        <f t="shared" ca="1" si="2"/>
        <v>104.987183565335</v>
      </c>
      <c r="J59" s="9">
        <f t="shared" ca="1" si="2"/>
        <v>0</v>
      </c>
      <c r="K59" s="9">
        <f t="shared" ca="1" si="3"/>
        <v>239.97928705765392</v>
      </c>
      <c r="L59" s="9">
        <f t="shared" ca="1" si="4"/>
        <v>64.056517093079179</v>
      </c>
      <c r="M59">
        <f t="shared" ca="1" si="8"/>
        <v>55.531750000000002</v>
      </c>
      <c r="N59">
        <f t="shared" ca="1" si="9"/>
        <v>31.776497685185184</v>
      </c>
    </row>
    <row r="60" spans="1:19" x14ac:dyDescent="0.25">
      <c r="A60" s="4">
        <f t="shared" si="10"/>
        <v>0.42118055555555506</v>
      </c>
      <c r="B60" s="3">
        <f t="shared" si="11"/>
        <v>1553300390</v>
      </c>
      <c r="C60">
        <f t="shared" si="5"/>
        <v>2</v>
      </c>
      <c r="D60">
        <f t="shared" si="5"/>
        <v>6</v>
      </c>
      <c r="E60">
        <f t="shared" ca="1" si="12"/>
        <v>-71212.28266723</v>
      </c>
      <c r="F60">
        <f t="shared" ca="1" si="13"/>
        <v>-34645.940437359997</v>
      </c>
      <c r="G60">
        <f t="shared" ca="1" si="1"/>
        <v>10668</v>
      </c>
      <c r="H60" s="9">
        <f t="shared" ca="1" si="2"/>
        <v>215.79561975100077</v>
      </c>
      <c r="I60" s="9">
        <f t="shared" ca="1" si="2"/>
        <v>104.98718356533209</v>
      </c>
      <c r="J60" s="9">
        <f t="shared" ca="1" si="2"/>
        <v>0</v>
      </c>
      <c r="K60" s="9">
        <f t="shared" ca="1" si="3"/>
        <v>239.97928705765264</v>
      </c>
      <c r="L60" s="9">
        <f t="shared" ca="1" si="4"/>
        <v>64.056517093079805</v>
      </c>
      <c r="M60">
        <f t="shared" ca="1" si="8"/>
        <v>55.536500000000004</v>
      </c>
      <c r="N60">
        <f t="shared" ca="1" si="9"/>
        <v>31.793763888888886</v>
      </c>
    </row>
    <row r="61" spans="1:19" x14ac:dyDescent="0.25">
      <c r="A61" s="4">
        <f t="shared" si="10"/>
        <v>0.42123842592592542</v>
      </c>
      <c r="B61" s="3">
        <f t="shared" si="11"/>
        <v>1553300395</v>
      </c>
      <c r="C61">
        <f t="shared" si="5"/>
        <v>2</v>
      </c>
      <c r="D61">
        <f t="shared" si="5"/>
        <v>6</v>
      </c>
      <c r="E61">
        <f t="shared" ca="1" si="12"/>
        <v>-70133.304568474996</v>
      </c>
      <c r="F61">
        <f t="shared" ca="1" si="13"/>
        <v>-34121.004519533337</v>
      </c>
      <c r="G61">
        <f t="shared" ca="1" si="1"/>
        <v>10668</v>
      </c>
      <c r="H61" s="9">
        <f t="shared" ca="1" si="2"/>
        <v>215.79561975099787</v>
      </c>
      <c r="I61" s="9">
        <f t="shared" ca="1" si="2"/>
        <v>104.98718356533354</v>
      </c>
      <c r="J61" s="9">
        <f t="shared" ca="1" si="2"/>
        <v>0</v>
      </c>
      <c r="K61" s="9">
        <f t="shared" ca="1" si="3"/>
        <v>239.97928705765068</v>
      </c>
      <c r="L61" s="9">
        <f t="shared" ca="1" si="4"/>
        <v>64.056517093079194</v>
      </c>
      <c r="M61">
        <f t="shared" ca="1" si="8"/>
        <v>55.541249999999998</v>
      </c>
      <c r="N61">
        <f t="shared" ca="1" si="9"/>
        <v>31.811030092592592</v>
      </c>
    </row>
    <row r="62" spans="1:19" x14ac:dyDescent="0.25">
      <c r="A62" s="4">
        <f t="shared" si="10"/>
        <v>0.42129629629629578</v>
      </c>
      <c r="B62" s="3">
        <f t="shared" si="11"/>
        <v>1553300400</v>
      </c>
      <c r="C62">
        <f t="shared" si="5"/>
        <v>2</v>
      </c>
      <c r="D62">
        <f t="shared" si="5"/>
        <v>6</v>
      </c>
      <c r="E62">
        <f t="shared" ca="1" si="12"/>
        <v>-69054.326469720007</v>
      </c>
      <c r="F62">
        <f t="shared" ca="1" si="13"/>
        <v>-33596.068601706669</v>
      </c>
      <c r="G62">
        <f t="shared" ca="1" si="1"/>
        <v>10668</v>
      </c>
      <c r="H62" s="9">
        <f t="shared" ca="1" si="2"/>
        <v>215.79561975100077</v>
      </c>
      <c r="I62" s="9">
        <f t="shared" ca="1" si="2"/>
        <v>104.98718356533354</v>
      </c>
      <c r="J62" s="9">
        <f t="shared" ca="1" si="2"/>
        <v>0</v>
      </c>
      <c r="K62" s="9">
        <f t="shared" ca="1" si="3"/>
        <v>239.97928705765329</v>
      </c>
      <c r="L62" s="9">
        <f t="shared" ca="1" si="4"/>
        <v>64.056517093079492</v>
      </c>
      <c r="M62">
        <f t="shared" ca="1" si="8"/>
        <v>55.545999999999999</v>
      </c>
      <c r="N62">
        <f t="shared" ca="1" si="9"/>
        <v>31.828296296296294</v>
      </c>
    </row>
    <row r="63" spans="1:19" x14ac:dyDescent="0.25">
      <c r="A63" s="4">
        <f t="shared" si="10"/>
        <v>0.42135416666666614</v>
      </c>
      <c r="B63" s="3">
        <f t="shared" si="11"/>
        <v>1553300405</v>
      </c>
      <c r="C63">
        <f t="shared" si="5"/>
        <v>2</v>
      </c>
      <c r="D63">
        <f t="shared" si="5"/>
        <v>6</v>
      </c>
      <c r="E63">
        <f t="shared" ca="1" si="12"/>
        <v>-67975.348370965003</v>
      </c>
      <c r="F63">
        <f t="shared" ca="1" si="13"/>
        <v>-33071.132683880001</v>
      </c>
      <c r="G63">
        <f t="shared" ca="1" si="1"/>
        <v>10668</v>
      </c>
      <c r="H63" s="9">
        <f t="shared" ca="1" si="2"/>
        <v>215.79561975099787</v>
      </c>
      <c r="I63" s="9">
        <f t="shared" ca="1" si="2"/>
        <v>104.98718356533354</v>
      </c>
      <c r="J63" s="9">
        <f t="shared" ca="1" si="2"/>
        <v>0</v>
      </c>
      <c r="K63" s="9">
        <f t="shared" ca="1" si="3"/>
        <v>239.97928705765068</v>
      </c>
      <c r="L63" s="9">
        <f t="shared" ca="1" si="4"/>
        <v>64.056517093079194</v>
      </c>
      <c r="M63">
        <f t="shared" ca="1" si="8"/>
        <v>55.550750000000001</v>
      </c>
      <c r="N63">
        <f t="shared" ca="1" si="9"/>
        <v>31.8455625</v>
      </c>
    </row>
    <row r="64" spans="1:19" x14ac:dyDescent="0.25">
      <c r="A64" s="4">
        <f t="shared" si="10"/>
        <v>0.4214120370370365</v>
      </c>
      <c r="B64" s="3">
        <f t="shared" si="11"/>
        <v>1553300410</v>
      </c>
      <c r="C64">
        <f t="shared" si="5"/>
        <v>2</v>
      </c>
      <c r="D64">
        <f t="shared" si="5"/>
        <v>6</v>
      </c>
      <c r="E64">
        <f t="shared" ca="1" si="12"/>
        <v>-66896.370272210013</v>
      </c>
      <c r="F64">
        <f t="shared" ca="1" si="13"/>
        <v>-32546.196766053334</v>
      </c>
      <c r="G64">
        <f t="shared" ca="1" si="1"/>
        <v>10668</v>
      </c>
      <c r="H64" s="9">
        <f t="shared" ca="1" si="2"/>
        <v>215.79561975100077</v>
      </c>
      <c r="I64" s="9">
        <f t="shared" ca="1" si="2"/>
        <v>104.98718356533281</v>
      </c>
      <c r="J64" s="9">
        <f t="shared" ca="1" si="2"/>
        <v>0</v>
      </c>
      <c r="K64" s="9">
        <f t="shared" ca="1" si="3"/>
        <v>239.97928705765295</v>
      </c>
      <c r="L64" s="9">
        <f t="shared" ca="1" si="4"/>
        <v>64.056517093079648</v>
      </c>
      <c r="M64">
        <f t="shared" ca="1" si="8"/>
        <v>55.555500000000002</v>
      </c>
      <c r="N64">
        <f t="shared" ca="1" si="9"/>
        <v>31.862828703703702</v>
      </c>
    </row>
    <row r="65" spans="1:14" x14ac:dyDescent="0.25">
      <c r="A65" s="4">
        <f t="shared" si="10"/>
        <v>0.42146990740740686</v>
      </c>
      <c r="B65" s="3">
        <f t="shared" si="11"/>
        <v>1553300415</v>
      </c>
      <c r="C65">
        <f t="shared" si="5"/>
        <v>2</v>
      </c>
      <c r="D65">
        <f t="shared" si="5"/>
        <v>6</v>
      </c>
      <c r="E65">
        <f t="shared" ca="1" si="12"/>
        <v>-65817.392173455009</v>
      </c>
      <c r="F65">
        <f t="shared" ca="1" si="13"/>
        <v>-32021.26084822667</v>
      </c>
      <c r="G65">
        <f t="shared" ca="1" si="1"/>
        <v>10668</v>
      </c>
      <c r="H65" s="9">
        <f t="shared" ca="1" si="2"/>
        <v>215.79561975100077</v>
      </c>
      <c r="I65" s="9">
        <f t="shared" ca="1" si="2"/>
        <v>104.98718356533354</v>
      </c>
      <c r="J65" s="9">
        <f t="shared" ca="1" si="2"/>
        <v>0</v>
      </c>
      <c r="K65" s="9">
        <f t="shared" ca="1" si="3"/>
        <v>239.97928705765329</v>
      </c>
      <c r="L65" s="9">
        <f t="shared" ca="1" si="4"/>
        <v>64.056517093079492</v>
      </c>
      <c r="M65">
        <f t="shared" ca="1" si="8"/>
        <v>55.560250000000003</v>
      </c>
      <c r="N65">
        <f t="shared" ca="1" si="9"/>
        <v>31.880094907407408</v>
      </c>
    </row>
    <row r="66" spans="1:14" x14ac:dyDescent="0.25">
      <c r="A66" s="4">
        <f t="shared" si="10"/>
        <v>0.42152777777777722</v>
      </c>
      <c r="B66" s="3">
        <f t="shared" si="11"/>
        <v>1553300420</v>
      </c>
      <c r="C66">
        <f t="shared" si="5"/>
        <v>2</v>
      </c>
      <c r="D66">
        <f t="shared" si="5"/>
        <v>6</v>
      </c>
      <c r="E66">
        <f t="shared" ca="1" si="12"/>
        <v>-64738.414074700006</v>
      </c>
      <c r="F66">
        <f t="shared" ca="1" si="13"/>
        <v>-31496.324930400002</v>
      </c>
      <c r="G66">
        <f t="shared" ca="1" si="1"/>
        <v>10668</v>
      </c>
      <c r="H66" s="9">
        <f t="shared" ca="1" si="2"/>
        <v>215.79561975100077</v>
      </c>
      <c r="I66" s="9">
        <f t="shared" ca="1" si="2"/>
        <v>104.98718356533354</v>
      </c>
      <c r="J66" s="9">
        <f t="shared" ca="1" si="2"/>
        <v>0</v>
      </c>
      <c r="K66" s="9">
        <f t="shared" ca="1" si="3"/>
        <v>239.97928705765329</v>
      </c>
      <c r="L66" s="9">
        <f t="shared" ca="1" si="4"/>
        <v>64.056517093079492</v>
      </c>
      <c r="M66">
        <f t="shared" ca="1" si="8"/>
        <v>55.564999999999998</v>
      </c>
      <c r="N66">
        <f t="shared" ca="1" si="9"/>
        <v>31.89736111111111</v>
      </c>
    </row>
    <row r="67" spans="1:14" x14ac:dyDescent="0.25">
      <c r="A67" s="4">
        <f t="shared" si="10"/>
        <v>0.42158564814814758</v>
      </c>
      <c r="B67" s="3">
        <f t="shared" si="11"/>
        <v>1553300425</v>
      </c>
      <c r="C67">
        <f t="shared" si="5"/>
        <v>2</v>
      </c>
      <c r="D67">
        <f t="shared" si="5"/>
        <v>6</v>
      </c>
      <c r="E67">
        <f t="shared" ca="1" si="12"/>
        <v>-63659.435975945002</v>
      </c>
      <c r="F67">
        <f t="shared" ca="1" si="13"/>
        <v>-30971.389012573334</v>
      </c>
      <c r="G67">
        <f t="shared" ca="1" si="1"/>
        <v>10668</v>
      </c>
      <c r="H67" s="9">
        <f t="shared" ca="1" si="2"/>
        <v>215.79561975100077</v>
      </c>
      <c r="I67" s="9">
        <f t="shared" ca="1" si="2"/>
        <v>104.98718356533354</v>
      </c>
      <c r="J67" s="9">
        <f t="shared" ca="1" si="2"/>
        <v>0</v>
      </c>
      <c r="K67" s="9">
        <f t="shared" ca="1" si="3"/>
        <v>239.97928705765329</v>
      </c>
      <c r="L67" s="9">
        <f t="shared" ca="1" si="4"/>
        <v>64.056517093079492</v>
      </c>
      <c r="M67">
        <f t="shared" ca="1" si="8"/>
        <v>55.569749999999999</v>
      </c>
      <c r="N67">
        <f t="shared" ca="1" si="9"/>
        <v>31.914627314814812</v>
      </c>
    </row>
    <row r="68" spans="1:14" x14ac:dyDescent="0.25">
      <c r="A68" s="4">
        <f t="shared" si="10"/>
        <v>0.42164351851851795</v>
      </c>
      <c r="B68" s="3">
        <f t="shared" si="11"/>
        <v>1553300430</v>
      </c>
      <c r="C68">
        <f t="shared" si="5"/>
        <v>2</v>
      </c>
      <c r="D68">
        <f t="shared" si="5"/>
        <v>6</v>
      </c>
      <c r="E68">
        <f t="shared" ca="1" si="12"/>
        <v>-62580.457877189998</v>
      </c>
      <c r="F68">
        <f t="shared" ca="1" si="13"/>
        <v>-30446.453094746666</v>
      </c>
      <c r="G68">
        <f t="shared" ca="1" si="1"/>
        <v>10668</v>
      </c>
      <c r="H68" s="9">
        <f t="shared" ca="1" si="2"/>
        <v>215.79561975099787</v>
      </c>
      <c r="I68" s="9">
        <f t="shared" ca="1" si="2"/>
        <v>104.98718356533281</v>
      </c>
      <c r="J68" s="9">
        <f t="shared" ca="1" si="2"/>
        <v>0</v>
      </c>
      <c r="K68" s="9">
        <f t="shared" ca="1" si="3"/>
        <v>239.97928705765034</v>
      </c>
      <c r="L68" s="9">
        <f t="shared" ca="1" si="4"/>
        <v>64.05651709307935</v>
      </c>
      <c r="M68">
        <f t="shared" ca="1" si="8"/>
        <v>55.5745</v>
      </c>
      <c r="N68">
        <f t="shared" ca="1" si="9"/>
        <v>31.931893518518518</v>
      </c>
    </row>
    <row r="69" spans="1:14" x14ac:dyDescent="0.25">
      <c r="A69" s="4">
        <f t="shared" si="10"/>
        <v>0.42170138888888831</v>
      </c>
      <c r="B69" s="3">
        <f t="shared" si="11"/>
        <v>1553300435</v>
      </c>
      <c r="C69">
        <f t="shared" si="5"/>
        <v>2</v>
      </c>
      <c r="D69">
        <f t="shared" si="5"/>
        <v>6</v>
      </c>
      <c r="E69">
        <f t="shared" ca="1" si="12"/>
        <v>-61501.479778435008</v>
      </c>
      <c r="F69">
        <f t="shared" ca="1" si="13"/>
        <v>-29921.517176920002</v>
      </c>
      <c r="G69">
        <f t="shared" ca="1" si="1"/>
        <v>10668</v>
      </c>
      <c r="H69" s="9">
        <f t="shared" ca="1" si="2"/>
        <v>215.79561975100077</v>
      </c>
      <c r="I69" s="9">
        <f t="shared" ca="1" si="2"/>
        <v>104.98718356533354</v>
      </c>
      <c r="J69" s="9">
        <f t="shared" ca="1" si="2"/>
        <v>0</v>
      </c>
      <c r="K69" s="9">
        <f t="shared" ca="1" si="3"/>
        <v>239.97928705765329</v>
      </c>
      <c r="L69" s="9">
        <f t="shared" ca="1" si="4"/>
        <v>64.056517093079492</v>
      </c>
      <c r="M69">
        <f t="shared" ca="1" si="8"/>
        <v>55.579250000000002</v>
      </c>
      <c r="N69">
        <f t="shared" ca="1" si="9"/>
        <v>31.94915972222222</v>
      </c>
    </row>
    <row r="70" spans="1:14" x14ac:dyDescent="0.25">
      <c r="A70" s="4">
        <f>A69+5/24/3600</f>
        <v>0.42175925925925867</v>
      </c>
      <c r="B70" s="3">
        <f t="shared" si="11"/>
        <v>1553300440</v>
      </c>
      <c r="C70">
        <f t="shared" si="5"/>
        <v>2</v>
      </c>
      <c r="D70">
        <f t="shared" si="5"/>
        <v>6</v>
      </c>
      <c r="E70">
        <f t="shared" ca="1" si="12"/>
        <v>-60422.501679680005</v>
      </c>
      <c r="F70">
        <f t="shared" ca="1" si="13"/>
        <v>-29396.581259093335</v>
      </c>
      <c r="G70">
        <f t="shared" ca="1" si="1"/>
        <v>10668</v>
      </c>
      <c r="H70" s="9">
        <f t="shared" ca="1" si="2"/>
        <v>215.79561975100077</v>
      </c>
      <c r="I70" s="9">
        <f t="shared" ca="1" si="2"/>
        <v>104.98718356533354</v>
      </c>
      <c r="J70" s="9">
        <f t="shared" ca="1" si="2"/>
        <v>0</v>
      </c>
      <c r="K70" s="9">
        <f t="shared" ca="1" si="3"/>
        <v>239.97928705765329</v>
      </c>
      <c r="L70" s="9">
        <f t="shared" ca="1" si="4"/>
        <v>64.056517093079492</v>
      </c>
      <c r="M70">
        <f t="shared" ca="1" si="8"/>
        <v>55.584000000000003</v>
      </c>
      <c r="N70">
        <f t="shared" ca="1" si="9"/>
        <v>31.966425925925925</v>
      </c>
    </row>
    <row r="71" spans="1:14" x14ac:dyDescent="0.25">
      <c r="A71" s="4">
        <f t="shared" si="10"/>
        <v>0.42181712962962903</v>
      </c>
      <c r="B71" s="3">
        <f t="shared" si="11"/>
        <v>1553300445</v>
      </c>
      <c r="C71">
        <f t="shared" si="5"/>
        <v>2</v>
      </c>
      <c r="D71">
        <f t="shared" si="5"/>
        <v>6</v>
      </c>
      <c r="E71">
        <f t="shared" ca="1" si="12"/>
        <v>-59343.523580925001</v>
      </c>
      <c r="F71">
        <f t="shared" ca="1" si="13"/>
        <v>-28871.645341266667</v>
      </c>
      <c r="G71">
        <f t="shared" ref="G71:G134" ca="1" si="14">INDIRECT("G$"&amp;C71)+INDIRECT("J$"&amp;C71)*($B71-INDIRECT("B$"&amp;D71))</f>
        <v>10668</v>
      </c>
      <c r="H71" s="9">
        <f t="shared" ref="H71:J134" ca="1" si="15">(E72-E71)/($B72-$B71)</f>
        <v>215.79561975099787</v>
      </c>
      <c r="I71" s="9">
        <f t="shared" ca="1" si="15"/>
        <v>104.98718356533354</v>
      </c>
      <c r="J71" s="9">
        <f t="shared" ca="1" si="15"/>
        <v>0</v>
      </c>
      <c r="K71" s="9">
        <f t="shared" ref="K71:K134" ca="1" si="16">SQRT(H71*H71+I71*I71)</f>
        <v>239.97928705765068</v>
      </c>
      <c r="L71" s="9">
        <f t="shared" ref="L71:L134" ca="1" si="17">DEGREES(ATAN2(I71,H71))</f>
        <v>64.056517093079194</v>
      </c>
      <c r="M71">
        <f t="shared" ca="1" si="8"/>
        <v>55.588750000000005</v>
      </c>
      <c r="N71">
        <f t="shared" ca="1" si="9"/>
        <v>31.983692129629627</v>
      </c>
    </row>
    <row r="72" spans="1:14" x14ac:dyDescent="0.25">
      <c r="A72" s="4">
        <f t="shared" si="10"/>
        <v>0.42187499999999939</v>
      </c>
      <c r="B72" s="3">
        <f t="shared" si="11"/>
        <v>1553300450</v>
      </c>
      <c r="C72">
        <f t="shared" ref="C72:D135" si="18">C71</f>
        <v>2</v>
      </c>
      <c r="D72">
        <f t="shared" si="18"/>
        <v>6</v>
      </c>
      <c r="E72">
        <f t="shared" ca="1" si="12"/>
        <v>-58264.545482170011</v>
      </c>
      <c r="F72">
        <f t="shared" ca="1" si="13"/>
        <v>-28346.709423439999</v>
      </c>
      <c r="G72">
        <f t="shared" ca="1" si="14"/>
        <v>10668</v>
      </c>
      <c r="H72" s="9">
        <f t="shared" ca="1" si="15"/>
        <v>215.79561975100077</v>
      </c>
      <c r="I72" s="9">
        <f t="shared" ca="1" si="15"/>
        <v>104.98718356533354</v>
      </c>
      <c r="J72" s="9">
        <f t="shared" ca="1" si="15"/>
        <v>0</v>
      </c>
      <c r="K72" s="9">
        <f t="shared" ca="1" si="16"/>
        <v>239.97928705765329</v>
      </c>
      <c r="L72" s="9">
        <f t="shared" ca="1" si="17"/>
        <v>64.056517093079492</v>
      </c>
      <c r="M72">
        <f t="shared" ref="M72:M135" ca="1" si="19">INDIRECT("M$"&amp;C72)+INDIRECT("O$"&amp;C72)*($B72-INDIRECT("B$"&amp;D72))</f>
        <v>55.593499999999999</v>
      </c>
      <c r="N72">
        <f t="shared" ref="N72:N135" ca="1" si="20">INDIRECT("N$"&amp;C72)+INDIRECT("P$"&amp;C72)*($B72-INDIRECT("B$"&amp;D72))</f>
        <v>32.00095833333333</v>
      </c>
    </row>
    <row r="73" spans="1:14" x14ac:dyDescent="0.25">
      <c r="A73" s="4">
        <f t="shared" ref="A73:A102" si="21">A72+5/24/3600</f>
        <v>0.42193287037036975</v>
      </c>
      <c r="B73" s="3">
        <f t="shared" ref="B73:B136" si="22">B72+SECOND(A73-A72)</f>
        <v>1553300455</v>
      </c>
      <c r="C73">
        <f t="shared" si="18"/>
        <v>2</v>
      </c>
      <c r="D73">
        <f t="shared" si="18"/>
        <v>6</v>
      </c>
      <c r="E73">
        <f t="shared" ca="1" si="12"/>
        <v>-57185.567383415007</v>
      </c>
      <c r="F73">
        <f t="shared" ca="1" si="13"/>
        <v>-27821.773505613332</v>
      </c>
      <c r="G73">
        <f t="shared" ca="1" si="14"/>
        <v>10668</v>
      </c>
      <c r="H73" s="9">
        <f t="shared" ca="1" si="15"/>
        <v>215.79561975100077</v>
      </c>
      <c r="I73" s="9">
        <f t="shared" ca="1" si="15"/>
        <v>104.98718356533209</v>
      </c>
      <c r="J73" s="9">
        <f t="shared" ca="1" si="15"/>
        <v>0</v>
      </c>
      <c r="K73" s="9">
        <f t="shared" ca="1" si="16"/>
        <v>239.97928705765264</v>
      </c>
      <c r="L73" s="9">
        <f t="shared" ca="1" si="17"/>
        <v>64.056517093079805</v>
      </c>
      <c r="M73">
        <f t="shared" ca="1" si="19"/>
        <v>55.59825</v>
      </c>
      <c r="N73">
        <f t="shared" ca="1" si="20"/>
        <v>32.018224537037035</v>
      </c>
    </row>
    <row r="74" spans="1:14" x14ac:dyDescent="0.25">
      <c r="A74" s="4">
        <f t="shared" si="21"/>
        <v>0.42199074074074011</v>
      </c>
      <c r="B74" s="3">
        <f t="shared" si="22"/>
        <v>1553300460</v>
      </c>
      <c r="C74">
        <f t="shared" si="18"/>
        <v>2</v>
      </c>
      <c r="D74">
        <f t="shared" si="18"/>
        <v>6</v>
      </c>
      <c r="E74">
        <f t="shared" ca="1" si="12"/>
        <v>-56106.589284660004</v>
      </c>
      <c r="F74">
        <f t="shared" ca="1" si="13"/>
        <v>-27296.837587786671</v>
      </c>
      <c r="G74">
        <f t="shared" ca="1" si="14"/>
        <v>10668</v>
      </c>
      <c r="H74" s="9">
        <f t="shared" ca="1" si="15"/>
        <v>215.79561975100077</v>
      </c>
      <c r="I74" s="9">
        <f t="shared" ca="1" si="15"/>
        <v>104.98718356533354</v>
      </c>
      <c r="J74" s="9">
        <f t="shared" ca="1" si="15"/>
        <v>0</v>
      </c>
      <c r="K74" s="9">
        <f t="shared" ca="1" si="16"/>
        <v>239.97928705765329</v>
      </c>
      <c r="L74" s="9">
        <f t="shared" ca="1" si="17"/>
        <v>64.056517093079492</v>
      </c>
      <c r="M74">
        <f t="shared" ca="1" si="19"/>
        <v>55.603000000000002</v>
      </c>
      <c r="N74">
        <f t="shared" ca="1" si="20"/>
        <v>32.035490740740741</v>
      </c>
    </row>
    <row r="75" spans="1:14" x14ac:dyDescent="0.25">
      <c r="A75" s="4">
        <f t="shared" si="21"/>
        <v>0.42204861111111047</v>
      </c>
      <c r="B75" s="3">
        <f t="shared" si="22"/>
        <v>1553300465</v>
      </c>
      <c r="C75">
        <f t="shared" si="18"/>
        <v>2</v>
      </c>
      <c r="D75">
        <f t="shared" si="18"/>
        <v>6</v>
      </c>
      <c r="E75">
        <f t="shared" ca="1" si="12"/>
        <v>-55027.611185905</v>
      </c>
      <c r="F75">
        <f t="shared" ca="1" si="13"/>
        <v>-26771.901669960003</v>
      </c>
      <c r="G75">
        <f t="shared" ca="1" si="14"/>
        <v>10668</v>
      </c>
      <c r="H75" s="9">
        <f t="shared" ca="1" si="15"/>
        <v>215.79561975099787</v>
      </c>
      <c r="I75" s="9">
        <f t="shared" ca="1" si="15"/>
        <v>104.98718356533354</v>
      </c>
      <c r="J75" s="9">
        <f t="shared" ca="1" si="15"/>
        <v>0</v>
      </c>
      <c r="K75" s="9">
        <f t="shared" ca="1" si="16"/>
        <v>239.97928705765068</v>
      </c>
      <c r="L75" s="9">
        <f t="shared" ca="1" si="17"/>
        <v>64.056517093079194</v>
      </c>
      <c r="M75">
        <f t="shared" ca="1" si="19"/>
        <v>55.607750000000003</v>
      </c>
      <c r="N75">
        <f t="shared" ca="1" si="20"/>
        <v>32.05275694444444</v>
      </c>
    </row>
    <row r="76" spans="1:14" x14ac:dyDescent="0.25">
      <c r="A76" s="4">
        <f t="shared" si="21"/>
        <v>0.42210648148148083</v>
      </c>
      <c r="B76" s="3">
        <f t="shared" si="22"/>
        <v>1553300470</v>
      </c>
      <c r="C76">
        <f t="shared" si="18"/>
        <v>2</v>
      </c>
      <c r="D76">
        <f t="shared" si="18"/>
        <v>6</v>
      </c>
      <c r="E76">
        <f t="shared" ca="1" si="12"/>
        <v>-53948.63308715001</v>
      </c>
      <c r="F76">
        <f t="shared" ca="1" si="13"/>
        <v>-26246.965752133336</v>
      </c>
      <c r="G76">
        <f t="shared" ca="1" si="14"/>
        <v>10668</v>
      </c>
      <c r="H76" s="9">
        <f t="shared" ca="1" si="15"/>
        <v>215.79561975100077</v>
      </c>
      <c r="I76" s="9">
        <f t="shared" ca="1" si="15"/>
        <v>104.98718356533354</v>
      </c>
      <c r="J76" s="9">
        <f t="shared" ca="1" si="15"/>
        <v>0</v>
      </c>
      <c r="K76" s="9">
        <f t="shared" ca="1" si="16"/>
        <v>239.97928705765329</v>
      </c>
      <c r="L76" s="9">
        <f t="shared" ca="1" si="17"/>
        <v>64.056517093079492</v>
      </c>
      <c r="M76">
        <f t="shared" ca="1" si="19"/>
        <v>55.612500000000004</v>
      </c>
      <c r="N76">
        <f t="shared" ca="1" si="20"/>
        <v>32.070023148148145</v>
      </c>
    </row>
    <row r="77" spans="1:14" x14ac:dyDescent="0.25">
      <c r="A77" s="4">
        <f t="shared" si="21"/>
        <v>0.42216435185185119</v>
      </c>
      <c r="B77" s="3">
        <f t="shared" si="22"/>
        <v>1553300475</v>
      </c>
      <c r="C77">
        <f t="shared" si="18"/>
        <v>2</v>
      </c>
      <c r="D77">
        <f t="shared" si="18"/>
        <v>6</v>
      </c>
      <c r="E77">
        <f t="shared" ca="1" si="12"/>
        <v>-52869.654988395007</v>
      </c>
      <c r="F77">
        <f t="shared" ca="1" si="13"/>
        <v>-25722.029834306668</v>
      </c>
      <c r="G77">
        <f t="shared" ca="1" si="14"/>
        <v>10668</v>
      </c>
      <c r="H77" s="9">
        <f t="shared" ca="1" si="15"/>
        <v>215.79561975100077</v>
      </c>
      <c r="I77" s="9">
        <f t="shared" ca="1" si="15"/>
        <v>104.98718356533354</v>
      </c>
      <c r="J77" s="9">
        <f t="shared" ca="1" si="15"/>
        <v>0</v>
      </c>
      <c r="K77" s="9">
        <f t="shared" ca="1" si="16"/>
        <v>239.97928705765329</v>
      </c>
      <c r="L77" s="9">
        <f t="shared" ca="1" si="17"/>
        <v>64.056517093079492</v>
      </c>
      <c r="M77">
        <f t="shared" ca="1" si="19"/>
        <v>55.617249999999999</v>
      </c>
      <c r="N77">
        <f t="shared" ca="1" si="20"/>
        <v>32.087289351851851</v>
      </c>
    </row>
    <row r="78" spans="1:14" x14ac:dyDescent="0.25">
      <c r="A78" s="4">
        <f t="shared" si="21"/>
        <v>0.42222222222222155</v>
      </c>
      <c r="B78" s="3">
        <f t="shared" si="22"/>
        <v>1553300480</v>
      </c>
      <c r="C78">
        <f t="shared" si="18"/>
        <v>2</v>
      </c>
      <c r="D78">
        <f t="shared" si="18"/>
        <v>6</v>
      </c>
      <c r="E78">
        <f t="shared" ca="1" si="12"/>
        <v>-51790.676889640003</v>
      </c>
      <c r="F78">
        <f t="shared" ca="1" si="13"/>
        <v>-25197.09391648</v>
      </c>
      <c r="G78">
        <f t="shared" ca="1" si="14"/>
        <v>10668</v>
      </c>
      <c r="H78" s="9">
        <f t="shared" ca="1" si="15"/>
        <v>215.79561975100077</v>
      </c>
      <c r="I78" s="9">
        <f t="shared" ca="1" si="15"/>
        <v>104.98718356533354</v>
      </c>
      <c r="J78" s="9">
        <f t="shared" ca="1" si="15"/>
        <v>0</v>
      </c>
      <c r="K78" s="9">
        <f t="shared" ca="1" si="16"/>
        <v>239.97928705765329</v>
      </c>
      <c r="L78" s="9">
        <f t="shared" ca="1" si="17"/>
        <v>64.056517093079492</v>
      </c>
      <c r="M78">
        <f t="shared" ca="1" si="19"/>
        <v>55.622</v>
      </c>
      <c r="N78">
        <f t="shared" ca="1" si="20"/>
        <v>32.104555555555557</v>
      </c>
    </row>
    <row r="79" spans="1:14" x14ac:dyDescent="0.25">
      <c r="A79" s="4">
        <f t="shared" si="21"/>
        <v>0.42228009259259192</v>
      </c>
      <c r="B79" s="3">
        <f t="shared" si="22"/>
        <v>1553300485</v>
      </c>
      <c r="C79">
        <f t="shared" si="18"/>
        <v>2</v>
      </c>
      <c r="D79">
        <f t="shared" si="18"/>
        <v>6</v>
      </c>
      <c r="E79">
        <f t="shared" ca="1" si="12"/>
        <v>-50711.698790884999</v>
      </c>
      <c r="F79">
        <f t="shared" ca="1" si="13"/>
        <v>-24672.157998653332</v>
      </c>
      <c r="G79">
        <f t="shared" ca="1" si="14"/>
        <v>10668</v>
      </c>
      <c r="H79" s="9">
        <f t="shared" ca="1" si="15"/>
        <v>215.79561975099787</v>
      </c>
      <c r="I79" s="9">
        <f t="shared" ca="1" si="15"/>
        <v>104.98718356533354</v>
      </c>
      <c r="J79" s="9">
        <f t="shared" ca="1" si="15"/>
        <v>0</v>
      </c>
      <c r="K79" s="9">
        <f t="shared" ca="1" si="16"/>
        <v>239.97928705765068</v>
      </c>
      <c r="L79" s="9">
        <f t="shared" ca="1" si="17"/>
        <v>64.056517093079194</v>
      </c>
      <c r="M79">
        <f t="shared" ca="1" si="19"/>
        <v>55.626750000000001</v>
      </c>
      <c r="N79">
        <f t="shared" ca="1" si="20"/>
        <v>32.121821759259255</v>
      </c>
    </row>
    <row r="80" spans="1:14" x14ac:dyDescent="0.25">
      <c r="A80" s="4">
        <f t="shared" si="21"/>
        <v>0.42233796296296228</v>
      </c>
      <c r="B80" s="3">
        <f t="shared" si="22"/>
        <v>1553300490</v>
      </c>
      <c r="C80">
        <f t="shared" si="18"/>
        <v>2</v>
      </c>
      <c r="D80">
        <f t="shared" si="18"/>
        <v>6</v>
      </c>
      <c r="E80">
        <f t="shared" ca="1" si="12"/>
        <v>-49632.720692130009</v>
      </c>
      <c r="F80">
        <f t="shared" ca="1" si="13"/>
        <v>-24147.222080826665</v>
      </c>
      <c r="G80">
        <f t="shared" ca="1" si="14"/>
        <v>10668</v>
      </c>
      <c r="H80" s="9">
        <f t="shared" ca="1" si="15"/>
        <v>215.79561975100077</v>
      </c>
      <c r="I80" s="9">
        <f t="shared" ca="1" si="15"/>
        <v>104.98718356533209</v>
      </c>
      <c r="J80" s="9">
        <f t="shared" ca="1" si="15"/>
        <v>0</v>
      </c>
      <c r="K80" s="9">
        <f t="shared" ca="1" si="16"/>
        <v>239.97928705765264</v>
      </c>
      <c r="L80" s="9">
        <f t="shared" ca="1" si="17"/>
        <v>64.056517093079805</v>
      </c>
      <c r="M80">
        <f t="shared" ca="1" si="19"/>
        <v>55.631500000000003</v>
      </c>
      <c r="N80">
        <f t="shared" ca="1" si="20"/>
        <v>32.139087962962961</v>
      </c>
    </row>
    <row r="81" spans="1:14" x14ac:dyDescent="0.25">
      <c r="A81" s="4">
        <f t="shared" si="21"/>
        <v>0.42239583333333264</v>
      </c>
      <c r="B81" s="3">
        <f t="shared" si="22"/>
        <v>1553300495</v>
      </c>
      <c r="C81">
        <f t="shared" si="18"/>
        <v>2</v>
      </c>
      <c r="D81">
        <f t="shared" si="18"/>
        <v>6</v>
      </c>
      <c r="E81">
        <f t="shared" ca="1" si="12"/>
        <v>-48553.742593375006</v>
      </c>
      <c r="F81">
        <f t="shared" ca="1" si="13"/>
        <v>-23622.286163000004</v>
      </c>
      <c r="G81">
        <f t="shared" ca="1" si="14"/>
        <v>10668</v>
      </c>
      <c r="H81" s="9">
        <f t="shared" ca="1" si="15"/>
        <v>215.79561975100077</v>
      </c>
      <c r="I81" s="9">
        <f t="shared" ca="1" si="15"/>
        <v>104.98718356533354</v>
      </c>
      <c r="J81" s="9">
        <f t="shared" ca="1" si="15"/>
        <v>0</v>
      </c>
      <c r="K81" s="9">
        <f t="shared" ca="1" si="16"/>
        <v>239.97928705765329</v>
      </c>
      <c r="L81" s="9">
        <f t="shared" ca="1" si="17"/>
        <v>64.056517093079492</v>
      </c>
      <c r="M81">
        <f t="shared" ca="1" si="19"/>
        <v>55.636250000000004</v>
      </c>
      <c r="N81">
        <f t="shared" ca="1" si="20"/>
        <v>32.156354166666667</v>
      </c>
    </row>
    <row r="82" spans="1:14" x14ac:dyDescent="0.25">
      <c r="A82" s="4">
        <f t="shared" si="21"/>
        <v>0.422453703703703</v>
      </c>
      <c r="B82" s="3">
        <f t="shared" si="22"/>
        <v>1553300500</v>
      </c>
      <c r="C82">
        <f t="shared" si="18"/>
        <v>2</v>
      </c>
      <c r="D82">
        <f t="shared" si="18"/>
        <v>6</v>
      </c>
      <c r="E82">
        <f t="shared" ca="1" si="12"/>
        <v>-47474.764494620002</v>
      </c>
      <c r="F82">
        <f t="shared" ca="1" si="13"/>
        <v>-23097.350245173337</v>
      </c>
      <c r="G82">
        <f t="shared" ca="1" si="14"/>
        <v>10668</v>
      </c>
      <c r="H82" s="9">
        <f t="shared" ca="1" si="15"/>
        <v>215.79561975100077</v>
      </c>
      <c r="I82" s="9">
        <f t="shared" ca="1" si="15"/>
        <v>104.98718356533354</v>
      </c>
      <c r="J82" s="9">
        <f t="shared" ca="1" si="15"/>
        <v>0</v>
      </c>
      <c r="K82" s="9">
        <f t="shared" ca="1" si="16"/>
        <v>239.97928705765329</v>
      </c>
      <c r="L82" s="9">
        <f t="shared" ca="1" si="17"/>
        <v>64.056517093079492</v>
      </c>
      <c r="M82">
        <f t="shared" ca="1" si="19"/>
        <v>55.640999999999998</v>
      </c>
      <c r="N82">
        <f t="shared" ca="1" si="20"/>
        <v>32.173620370370365</v>
      </c>
    </row>
    <row r="83" spans="1:14" x14ac:dyDescent="0.25">
      <c r="A83" s="4">
        <f t="shared" si="21"/>
        <v>0.42251157407407336</v>
      </c>
      <c r="B83" s="3">
        <f t="shared" si="22"/>
        <v>1553300505</v>
      </c>
      <c r="C83">
        <f t="shared" si="18"/>
        <v>2</v>
      </c>
      <c r="D83">
        <f t="shared" si="18"/>
        <v>6</v>
      </c>
      <c r="E83">
        <f t="shared" ca="1" si="12"/>
        <v>-46395.786395864998</v>
      </c>
      <c r="F83">
        <f t="shared" ca="1" si="13"/>
        <v>-22572.414327346669</v>
      </c>
      <c r="G83">
        <f t="shared" ca="1" si="14"/>
        <v>10668</v>
      </c>
      <c r="H83" s="9">
        <f t="shared" ca="1" si="15"/>
        <v>215.79561975099787</v>
      </c>
      <c r="I83" s="9">
        <f t="shared" ca="1" si="15"/>
        <v>104.98718356533354</v>
      </c>
      <c r="J83" s="9">
        <f t="shared" ca="1" si="15"/>
        <v>0</v>
      </c>
      <c r="K83" s="9">
        <f t="shared" ca="1" si="16"/>
        <v>239.97928705765068</v>
      </c>
      <c r="L83" s="9">
        <f t="shared" ca="1" si="17"/>
        <v>64.056517093079194</v>
      </c>
      <c r="M83">
        <f t="shared" ca="1" si="19"/>
        <v>55.64575</v>
      </c>
      <c r="N83">
        <f t="shared" ca="1" si="20"/>
        <v>32.190886574074071</v>
      </c>
    </row>
    <row r="84" spans="1:14" x14ac:dyDescent="0.25">
      <c r="A84" s="4">
        <f t="shared" si="21"/>
        <v>0.42256944444444372</v>
      </c>
      <c r="B84" s="3">
        <f t="shared" si="22"/>
        <v>1553300510</v>
      </c>
      <c r="C84">
        <f t="shared" si="18"/>
        <v>2</v>
      </c>
      <c r="D84">
        <f t="shared" si="18"/>
        <v>6</v>
      </c>
      <c r="E84">
        <f t="shared" ca="1" si="12"/>
        <v>-45316.808297110008</v>
      </c>
      <c r="F84">
        <f t="shared" ca="1" si="13"/>
        <v>-22047.478409520001</v>
      </c>
      <c r="G84">
        <f t="shared" ca="1" si="14"/>
        <v>10668</v>
      </c>
      <c r="H84" s="9">
        <f t="shared" ca="1" si="15"/>
        <v>215.79561975100077</v>
      </c>
      <c r="I84" s="9">
        <f t="shared" ca="1" si="15"/>
        <v>104.98718356533354</v>
      </c>
      <c r="J84" s="9">
        <f t="shared" ca="1" si="15"/>
        <v>0</v>
      </c>
      <c r="K84" s="9">
        <f t="shared" ca="1" si="16"/>
        <v>239.97928705765329</v>
      </c>
      <c r="L84" s="9">
        <f t="shared" ca="1" si="17"/>
        <v>64.056517093079492</v>
      </c>
      <c r="M84">
        <f t="shared" ca="1" si="19"/>
        <v>55.650500000000001</v>
      </c>
      <c r="N84">
        <f t="shared" ca="1" si="20"/>
        <v>32.208152777777777</v>
      </c>
    </row>
    <row r="85" spans="1:14" x14ac:dyDescent="0.25">
      <c r="A85" s="4">
        <f t="shared" si="21"/>
        <v>0.42262731481481408</v>
      </c>
      <c r="B85" s="3">
        <f t="shared" si="22"/>
        <v>1553300515</v>
      </c>
      <c r="C85">
        <f t="shared" si="18"/>
        <v>2</v>
      </c>
      <c r="D85">
        <f t="shared" si="18"/>
        <v>6</v>
      </c>
      <c r="E85">
        <f t="shared" ca="1" si="12"/>
        <v>-44237.830198355005</v>
      </c>
      <c r="F85">
        <f t="shared" ca="1" si="13"/>
        <v>-21522.542491693333</v>
      </c>
      <c r="G85">
        <f t="shared" ca="1" si="14"/>
        <v>10668</v>
      </c>
      <c r="H85" s="9">
        <f t="shared" ca="1" si="15"/>
        <v>215.79561975100077</v>
      </c>
      <c r="I85" s="9">
        <f t="shared" ca="1" si="15"/>
        <v>104.98718356533354</v>
      </c>
      <c r="J85" s="9">
        <f t="shared" ca="1" si="15"/>
        <v>0</v>
      </c>
      <c r="K85" s="9">
        <f t="shared" ca="1" si="16"/>
        <v>239.97928705765329</v>
      </c>
      <c r="L85" s="9">
        <f t="shared" ca="1" si="17"/>
        <v>64.056517093079492</v>
      </c>
      <c r="M85">
        <f t="shared" ca="1" si="19"/>
        <v>55.655250000000002</v>
      </c>
      <c r="N85">
        <f t="shared" ca="1" si="20"/>
        <v>32.225418981481482</v>
      </c>
    </row>
    <row r="86" spans="1:14" x14ac:dyDescent="0.25">
      <c r="A86" s="4">
        <f t="shared" si="21"/>
        <v>0.42268518518518444</v>
      </c>
      <c r="B86" s="3">
        <f t="shared" si="22"/>
        <v>1553300520</v>
      </c>
      <c r="C86">
        <f t="shared" si="18"/>
        <v>2</v>
      </c>
      <c r="D86">
        <f t="shared" si="18"/>
        <v>6</v>
      </c>
      <c r="E86">
        <f t="shared" ca="1" si="12"/>
        <v>-43158.852099600001</v>
      </c>
      <c r="F86">
        <f t="shared" ca="1" si="13"/>
        <v>-20997.606573866666</v>
      </c>
      <c r="G86">
        <f t="shared" ca="1" si="14"/>
        <v>10668</v>
      </c>
      <c r="H86" s="9">
        <f t="shared" ca="1" si="15"/>
        <v>215.79561975099787</v>
      </c>
      <c r="I86" s="9">
        <f t="shared" ca="1" si="15"/>
        <v>104.98718356533354</v>
      </c>
      <c r="J86" s="9">
        <f t="shared" ca="1" si="15"/>
        <v>0</v>
      </c>
      <c r="K86" s="9">
        <f t="shared" ca="1" si="16"/>
        <v>239.97928705765068</v>
      </c>
      <c r="L86" s="9">
        <f t="shared" ca="1" si="17"/>
        <v>64.056517093079194</v>
      </c>
      <c r="M86">
        <f t="shared" ca="1" si="19"/>
        <v>55.660000000000004</v>
      </c>
      <c r="N86">
        <f t="shared" ca="1" si="20"/>
        <v>32.242685185185181</v>
      </c>
    </row>
    <row r="87" spans="1:14" x14ac:dyDescent="0.25">
      <c r="A87" s="4">
        <f t="shared" si="21"/>
        <v>0.4227430555555548</v>
      </c>
      <c r="B87" s="3">
        <f t="shared" si="22"/>
        <v>1553300525</v>
      </c>
      <c r="C87">
        <f t="shared" si="18"/>
        <v>2</v>
      </c>
      <c r="D87">
        <f t="shared" si="18"/>
        <v>6</v>
      </c>
      <c r="E87">
        <f t="shared" ca="1" si="12"/>
        <v>-42079.874000845011</v>
      </c>
      <c r="F87">
        <f t="shared" ca="1" si="13"/>
        <v>-20472.670656039998</v>
      </c>
      <c r="G87">
        <f t="shared" ca="1" si="14"/>
        <v>10668</v>
      </c>
      <c r="H87" s="9">
        <f t="shared" ca="1" si="15"/>
        <v>215.79561975100077</v>
      </c>
      <c r="I87" s="9">
        <f t="shared" ca="1" si="15"/>
        <v>104.98718356533209</v>
      </c>
      <c r="J87" s="9">
        <f t="shared" ca="1" si="15"/>
        <v>0</v>
      </c>
      <c r="K87" s="9">
        <f t="shared" ca="1" si="16"/>
        <v>239.97928705765264</v>
      </c>
      <c r="L87" s="9">
        <f t="shared" ca="1" si="17"/>
        <v>64.056517093079805</v>
      </c>
      <c r="M87">
        <f t="shared" ca="1" si="19"/>
        <v>55.664749999999998</v>
      </c>
      <c r="N87">
        <f t="shared" ca="1" si="20"/>
        <v>32.259951388888886</v>
      </c>
    </row>
    <row r="88" spans="1:14" x14ac:dyDescent="0.25">
      <c r="A88" s="4">
        <f t="shared" si="21"/>
        <v>0.42280092592592516</v>
      </c>
      <c r="B88" s="3">
        <f t="shared" si="22"/>
        <v>1553300530</v>
      </c>
      <c r="C88">
        <f t="shared" si="18"/>
        <v>2</v>
      </c>
      <c r="D88">
        <f t="shared" si="18"/>
        <v>6</v>
      </c>
      <c r="E88">
        <f t="shared" ca="1" si="12"/>
        <v>-41000.895902090007</v>
      </c>
      <c r="F88">
        <f t="shared" ca="1" si="13"/>
        <v>-19947.734738213338</v>
      </c>
      <c r="G88">
        <f t="shared" ca="1" si="14"/>
        <v>10668</v>
      </c>
      <c r="H88" s="9">
        <f t="shared" ca="1" si="15"/>
        <v>215.79561975100077</v>
      </c>
      <c r="I88" s="9">
        <f t="shared" ca="1" si="15"/>
        <v>104.98718356533354</v>
      </c>
      <c r="J88" s="9">
        <f t="shared" ca="1" si="15"/>
        <v>0</v>
      </c>
      <c r="K88" s="9">
        <f t="shared" ca="1" si="16"/>
        <v>239.97928705765329</v>
      </c>
      <c r="L88" s="9">
        <f t="shared" ca="1" si="17"/>
        <v>64.056517093079492</v>
      </c>
      <c r="M88">
        <f t="shared" ca="1" si="19"/>
        <v>55.669499999999999</v>
      </c>
      <c r="N88">
        <f t="shared" ca="1" si="20"/>
        <v>32.277217592592592</v>
      </c>
    </row>
    <row r="89" spans="1:14" x14ac:dyDescent="0.25">
      <c r="A89" s="4">
        <f t="shared" si="21"/>
        <v>0.42285879629629552</v>
      </c>
      <c r="B89" s="3">
        <f t="shared" si="22"/>
        <v>1553300535</v>
      </c>
      <c r="C89">
        <f t="shared" si="18"/>
        <v>2</v>
      </c>
      <c r="D89">
        <f t="shared" si="18"/>
        <v>6</v>
      </c>
      <c r="E89">
        <f t="shared" ca="1" si="12"/>
        <v>-39921.917803335004</v>
      </c>
      <c r="F89">
        <f t="shared" ca="1" si="13"/>
        <v>-19422.79882038667</v>
      </c>
      <c r="G89">
        <f t="shared" ca="1" si="14"/>
        <v>10668</v>
      </c>
      <c r="H89" s="9">
        <f t="shared" ca="1" si="15"/>
        <v>215.79561975100077</v>
      </c>
      <c r="I89" s="9">
        <f t="shared" ca="1" si="15"/>
        <v>104.98718356533354</v>
      </c>
      <c r="J89" s="9">
        <f t="shared" ca="1" si="15"/>
        <v>0</v>
      </c>
      <c r="K89" s="9">
        <f t="shared" ca="1" si="16"/>
        <v>239.97928705765329</v>
      </c>
      <c r="L89" s="9">
        <f t="shared" ca="1" si="17"/>
        <v>64.056517093079492</v>
      </c>
      <c r="M89">
        <f t="shared" ca="1" si="19"/>
        <v>55.674250000000001</v>
      </c>
      <c r="N89">
        <f t="shared" ca="1" si="20"/>
        <v>32.294483796296291</v>
      </c>
    </row>
    <row r="90" spans="1:14" x14ac:dyDescent="0.25">
      <c r="A90" s="4">
        <f t="shared" si="21"/>
        <v>0.42291666666666589</v>
      </c>
      <c r="B90" s="3">
        <f t="shared" si="22"/>
        <v>1553300540</v>
      </c>
      <c r="C90">
        <f t="shared" si="18"/>
        <v>2</v>
      </c>
      <c r="D90">
        <f t="shared" si="18"/>
        <v>6</v>
      </c>
      <c r="E90">
        <f t="shared" ca="1" si="12"/>
        <v>-38842.93970458</v>
      </c>
      <c r="F90">
        <f t="shared" ca="1" si="13"/>
        <v>-18897.862902560002</v>
      </c>
      <c r="G90">
        <f t="shared" ca="1" si="14"/>
        <v>10668</v>
      </c>
      <c r="H90" s="9">
        <f t="shared" ca="1" si="15"/>
        <v>215.79561975099787</v>
      </c>
      <c r="I90" s="9">
        <f t="shared" ca="1" si="15"/>
        <v>104.98718356533354</v>
      </c>
      <c r="J90" s="9">
        <f t="shared" ca="1" si="15"/>
        <v>0</v>
      </c>
      <c r="K90" s="9">
        <f t="shared" ca="1" si="16"/>
        <v>239.97928705765068</v>
      </c>
      <c r="L90" s="9">
        <f t="shared" ca="1" si="17"/>
        <v>64.056517093079194</v>
      </c>
      <c r="M90">
        <f t="shared" ca="1" si="19"/>
        <v>55.679000000000002</v>
      </c>
      <c r="N90">
        <f t="shared" ca="1" si="20"/>
        <v>32.311749999999996</v>
      </c>
    </row>
    <row r="91" spans="1:14" x14ac:dyDescent="0.25">
      <c r="A91" s="4">
        <f t="shared" si="21"/>
        <v>0.42297453703703625</v>
      </c>
      <c r="B91" s="3">
        <f t="shared" si="22"/>
        <v>1553300545</v>
      </c>
      <c r="C91">
        <f t="shared" si="18"/>
        <v>2</v>
      </c>
      <c r="D91">
        <f t="shared" si="18"/>
        <v>6</v>
      </c>
      <c r="E91">
        <f t="shared" ca="1" si="12"/>
        <v>-37763.96160582501</v>
      </c>
      <c r="F91">
        <f t="shared" ca="1" si="13"/>
        <v>-18372.926984733334</v>
      </c>
      <c r="G91">
        <f t="shared" ca="1" si="14"/>
        <v>10668</v>
      </c>
      <c r="H91" s="9">
        <f t="shared" ca="1" si="15"/>
        <v>215.79561975100077</v>
      </c>
      <c r="I91" s="9">
        <f t="shared" ca="1" si="15"/>
        <v>104.98718356533354</v>
      </c>
      <c r="J91" s="9">
        <f t="shared" ca="1" si="15"/>
        <v>0</v>
      </c>
      <c r="K91" s="9">
        <f t="shared" ca="1" si="16"/>
        <v>239.97928705765329</v>
      </c>
      <c r="L91" s="9">
        <f t="shared" ca="1" si="17"/>
        <v>64.056517093079492</v>
      </c>
      <c r="M91">
        <f t="shared" ca="1" si="19"/>
        <v>55.683750000000003</v>
      </c>
      <c r="N91">
        <f t="shared" ca="1" si="20"/>
        <v>32.329016203703702</v>
      </c>
    </row>
    <row r="92" spans="1:14" x14ac:dyDescent="0.25">
      <c r="A92" s="4">
        <f t="shared" si="21"/>
        <v>0.42303240740740661</v>
      </c>
      <c r="B92" s="3">
        <f t="shared" si="22"/>
        <v>1553300550</v>
      </c>
      <c r="C92">
        <f t="shared" si="18"/>
        <v>2</v>
      </c>
      <c r="D92">
        <f t="shared" si="18"/>
        <v>6</v>
      </c>
      <c r="E92">
        <f t="shared" ca="1" si="12"/>
        <v>-36684.983507070006</v>
      </c>
      <c r="F92">
        <f t="shared" ca="1" si="13"/>
        <v>-17847.991066906667</v>
      </c>
      <c r="G92">
        <f t="shared" ca="1" si="14"/>
        <v>10668</v>
      </c>
      <c r="H92" s="9">
        <f t="shared" ca="1" si="15"/>
        <v>215.79561975100077</v>
      </c>
      <c r="I92" s="9">
        <f t="shared" ca="1" si="15"/>
        <v>104.98718356533354</v>
      </c>
      <c r="J92" s="9">
        <f t="shared" ca="1" si="15"/>
        <v>0</v>
      </c>
      <c r="K92" s="9">
        <f t="shared" ca="1" si="16"/>
        <v>239.97928705765329</v>
      </c>
      <c r="L92" s="9">
        <f t="shared" ca="1" si="17"/>
        <v>64.056517093079492</v>
      </c>
      <c r="M92">
        <f t="shared" ca="1" si="19"/>
        <v>55.688500000000005</v>
      </c>
      <c r="N92">
        <f t="shared" ca="1" si="20"/>
        <v>32.346282407407408</v>
      </c>
    </row>
    <row r="93" spans="1:14" x14ac:dyDescent="0.25">
      <c r="A93" s="4">
        <f t="shared" si="21"/>
        <v>0.42309027777777697</v>
      </c>
      <c r="B93" s="3">
        <f t="shared" si="22"/>
        <v>1553300555</v>
      </c>
      <c r="C93">
        <f t="shared" si="18"/>
        <v>2</v>
      </c>
      <c r="D93">
        <f t="shared" si="18"/>
        <v>6</v>
      </c>
      <c r="E93">
        <f t="shared" ca="1" si="12"/>
        <v>-35606.005408315003</v>
      </c>
      <c r="F93">
        <f t="shared" ca="1" si="13"/>
        <v>-17323.055149079999</v>
      </c>
      <c r="G93">
        <f t="shared" ca="1" si="14"/>
        <v>10668</v>
      </c>
      <c r="H93" s="9">
        <f t="shared" ca="1" si="15"/>
        <v>215.79561975100077</v>
      </c>
      <c r="I93" s="9">
        <f t="shared" ca="1" si="15"/>
        <v>104.98718356533354</v>
      </c>
      <c r="J93" s="9">
        <f t="shared" ca="1" si="15"/>
        <v>0</v>
      </c>
      <c r="K93" s="9">
        <f t="shared" ca="1" si="16"/>
        <v>239.97928705765329</v>
      </c>
      <c r="L93" s="9">
        <f t="shared" ca="1" si="17"/>
        <v>64.056517093079492</v>
      </c>
      <c r="M93">
        <f t="shared" ca="1" si="19"/>
        <v>55.693249999999999</v>
      </c>
      <c r="N93">
        <f t="shared" ca="1" si="20"/>
        <v>32.363548611111106</v>
      </c>
    </row>
    <row r="94" spans="1:14" x14ac:dyDescent="0.25">
      <c r="A94" s="4">
        <f t="shared" si="21"/>
        <v>0.42314814814814733</v>
      </c>
      <c r="B94" s="3">
        <f t="shared" si="22"/>
        <v>1553300560</v>
      </c>
      <c r="C94">
        <f t="shared" si="18"/>
        <v>2</v>
      </c>
      <c r="D94">
        <f t="shared" si="18"/>
        <v>6</v>
      </c>
      <c r="E94">
        <f t="shared" ca="1" si="12"/>
        <v>-34527.027309559999</v>
      </c>
      <c r="F94">
        <f t="shared" ca="1" si="13"/>
        <v>-16798.119231253331</v>
      </c>
      <c r="G94">
        <f t="shared" ca="1" si="14"/>
        <v>10668</v>
      </c>
      <c r="H94" s="9">
        <f t="shared" ca="1" si="15"/>
        <v>215.79561975099787</v>
      </c>
      <c r="I94" s="9">
        <f t="shared" ca="1" si="15"/>
        <v>104.98718356533209</v>
      </c>
      <c r="J94" s="9">
        <f t="shared" ca="1" si="15"/>
        <v>0</v>
      </c>
      <c r="K94" s="9">
        <f t="shared" ca="1" si="16"/>
        <v>239.97928705765005</v>
      </c>
      <c r="L94" s="9">
        <f t="shared" ca="1" si="17"/>
        <v>64.056517093079506</v>
      </c>
      <c r="M94">
        <f t="shared" ca="1" si="19"/>
        <v>55.698</v>
      </c>
      <c r="N94">
        <f t="shared" ca="1" si="20"/>
        <v>32.380814814814812</v>
      </c>
    </row>
    <row r="95" spans="1:14" x14ac:dyDescent="0.25">
      <c r="A95" s="4">
        <f>A94+5/24/3600</f>
        <v>0.42320601851851769</v>
      </c>
      <c r="B95" s="3">
        <f t="shared" si="22"/>
        <v>1553300565</v>
      </c>
      <c r="C95">
        <f t="shared" si="18"/>
        <v>2</v>
      </c>
      <c r="D95">
        <f t="shared" si="18"/>
        <v>6</v>
      </c>
      <c r="E95">
        <f t="shared" ca="1" si="12"/>
        <v>-33448.049210805009</v>
      </c>
      <c r="F95">
        <f t="shared" ca="1" si="13"/>
        <v>-16273.183313426671</v>
      </c>
      <c r="G95">
        <f t="shared" ca="1" si="14"/>
        <v>10668</v>
      </c>
      <c r="H95" s="9">
        <f t="shared" ca="1" si="15"/>
        <v>215.79561975100077</v>
      </c>
      <c r="I95" s="9">
        <f t="shared" ca="1" si="15"/>
        <v>104.98718356533354</v>
      </c>
      <c r="J95" s="9">
        <f t="shared" ca="1" si="15"/>
        <v>0</v>
      </c>
      <c r="K95" s="9">
        <f t="shared" ca="1" si="16"/>
        <v>239.97928705765329</v>
      </c>
      <c r="L95" s="9">
        <f t="shared" ca="1" si="17"/>
        <v>64.056517093079492</v>
      </c>
      <c r="M95">
        <f t="shared" ca="1" si="19"/>
        <v>55.702750000000002</v>
      </c>
      <c r="N95">
        <f t="shared" ca="1" si="20"/>
        <v>32.398081018518518</v>
      </c>
    </row>
    <row r="96" spans="1:14" x14ac:dyDescent="0.25">
      <c r="A96" s="4">
        <f t="shared" si="21"/>
        <v>0.42326388888888805</v>
      </c>
      <c r="B96" s="3">
        <f t="shared" si="22"/>
        <v>1553300570</v>
      </c>
      <c r="C96">
        <f t="shared" si="18"/>
        <v>2</v>
      </c>
      <c r="D96">
        <f t="shared" si="18"/>
        <v>6</v>
      </c>
      <c r="E96">
        <f t="shared" ca="1" si="12"/>
        <v>-32369.071112050005</v>
      </c>
      <c r="F96">
        <f t="shared" ca="1" si="13"/>
        <v>-15748.247395600003</v>
      </c>
      <c r="G96">
        <f t="shared" ca="1" si="14"/>
        <v>10668</v>
      </c>
      <c r="H96" s="9">
        <f t="shared" ca="1" si="15"/>
        <v>215.79561975100077</v>
      </c>
      <c r="I96" s="9">
        <f t="shared" ca="1" si="15"/>
        <v>104.98718356533354</v>
      </c>
      <c r="J96" s="9">
        <f t="shared" ca="1" si="15"/>
        <v>0</v>
      </c>
      <c r="K96" s="9">
        <f t="shared" ca="1" si="16"/>
        <v>239.97928705765329</v>
      </c>
      <c r="L96" s="9">
        <f t="shared" ca="1" si="17"/>
        <v>64.056517093079492</v>
      </c>
      <c r="M96">
        <f t="shared" ca="1" si="19"/>
        <v>55.707500000000003</v>
      </c>
      <c r="N96">
        <f t="shared" ca="1" si="20"/>
        <v>32.415347222222223</v>
      </c>
    </row>
    <row r="97" spans="1:14" x14ac:dyDescent="0.25">
      <c r="A97" s="4">
        <f t="shared" si="21"/>
        <v>0.42332175925925841</v>
      </c>
      <c r="B97" s="3">
        <f t="shared" si="22"/>
        <v>1553300575</v>
      </c>
      <c r="C97">
        <f t="shared" si="18"/>
        <v>2</v>
      </c>
      <c r="D97">
        <f t="shared" si="18"/>
        <v>6</v>
      </c>
      <c r="E97">
        <f t="shared" ca="1" si="12"/>
        <v>-31290.093013295002</v>
      </c>
      <c r="F97">
        <f t="shared" ca="1" si="13"/>
        <v>-15223.311477773335</v>
      </c>
      <c r="G97">
        <f t="shared" ca="1" si="14"/>
        <v>10668</v>
      </c>
      <c r="H97" s="9">
        <f t="shared" ca="1" si="15"/>
        <v>215.79561975100077</v>
      </c>
      <c r="I97" s="9">
        <f t="shared" ca="1" si="15"/>
        <v>104.98718356533354</v>
      </c>
      <c r="J97" s="9">
        <f t="shared" ca="1" si="15"/>
        <v>0</v>
      </c>
      <c r="K97" s="9">
        <f t="shared" ca="1" si="16"/>
        <v>239.97928705765329</v>
      </c>
      <c r="L97" s="9">
        <f t="shared" ca="1" si="17"/>
        <v>64.056517093079492</v>
      </c>
      <c r="M97">
        <f t="shared" ca="1" si="19"/>
        <v>55.712250000000004</v>
      </c>
      <c r="N97">
        <f t="shared" ca="1" si="20"/>
        <v>32.432613425925922</v>
      </c>
    </row>
    <row r="98" spans="1:14" x14ac:dyDescent="0.25">
      <c r="A98" s="4">
        <f t="shared" si="21"/>
        <v>0.42337962962962877</v>
      </c>
      <c r="B98" s="3">
        <f t="shared" si="22"/>
        <v>1553300580</v>
      </c>
      <c r="C98">
        <f t="shared" si="18"/>
        <v>2</v>
      </c>
      <c r="D98">
        <f t="shared" si="18"/>
        <v>6</v>
      </c>
      <c r="E98">
        <f t="shared" ca="1" si="12"/>
        <v>-30211.114914539998</v>
      </c>
      <c r="F98">
        <f t="shared" ca="1" si="13"/>
        <v>-14698.375559946668</v>
      </c>
      <c r="G98">
        <f t="shared" ca="1" si="14"/>
        <v>10668</v>
      </c>
      <c r="H98" s="9">
        <f t="shared" ca="1" si="15"/>
        <v>215.79561975099787</v>
      </c>
      <c r="I98" s="9">
        <f t="shared" ca="1" si="15"/>
        <v>104.98718356533354</v>
      </c>
      <c r="J98" s="9">
        <f t="shared" ca="1" si="15"/>
        <v>0</v>
      </c>
      <c r="K98" s="9">
        <f t="shared" ca="1" si="16"/>
        <v>239.97928705765068</v>
      </c>
      <c r="L98" s="9">
        <f t="shared" ca="1" si="17"/>
        <v>64.056517093079194</v>
      </c>
      <c r="M98">
        <f t="shared" ca="1" si="19"/>
        <v>55.716999999999999</v>
      </c>
      <c r="N98">
        <f t="shared" ca="1" si="20"/>
        <v>32.449879629629628</v>
      </c>
    </row>
    <row r="99" spans="1:14" x14ac:dyDescent="0.25">
      <c r="A99" s="4">
        <f t="shared" si="21"/>
        <v>0.42343749999999913</v>
      </c>
      <c r="B99" s="3">
        <f t="shared" si="22"/>
        <v>1553300585</v>
      </c>
      <c r="C99">
        <f t="shared" si="18"/>
        <v>2</v>
      </c>
      <c r="D99">
        <f t="shared" si="18"/>
        <v>6</v>
      </c>
      <c r="E99">
        <f t="shared" ca="1" si="12"/>
        <v>-29132.136815785008</v>
      </c>
      <c r="F99">
        <f t="shared" ca="1" si="13"/>
        <v>-14173.43964212</v>
      </c>
      <c r="G99">
        <f t="shared" ca="1" si="14"/>
        <v>10668</v>
      </c>
      <c r="H99" s="9">
        <f t="shared" ca="1" si="15"/>
        <v>215.79561975100077</v>
      </c>
      <c r="I99" s="9">
        <f t="shared" ca="1" si="15"/>
        <v>104.98718356533354</v>
      </c>
      <c r="J99" s="9">
        <f t="shared" ca="1" si="15"/>
        <v>0</v>
      </c>
      <c r="K99" s="9">
        <f t="shared" ca="1" si="16"/>
        <v>239.97928705765329</v>
      </c>
      <c r="L99" s="9">
        <f t="shared" ca="1" si="17"/>
        <v>64.056517093079492</v>
      </c>
      <c r="M99">
        <f t="shared" ca="1" si="19"/>
        <v>55.72175</v>
      </c>
      <c r="N99">
        <f t="shared" ca="1" si="20"/>
        <v>32.467145833333333</v>
      </c>
    </row>
    <row r="100" spans="1:14" x14ac:dyDescent="0.25">
      <c r="A100" s="4">
        <f t="shared" si="21"/>
        <v>0.42349537037036949</v>
      </c>
      <c r="B100" s="3">
        <f t="shared" si="22"/>
        <v>1553300590</v>
      </c>
      <c r="C100">
        <f t="shared" si="18"/>
        <v>2</v>
      </c>
      <c r="D100">
        <f t="shared" si="18"/>
        <v>6</v>
      </c>
      <c r="E100">
        <f t="shared" ref="E100:E163" ca="1" si="23">INDIRECT("E$"&amp;C100)+INDIRECT("H$"&amp;C100)*($B100-INDIRECT("B$"&amp;D100))</f>
        <v>-28053.158717030004</v>
      </c>
      <c r="F100">
        <f t="shared" ref="F100:F163" ca="1" si="24">INDIRECT("F$"&amp;C100)+INDIRECT("I$"&amp;C100)*($B100-INDIRECT("B$"&amp;D100))</f>
        <v>-13648.503724293332</v>
      </c>
      <c r="G100">
        <f t="shared" ca="1" si="14"/>
        <v>10668</v>
      </c>
      <c r="H100" s="9">
        <f t="shared" ca="1" si="15"/>
        <v>215.79561975100077</v>
      </c>
      <c r="I100" s="9">
        <f t="shared" ca="1" si="15"/>
        <v>104.98718356533354</v>
      </c>
      <c r="J100" s="9">
        <f t="shared" ca="1" si="15"/>
        <v>0</v>
      </c>
      <c r="K100" s="9">
        <f t="shared" ca="1" si="16"/>
        <v>239.97928705765329</v>
      </c>
      <c r="L100" s="9">
        <f t="shared" ca="1" si="17"/>
        <v>64.056517093079492</v>
      </c>
      <c r="M100">
        <f t="shared" ca="1" si="19"/>
        <v>55.726500000000001</v>
      </c>
      <c r="N100">
        <f t="shared" ca="1" si="20"/>
        <v>32.484412037037032</v>
      </c>
    </row>
    <row r="101" spans="1:14" x14ac:dyDescent="0.25">
      <c r="A101" s="4">
        <f t="shared" si="21"/>
        <v>0.42355324074073986</v>
      </c>
      <c r="B101" s="3">
        <f t="shared" si="22"/>
        <v>1553300595</v>
      </c>
      <c r="C101">
        <f t="shared" si="18"/>
        <v>2</v>
      </c>
      <c r="D101">
        <f t="shared" si="18"/>
        <v>6</v>
      </c>
      <c r="E101">
        <f t="shared" ca="1" si="23"/>
        <v>-26974.180618275001</v>
      </c>
      <c r="F101">
        <f t="shared" ca="1" si="24"/>
        <v>-13123.567806466664</v>
      </c>
      <c r="G101">
        <f t="shared" ca="1" si="14"/>
        <v>10668</v>
      </c>
      <c r="H101" s="9">
        <f t="shared" ca="1" si="15"/>
        <v>215.79561975099787</v>
      </c>
      <c r="I101" s="9">
        <f t="shared" ca="1" si="15"/>
        <v>104.98718356533209</v>
      </c>
      <c r="J101" s="9">
        <f t="shared" ca="1" si="15"/>
        <v>0</v>
      </c>
      <c r="K101" s="9">
        <f t="shared" ca="1" si="16"/>
        <v>239.97928705765005</v>
      </c>
      <c r="L101" s="9">
        <f t="shared" ca="1" si="17"/>
        <v>64.056517093079506</v>
      </c>
      <c r="M101">
        <f t="shared" ca="1" si="19"/>
        <v>55.731250000000003</v>
      </c>
      <c r="N101">
        <f t="shared" ca="1" si="20"/>
        <v>32.501678240740738</v>
      </c>
    </row>
    <row r="102" spans="1:14" x14ac:dyDescent="0.25">
      <c r="A102" s="4">
        <f t="shared" si="21"/>
        <v>0.42361111111111022</v>
      </c>
      <c r="B102" s="3">
        <f t="shared" si="22"/>
        <v>1553300600</v>
      </c>
      <c r="C102">
        <f t="shared" si="18"/>
        <v>2</v>
      </c>
      <c r="D102">
        <f t="shared" si="18"/>
        <v>6</v>
      </c>
      <c r="E102">
        <f t="shared" ca="1" si="23"/>
        <v>-25895.202519520011</v>
      </c>
      <c r="F102">
        <f t="shared" ca="1" si="24"/>
        <v>-12598.631888640004</v>
      </c>
      <c r="G102">
        <f t="shared" ca="1" si="14"/>
        <v>10668</v>
      </c>
      <c r="H102" s="9">
        <f t="shared" ca="1" si="15"/>
        <v>215.79561975100077</v>
      </c>
      <c r="I102" s="9">
        <f t="shared" ca="1" si="15"/>
        <v>104.98718356533354</v>
      </c>
      <c r="J102" s="9">
        <f t="shared" ca="1" si="15"/>
        <v>0</v>
      </c>
      <c r="K102" s="9">
        <f t="shared" ca="1" si="16"/>
        <v>239.97928705765329</v>
      </c>
      <c r="L102" s="9">
        <f t="shared" ca="1" si="17"/>
        <v>64.056517093079492</v>
      </c>
      <c r="M102">
        <f t="shared" ca="1" si="19"/>
        <v>55.736000000000004</v>
      </c>
      <c r="N102">
        <f t="shared" ca="1" si="20"/>
        <v>32.518944444444443</v>
      </c>
    </row>
    <row r="103" spans="1:14" x14ac:dyDescent="0.25">
      <c r="A103" s="4">
        <f>A102+5/24/3600</f>
        <v>0.42366898148148058</v>
      </c>
      <c r="B103" s="3">
        <f t="shared" si="22"/>
        <v>1553300605</v>
      </c>
      <c r="C103">
        <f t="shared" si="18"/>
        <v>2</v>
      </c>
      <c r="D103">
        <f t="shared" si="18"/>
        <v>6</v>
      </c>
      <c r="E103">
        <f t="shared" ca="1" si="23"/>
        <v>-24816.224420765007</v>
      </c>
      <c r="F103">
        <f t="shared" ca="1" si="24"/>
        <v>-12073.695970813336</v>
      </c>
      <c r="G103">
        <f t="shared" ca="1" si="14"/>
        <v>10668</v>
      </c>
      <c r="H103" s="9">
        <f t="shared" ca="1" si="15"/>
        <v>215.79561975100077</v>
      </c>
      <c r="I103" s="9">
        <f t="shared" ca="1" si="15"/>
        <v>104.98718356533354</v>
      </c>
      <c r="J103" s="9">
        <f t="shared" ca="1" si="15"/>
        <v>0</v>
      </c>
      <c r="K103" s="9">
        <f t="shared" ca="1" si="16"/>
        <v>239.97928705765329</v>
      </c>
      <c r="L103" s="9">
        <f t="shared" ca="1" si="17"/>
        <v>64.056517093079492</v>
      </c>
      <c r="M103">
        <f t="shared" ca="1" si="19"/>
        <v>55.740749999999998</v>
      </c>
      <c r="N103">
        <f t="shared" ca="1" si="20"/>
        <v>32.536210648148142</v>
      </c>
    </row>
    <row r="104" spans="1:14" x14ac:dyDescent="0.25">
      <c r="A104" s="4">
        <f t="shared" ref="A104:A120" si="25">A103+5/24/3600</f>
        <v>0.42372685185185094</v>
      </c>
      <c r="B104" s="3">
        <f t="shared" si="22"/>
        <v>1553300610</v>
      </c>
      <c r="C104">
        <f t="shared" si="18"/>
        <v>2</v>
      </c>
      <c r="D104">
        <f t="shared" si="18"/>
        <v>6</v>
      </c>
      <c r="E104">
        <f t="shared" ca="1" si="23"/>
        <v>-23737.246322010003</v>
      </c>
      <c r="F104">
        <f t="shared" ca="1" si="24"/>
        <v>-11548.760052986669</v>
      </c>
      <c r="G104">
        <f t="shared" ca="1" si="14"/>
        <v>10668</v>
      </c>
      <c r="H104" s="9">
        <f t="shared" ca="1" si="15"/>
        <v>215.79561975100077</v>
      </c>
      <c r="I104" s="9">
        <f t="shared" ca="1" si="15"/>
        <v>104.98718356533354</v>
      </c>
      <c r="J104" s="9">
        <f t="shared" ca="1" si="15"/>
        <v>0</v>
      </c>
      <c r="K104" s="9">
        <f t="shared" ca="1" si="16"/>
        <v>239.97928705765329</v>
      </c>
      <c r="L104" s="9">
        <f t="shared" ca="1" si="17"/>
        <v>64.056517093079492</v>
      </c>
      <c r="M104">
        <f t="shared" ca="1" si="19"/>
        <v>55.7455</v>
      </c>
      <c r="N104">
        <f t="shared" ca="1" si="20"/>
        <v>32.553476851851848</v>
      </c>
    </row>
    <row r="105" spans="1:14" x14ac:dyDescent="0.25">
      <c r="A105" s="4">
        <f t="shared" si="25"/>
        <v>0.4237847222222213</v>
      </c>
      <c r="B105" s="3">
        <f t="shared" si="22"/>
        <v>1553300615</v>
      </c>
      <c r="C105">
        <f t="shared" si="18"/>
        <v>2</v>
      </c>
      <c r="D105">
        <f t="shared" si="18"/>
        <v>6</v>
      </c>
      <c r="E105">
        <f t="shared" ca="1" si="23"/>
        <v>-22658.268223255</v>
      </c>
      <c r="F105">
        <f t="shared" ca="1" si="24"/>
        <v>-11023.824135160001</v>
      </c>
      <c r="G105">
        <f t="shared" ca="1" si="14"/>
        <v>10668</v>
      </c>
      <c r="H105" s="9">
        <f t="shared" ca="1" si="15"/>
        <v>215.79561975099787</v>
      </c>
      <c r="I105" s="9">
        <f t="shared" ca="1" si="15"/>
        <v>104.98718356533354</v>
      </c>
      <c r="J105" s="9">
        <f t="shared" ca="1" si="15"/>
        <v>0</v>
      </c>
      <c r="K105" s="9">
        <f t="shared" ca="1" si="16"/>
        <v>239.97928705765068</v>
      </c>
      <c r="L105" s="9">
        <f t="shared" ca="1" si="17"/>
        <v>64.056517093079194</v>
      </c>
      <c r="M105">
        <f t="shared" ca="1" si="19"/>
        <v>55.750250000000001</v>
      </c>
      <c r="N105">
        <f t="shared" ca="1" si="20"/>
        <v>32.570743055555553</v>
      </c>
    </row>
    <row r="106" spans="1:14" x14ac:dyDescent="0.25">
      <c r="A106" s="4">
        <f t="shared" si="25"/>
        <v>0.42384259259259166</v>
      </c>
      <c r="B106" s="3">
        <f t="shared" si="22"/>
        <v>1553300620</v>
      </c>
      <c r="C106">
        <f t="shared" si="18"/>
        <v>2</v>
      </c>
      <c r="D106">
        <f t="shared" si="18"/>
        <v>6</v>
      </c>
      <c r="E106">
        <f t="shared" ca="1" si="23"/>
        <v>-21579.29012450001</v>
      </c>
      <c r="F106">
        <f t="shared" ca="1" si="24"/>
        <v>-10498.888217333333</v>
      </c>
      <c r="G106">
        <f t="shared" ca="1" si="14"/>
        <v>10668</v>
      </c>
      <c r="H106" s="9">
        <f t="shared" ca="1" si="15"/>
        <v>215.79561975100077</v>
      </c>
      <c r="I106" s="9">
        <f t="shared" ca="1" si="15"/>
        <v>104.98718356533354</v>
      </c>
      <c r="J106" s="9">
        <f t="shared" ca="1" si="15"/>
        <v>0</v>
      </c>
      <c r="K106" s="9">
        <f t="shared" ca="1" si="16"/>
        <v>239.97928705765329</v>
      </c>
      <c r="L106" s="9">
        <f t="shared" ca="1" si="17"/>
        <v>64.056517093079492</v>
      </c>
      <c r="M106">
        <f t="shared" ca="1" si="19"/>
        <v>55.755000000000003</v>
      </c>
      <c r="N106">
        <f t="shared" ca="1" si="20"/>
        <v>32.588009259259259</v>
      </c>
    </row>
    <row r="107" spans="1:14" x14ac:dyDescent="0.25">
      <c r="A107" s="4">
        <f t="shared" si="25"/>
        <v>0.42390046296296202</v>
      </c>
      <c r="B107" s="3">
        <f t="shared" si="22"/>
        <v>1553300625</v>
      </c>
      <c r="C107">
        <f t="shared" si="18"/>
        <v>2</v>
      </c>
      <c r="D107">
        <f t="shared" si="18"/>
        <v>6</v>
      </c>
      <c r="E107">
        <f t="shared" ca="1" si="23"/>
        <v>-20500.312025745006</v>
      </c>
      <c r="F107">
        <f t="shared" ca="1" si="24"/>
        <v>-9973.9522995066654</v>
      </c>
      <c r="G107">
        <f t="shared" ca="1" si="14"/>
        <v>10668</v>
      </c>
      <c r="H107" s="9">
        <f t="shared" ca="1" si="15"/>
        <v>215.79561975100077</v>
      </c>
      <c r="I107" s="9">
        <f t="shared" ca="1" si="15"/>
        <v>104.98718356533354</v>
      </c>
      <c r="J107" s="9">
        <f t="shared" ca="1" si="15"/>
        <v>0</v>
      </c>
      <c r="K107" s="9">
        <f t="shared" ca="1" si="16"/>
        <v>239.97928705765329</v>
      </c>
      <c r="L107" s="9">
        <f t="shared" ca="1" si="17"/>
        <v>64.056517093079492</v>
      </c>
      <c r="M107">
        <f t="shared" ca="1" si="19"/>
        <v>55.759750000000004</v>
      </c>
      <c r="N107">
        <f t="shared" ca="1" si="20"/>
        <v>32.605275462962958</v>
      </c>
    </row>
    <row r="108" spans="1:14" x14ac:dyDescent="0.25">
      <c r="A108" s="4">
        <f t="shared" si="25"/>
        <v>0.42395833333333238</v>
      </c>
      <c r="B108" s="3">
        <f t="shared" si="22"/>
        <v>1553300630</v>
      </c>
      <c r="C108">
        <f t="shared" si="18"/>
        <v>2</v>
      </c>
      <c r="D108">
        <f t="shared" si="18"/>
        <v>6</v>
      </c>
      <c r="E108">
        <f t="shared" ca="1" si="23"/>
        <v>-19421.333926990003</v>
      </c>
      <c r="F108">
        <f t="shared" ca="1" si="24"/>
        <v>-9449.0163816799977</v>
      </c>
      <c r="G108">
        <f t="shared" ca="1" si="14"/>
        <v>10668</v>
      </c>
      <c r="H108" s="9">
        <f t="shared" ca="1" si="15"/>
        <v>215.79561975100077</v>
      </c>
      <c r="I108" s="9">
        <f t="shared" ca="1" si="15"/>
        <v>104.98718356533354</v>
      </c>
      <c r="J108" s="9">
        <f t="shared" ca="1" si="15"/>
        <v>0</v>
      </c>
      <c r="K108" s="9">
        <f t="shared" ca="1" si="16"/>
        <v>239.97928705765329</v>
      </c>
      <c r="L108" s="9">
        <f t="shared" ca="1" si="17"/>
        <v>64.056517093079492</v>
      </c>
      <c r="M108">
        <f t="shared" ca="1" si="19"/>
        <v>55.764499999999998</v>
      </c>
      <c r="N108">
        <f t="shared" ca="1" si="20"/>
        <v>32.622541666666663</v>
      </c>
    </row>
    <row r="109" spans="1:14" x14ac:dyDescent="0.25">
      <c r="A109" s="4">
        <f t="shared" si="25"/>
        <v>0.42401620370370274</v>
      </c>
      <c r="B109" s="3">
        <f t="shared" si="22"/>
        <v>1553300635</v>
      </c>
      <c r="C109">
        <f t="shared" si="18"/>
        <v>2</v>
      </c>
      <c r="D109">
        <f t="shared" si="18"/>
        <v>6</v>
      </c>
      <c r="E109">
        <f t="shared" ca="1" si="23"/>
        <v>-18342.355828234999</v>
      </c>
      <c r="F109">
        <f t="shared" ca="1" si="24"/>
        <v>-8924.08046385333</v>
      </c>
      <c r="G109">
        <f t="shared" ca="1" si="14"/>
        <v>10668</v>
      </c>
      <c r="H109" s="9">
        <f t="shared" ca="1" si="15"/>
        <v>215.79561975099787</v>
      </c>
      <c r="I109" s="9">
        <f t="shared" ca="1" si="15"/>
        <v>104.98718356533209</v>
      </c>
      <c r="J109" s="9">
        <f t="shared" ca="1" si="15"/>
        <v>0</v>
      </c>
      <c r="K109" s="9">
        <f t="shared" ca="1" si="16"/>
        <v>239.97928705765005</v>
      </c>
      <c r="L109" s="9">
        <f t="shared" ca="1" si="17"/>
        <v>64.056517093079506</v>
      </c>
      <c r="M109">
        <f t="shared" ca="1" si="19"/>
        <v>55.76925</v>
      </c>
      <c r="N109">
        <f t="shared" ca="1" si="20"/>
        <v>32.639807870370369</v>
      </c>
    </row>
    <row r="110" spans="1:14" x14ac:dyDescent="0.25">
      <c r="A110" s="4">
        <f t="shared" si="25"/>
        <v>0.4240740740740731</v>
      </c>
      <c r="B110" s="3">
        <f t="shared" si="22"/>
        <v>1553300640</v>
      </c>
      <c r="C110">
        <f t="shared" si="18"/>
        <v>2</v>
      </c>
      <c r="D110">
        <f t="shared" si="18"/>
        <v>6</v>
      </c>
      <c r="E110">
        <f t="shared" ca="1" si="23"/>
        <v>-17263.377729480009</v>
      </c>
      <c r="F110">
        <f t="shared" ca="1" si="24"/>
        <v>-8399.1445460266696</v>
      </c>
      <c r="G110">
        <f t="shared" ca="1" si="14"/>
        <v>10668</v>
      </c>
      <c r="H110" s="9">
        <f t="shared" ca="1" si="15"/>
        <v>215.79561975100077</v>
      </c>
      <c r="I110" s="9">
        <f t="shared" ca="1" si="15"/>
        <v>104.98718356533354</v>
      </c>
      <c r="J110" s="9">
        <f t="shared" ca="1" si="15"/>
        <v>0</v>
      </c>
      <c r="K110" s="9">
        <f t="shared" ca="1" si="16"/>
        <v>239.97928705765329</v>
      </c>
      <c r="L110" s="9">
        <f t="shared" ca="1" si="17"/>
        <v>64.056517093079492</v>
      </c>
      <c r="M110">
        <f t="shared" ca="1" si="19"/>
        <v>55.774000000000001</v>
      </c>
      <c r="N110">
        <f t="shared" ca="1" si="20"/>
        <v>32.657074074074075</v>
      </c>
    </row>
    <row r="111" spans="1:14" x14ac:dyDescent="0.25">
      <c r="A111" s="4">
        <f t="shared" si="25"/>
        <v>0.42413194444444346</v>
      </c>
      <c r="B111" s="3">
        <f t="shared" si="22"/>
        <v>1553300645</v>
      </c>
      <c r="C111">
        <f t="shared" si="18"/>
        <v>2</v>
      </c>
      <c r="D111">
        <f t="shared" si="18"/>
        <v>6</v>
      </c>
      <c r="E111">
        <f t="shared" ca="1" si="23"/>
        <v>-16184.399630725005</v>
      </c>
      <c r="F111">
        <f t="shared" ca="1" si="24"/>
        <v>-7874.2086282000018</v>
      </c>
      <c r="G111">
        <f t="shared" ca="1" si="14"/>
        <v>10668</v>
      </c>
      <c r="H111" s="9">
        <f t="shared" ca="1" si="15"/>
        <v>215.79561975100077</v>
      </c>
      <c r="I111" s="9">
        <f t="shared" ca="1" si="15"/>
        <v>104.98718356533354</v>
      </c>
      <c r="J111" s="9">
        <f t="shared" ca="1" si="15"/>
        <v>0</v>
      </c>
      <c r="K111" s="9">
        <f t="shared" ca="1" si="16"/>
        <v>239.97928705765329</v>
      </c>
      <c r="L111" s="9">
        <f t="shared" ca="1" si="17"/>
        <v>64.056517093079492</v>
      </c>
      <c r="M111">
        <f t="shared" ca="1" si="19"/>
        <v>55.778750000000002</v>
      </c>
      <c r="N111">
        <f t="shared" ca="1" si="20"/>
        <v>32.674340277777773</v>
      </c>
    </row>
    <row r="112" spans="1:14" x14ac:dyDescent="0.25">
      <c r="A112" s="4">
        <f t="shared" si="25"/>
        <v>0.42418981481481383</v>
      </c>
      <c r="B112" s="3">
        <f t="shared" si="22"/>
        <v>1553300650</v>
      </c>
      <c r="C112">
        <f t="shared" si="18"/>
        <v>2</v>
      </c>
      <c r="D112">
        <f t="shared" si="18"/>
        <v>6</v>
      </c>
      <c r="E112">
        <f t="shared" ca="1" si="23"/>
        <v>-15105.421531970002</v>
      </c>
      <c r="F112">
        <f t="shared" ca="1" si="24"/>
        <v>-7349.2727103733341</v>
      </c>
      <c r="G112">
        <f t="shared" ca="1" si="14"/>
        <v>10668</v>
      </c>
      <c r="H112" s="9">
        <f t="shared" ca="1" si="15"/>
        <v>215.79561975100077</v>
      </c>
      <c r="I112" s="9">
        <f t="shared" ca="1" si="15"/>
        <v>104.98718356533354</v>
      </c>
      <c r="J112" s="9">
        <f t="shared" ca="1" si="15"/>
        <v>0</v>
      </c>
      <c r="K112" s="9">
        <f t="shared" ca="1" si="16"/>
        <v>239.97928705765329</v>
      </c>
      <c r="L112" s="9">
        <f t="shared" ca="1" si="17"/>
        <v>64.056517093079492</v>
      </c>
      <c r="M112">
        <f t="shared" ca="1" si="19"/>
        <v>55.783500000000004</v>
      </c>
      <c r="N112">
        <f t="shared" ca="1" si="20"/>
        <v>32.691606481481479</v>
      </c>
    </row>
    <row r="113" spans="1:15" x14ac:dyDescent="0.25">
      <c r="A113" s="4">
        <f t="shared" si="25"/>
        <v>0.42424768518518419</v>
      </c>
      <c r="B113" s="3">
        <f t="shared" si="22"/>
        <v>1553300655</v>
      </c>
      <c r="C113">
        <f t="shared" si="18"/>
        <v>2</v>
      </c>
      <c r="D113">
        <f t="shared" si="18"/>
        <v>6</v>
      </c>
      <c r="E113">
        <f t="shared" ca="1" si="23"/>
        <v>-14026.443433214998</v>
      </c>
      <c r="F113">
        <f t="shared" ca="1" si="24"/>
        <v>-6824.3367925466664</v>
      </c>
      <c r="G113">
        <f t="shared" ca="1" si="14"/>
        <v>10668</v>
      </c>
      <c r="H113" s="9">
        <f t="shared" ca="1" si="15"/>
        <v>215.79561975099787</v>
      </c>
      <c r="I113" s="9">
        <f t="shared" ca="1" si="15"/>
        <v>104.98718356533354</v>
      </c>
      <c r="J113" s="9">
        <f t="shared" ca="1" si="15"/>
        <v>0</v>
      </c>
      <c r="K113" s="9">
        <f t="shared" ca="1" si="16"/>
        <v>239.97928705765068</v>
      </c>
      <c r="L113" s="9">
        <f t="shared" ca="1" si="17"/>
        <v>64.056517093079194</v>
      </c>
      <c r="M113">
        <f t="shared" ca="1" si="19"/>
        <v>55.788249999999998</v>
      </c>
      <c r="N113">
        <f t="shared" ca="1" si="20"/>
        <v>32.708872685185185</v>
      </c>
    </row>
    <row r="114" spans="1:15" x14ac:dyDescent="0.25">
      <c r="A114" s="4">
        <f t="shared" si="25"/>
        <v>0.42430555555555455</v>
      </c>
      <c r="B114" s="3">
        <f t="shared" si="22"/>
        <v>1553300660</v>
      </c>
      <c r="C114">
        <f t="shared" si="18"/>
        <v>2</v>
      </c>
      <c r="D114">
        <f t="shared" si="18"/>
        <v>6</v>
      </c>
      <c r="E114">
        <f t="shared" ca="1" si="23"/>
        <v>-12947.465334460008</v>
      </c>
      <c r="F114">
        <f t="shared" ca="1" si="24"/>
        <v>-6299.4008747199987</v>
      </c>
      <c r="G114">
        <f t="shared" ca="1" si="14"/>
        <v>10668</v>
      </c>
      <c r="H114" s="9">
        <f t="shared" ca="1" si="15"/>
        <v>215.79561975100077</v>
      </c>
      <c r="I114" s="9">
        <f t="shared" ca="1" si="15"/>
        <v>104.98718356533354</v>
      </c>
      <c r="J114" s="9">
        <f t="shared" ca="1" si="15"/>
        <v>0</v>
      </c>
      <c r="K114" s="9">
        <f t="shared" ca="1" si="16"/>
        <v>239.97928705765329</v>
      </c>
      <c r="L114" s="9">
        <f t="shared" ca="1" si="17"/>
        <v>64.056517093079492</v>
      </c>
      <c r="M114">
        <f t="shared" ca="1" si="19"/>
        <v>55.792999999999999</v>
      </c>
      <c r="N114">
        <f t="shared" ca="1" si="20"/>
        <v>32.726138888888883</v>
      </c>
    </row>
    <row r="115" spans="1:15" x14ac:dyDescent="0.25">
      <c r="A115" s="4">
        <f t="shared" si="25"/>
        <v>0.42436342592592491</v>
      </c>
      <c r="B115" s="3">
        <f t="shared" si="22"/>
        <v>1553300665</v>
      </c>
      <c r="C115">
        <f t="shared" si="18"/>
        <v>2</v>
      </c>
      <c r="D115">
        <f t="shared" si="18"/>
        <v>6</v>
      </c>
      <c r="E115">
        <f t="shared" ca="1" si="23"/>
        <v>-11868.487235705004</v>
      </c>
      <c r="F115">
        <f t="shared" ca="1" si="24"/>
        <v>-5774.464956893331</v>
      </c>
      <c r="G115">
        <f t="shared" ca="1" si="14"/>
        <v>10668</v>
      </c>
      <c r="H115" s="9">
        <f t="shared" ca="1" si="15"/>
        <v>215.79561975100077</v>
      </c>
      <c r="I115" s="9">
        <f t="shared" ca="1" si="15"/>
        <v>104.98718356533354</v>
      </c>
      <c r="J115" s="9">
        <f t="shared" ca="1" si="15"/>
        <v>0</v>
      </c>
      <c r="K115" s="9">
        <f t="shared" ca="1" si="16"/>
        <v>239.97928705765329</v>
      </c>
      <c r="L115" s="9">
        <f t="shared" ca="1" si="17"/>
        <v>64.056517093079492</v>
      </c>
      <c r="M115">
        <f t="shared" ca="1" si="19"/>
        <v>55.797750000000001</v>
      </c>
      <c r="N115">
        <f t="shared" ca="1" si="20"/>
        <v>32.743405092592589</v>
      </c>
    </row>
    <row r="116" spans="1:15" x14ac:dyDescent="0.25">
      <c r="A116" s="4">
        <f t="shared" si="25"/>
        <v>0.42442129629629527</v>
      </c>
      <c r="B116" s="3">
        <f t="shared" si="22"/>
        <v>1553300670</v>
      </c>
      <c r="C116">
        <f t="shared" si="18"/>
        <v>2</v>
      </c>
      <c r="D116">
        <f t="shared" si="18"/>
        <v>6</v>
      </c>
      <c r="E116">
        <f t="shared" ca="1" si="23"/>
        <v>-10789.509136950001</v>
      </c>
      <c r="F116">
        <f t="shared" ca="1" si="24"/>
        <v>-5249.5290390666632</v>
      </c>
      <c r="G116">
        <f t="shared" ca="1" si="14"/>
        <v>10668</v>
      </c>
      <c r="H116" s="9">
        <f t="shared" ca="1" si="15"/>
        <v>215.79561975100077</v>
      </c>
      <c r="I116" s="9">
        <f t="shared" ca="1" si="15"/>
        <v>104.98718356533209</v>
      </c>
      <c r="J116" s="9">
        <f t="shared" ca="1" si="15"/>
        <v>0</v>
      </c>
      <c r="K116" s="9">
        <f t="shared" ca="1" si="16"/>
        <v>239.97928705765264</v>
      </c>
      <c r="L116" s="9">
        <f t="shared" ca="1" si="17"/>
        <v>64.056517093079805</v>
      </c>
      <c r="M116">
        <f t="shared" ca="1" si="19"/>
        <v>55.802500000000002</v>
      </c>
      <c r="N116">
        <f t="shared" ca="1" si="20"/>
        <v>32.760671296296294</v>
      </c>
    </row>
    <row r="117" spans="1:15" x14ac:dyDescent="0.25">
      <c r="A117" s="4">
        <f t="shared" si="25"/>
        <v>0.42447916666666563</v>
      </c>
      <c r="B117" s="3">
        <f t="shared" si="22"/>
        <v>1553300675</v>
      </c>
      <c r="C117">
        <f t="shared" si="18"/>
        <v>2</v>
      </c>
      <c r="D117">
        <f t="shared" si="18"/>
        <v>6</v>
      </c>
      <c r="E117">
        <f t="shared" ca="1" si="23"/>
        <v>-9710.5310381949967</v>
      </c>
      <c r="F117">
        <f t="shared" ca="1" si="24"/>
        <v>-4724.5931212400028</v>
      </c>
      <c r="G117">
        <f t="shared" ca="1" si="14"/>
        <v>10668</v>
      </c>
      <c r="H117" s="9">
        <f t="shared" ca="1" si="15"/>
        <v>215.79561975099787</v>
      </c>
      <c r="I117" s="9">
        <f t="shared" ca="1" si="15"/>
        <v>104.98718356533354</v>
      </c>
      <c r="J117" s="9">
        <f t="shared" ca="1" si="15"/>
        <v>0</v>
      </c>
      <c r="K117" s="9">
        <f t="shared" ca="1" si="16"/>
        <v>239.97928705765068</v>
      </c>
      <c r="L117" s="9">
        <f t="shared" ca="1" si="17"/>
        <v>64.056517093079194</v>
      </c>
      <c r="M117">
        <f t="shared" ca="1" si="19"/>
        <v>55.807250000000003</v>
      </c>
      <c r="N117">
        <f t="shared" ca="1" si="20"/>
        <v>32.7779375</v>
      </c>
    </row>
    <row r="118" spans="1:15" x14ac:dyDescent="0.25">
      <c r="A118" s="4">
        <f t="shared" si="25"/>
        <v>0.42453703703703599</v>
      </c>
      <c r="B118" s="3">
        <f t="shared" si="22"/>
        <v>1553300680</v>
      </c>
      <c r="C118">
        <f t="shared" si="18"/>
        <v>2</v>
      </c>
      <c r="D118">
        <f t="shared" si="18"/>
        <v>6</v>
      </c>
      <c r="E118">
        <f t="shared" ca="1" si="23"/>
        <v>-8631.5529394400073</v>
      </c>
      <c r="F118">
        <f t="shared" ca="1" si="24"/>
        <v>-4199.6572034133351</v>
      </c>
      <c r="G118">
        <f t="shared" ca="1" si="14"/>
        <v>10668</v>
      </c>
      <c r="H118" s="9">
        <f t="shared" ca="1" si="15"/>
        <v>215.79561975100077</v>
      </c>
      <c r="I118" s="9">
        <f t="shared" ca="1" si="15"/>
        <v>104.98718356533354</v>
      </c>
      <c r="J118" s="9">
        <f t="shared" ca="1" si="15"/>
        <v>0</v>
      </c>
      <c r="K118" s="9">
        <f t="shared" ca="1" si="16"/>
        <v>239.97928705765329</v>
      </c>
      <c r="L118" s="9">
        <f t="shared" ca="1" si="17"/>
        <v>64.056517093079492</v>
      </c>
      <c r="M118">
        <f t="shared" ca="1" si="19"/>
        <v>55.812000000000005</v>
      </c>
      <c r="N118">
        <f t="shared" ca="1" si="20"/>
        <v>32.795203703703699</v>
      </c>
    </row>
    <row r="119" spans="1:15" x14ac:dyDescent="0.25">
      <c r="A119" s="4">
        <f t="shared" si="25"/>
        <v>0.42459490740740635</v>
      </c>
      <c r="B119" s="3">
        <f t="shared" si="22"/>
        <v>1553300685</v>
      </c>
      <c r="C119">
        <f t="shared" si="18"/>
        <v>2</v>
      </c>
      <c r="D119">
        <f t="shared" si="18"/>
        <v>6</v>
      </c>
      <c r="E119">
        <f t="shared" ca="1" si="23"/>
        <v>-7552.5748406850034</v>
      </c>
      <c r="F119">
        <f t="shared" ca="1" si="24"/>
        <v>-3674.7212855866674</v>
      </c>
      <c r="G119">
        <f t="shared" ca="1" si="14"/>
        <v>10668</v>
      </c>
      <c r="H119" s="9">
        <f t="shared" ca="1" si="15"/>
        <v>215.79561975100077</v>
      </c>
      <c r="I119" s="9">
        <f t="shared" ca="1" si="15"/>
        <v>104.98718356533354</v>
      </c>
      <c r="J119" s="9">
        <f t="shared" ca="1" si="15"/>
        <v>0</v>
      </c>
      <c r="K119" s="9">
        <f t="shared" ca="1" si="16"/>
        <v>239.97928705765329</v>
      </c>
      <c r="L119" s="9">
        <f t="shared" ca="1" si="17"/>
        <v>64.056517093079492</v>
      </c>
      <c r="M119">
        <f t="shared" ca="1" si="19"/>
        <v>55.816749999999999</v>
      </c>
      <c r="N119">
        <f t="shared" ca="1" si="20"/>
        <v>32.812469907407404</v>
      </c>
    </row>
    <row r="120" spans="1:15" x14ac:dyDescent="0.25">
      <c r="A120" s="4">
        <f t="shared" si="25"/>
        <v>0.42465277777777671</v>
      </c>
      <c r="B120" s="3">
        <f t="shared" si="22"/>
        <v>1553300690</v>
      </c>
      <c r="C120">
        <f t="shared" si="18"/>
        <v>2</v>
      </c>
      <c r="D120">
        <f t="shared" si="18"/>
        <v>6</v>
      </c>
      <c r="E120">
        <f t="shared" ca="1" si="23"/>
        <v>-6473.5967419299996</v>
      </c>
      <c r="F120">
        <f t="shared" ca="1" si="24"/>
        <v>-3149.7853677599996</v>
      </c>
      <c r="G120">
        <f t="shared" ca="1" si="14"/>
        <v>10668</v>
      </c>
      <c r="H120" s="9">
        <f t="shared" ca="1" si="15"/>
        <v>215.79561975099787</v>
      </c>
      <c r="I120" s="9">
        <f t="shared" ca="1" si="15"/>
        <v>104.98718356533354</v>
      </c>
      <c r="J120" s="9">
        <f t="shared" ca="1" si="15"/>
        <v>0</v>
      </c>
      <c r="K120" s="9">
        <f t="shared" ca="1" si="16"/>
        <v>239.97928705765068</v>
      </c>
      <c r="L120" s="9">
        <f t="shared" ca="1" si="17"/>
        <v>64.056517093079194</v>
      </c>
      <c r="M120">
        <f t="shared" ca="1" si="19"/>
        <v>55.8215</v>
      </c>
      <c r="N120">
        <f t="shared" ca="1" si="20"/>
        <v>32.82973611111111</v>
      </c>
    </row>
    <row r="121" spans="1:15" x14ac:dyDescent="0.25">
      <c r="A121" s="4">
        <f>A120+5/24/3600</f>
        <v>0.42471064814814707</v>
      </c>
      <c r="B121" s="3">
        <f t="shared" si="22"/>
        <v>1553300695</v>
      </c>
      <c r="C121">
        <f t="shared" si="18"/>
        <v>2</v>
      </c>
      <c r="D121">
        <f t="shared" si="18"/>
        <v>6</v>
      </c>
      <c r="E121">
        <f t="shared" ca="1" si="23"/>
        <v>-5394.6186431750102</v>
      </c>
      <c r="F121">
        <f t="shared" ca="1" si="24"/>
        <v>-2624.8494499333319</v>
      </c>
      <c r="G121">
        <f t="shared" ca="1" si="14"/>
        <v>10668</v>
      </c>
      <c r="H121" s="9">
        <f t="shared" ca="1" si="15"/>
        <v>215.79561975100077</v>
      </c>
      <c r="I121" s="9">
        <f t="shared" ca="1" si="15"/>
        <v>104.98718356533354</v>
      </c>
      <c r="J121" s="9">
        <f t="shared" ca="1" si="15"/>
        <v>0</v>
      </c>
      <c r="K121" s="9">
        <f t="shared" ca="1" si="16"/>
        <v>239.97928705765329</v>
      </c>
      <c r="L121" s="9">
        <f t="shared" ca="1" si="17"/>
        <v>64.056517093079492</v>
      </c>
      <c r="M121">
        <f t="shared" ca="1" si="19"/>
        <v>55.826250000000002</v>
      </c>
      <c r="N121">
        <f t="shared" ca="1" si="20"/>
        <v>32.847002314814809</v>
      </c>
    </row>
    <row r="122" spans="1:15" x14ac:dyDescent="0.25">
      <c r="A122" s="4">
        <f t="shared" ref="A122:A185" si="26">A121+5/24/3600</f>
        <v>0.42476851851851744</v>
      </c>
      <c r="B122" s="3">
        <f t="shared" si="22"/>
        <v>1553300700</v>
      </c>
      <c r="C122">
        <f t="shared" si="18"/>
        <v>2</v>
      </c>
      <c r="D122">
        <f t="shared" si="18"/>
        <v>6</v>
      </c>
      <c r="E122">
        <f t="shared" ca="1" si="23"/>
        <v>-4315.6405444200063</v>
      </c>
      <c r="F122">
        <f t="shared" ca="1" si="24"/>
        <v>-2099.9135321066642</v>
      </c>
      <c r="G122">
        <f t="shared" ca="1" si="14"/>
        <v>10668</v>
      </c>
      <c r="H122" s="9">
        <f t="shared" ca="1" si="15"/>
        <v>215.79561975100077</v>
      </c>
      <c r="I122" s="9">
        <f t="shared" ca="1" si="15"/>
        <v>104.98718356533354</v>
      </c>
      <c r="J122" s="9">
        <f t="shared" ca="1" si="15"/>
        <v>0</v>
      </c>
      <c r="K122" s="9">
        <f t="shared" ca="1" si="16"/>
        <v>239.97928705765329</v>
      </c>
      <c r="L122" s="9">
        <f t="shared" ca="1" si="17"/>
        <v>64.056517093079492</v>
      </c>
      <c r="M122">
        <f t="shared" ca="1" si="19"/>
        <v>55.831000000000003</v>
      </c>
      <c r="N122">
        <f t="shared" ca="1" si="20"/>
        <v>32.864268518518514</v>
      </c>
    </row>
    <row r="123" spans="1:15" x14ac:dyDescent="0.25">
      <c r="A123" s="4">
        <f t="shared" si="26"/>
        <v>0.4248263888888878</v>
      </c>
      <c r="B123" s="3">
        <f t="shared" si="22"/>
        <v>1553300705</v>
      </c>
      <c r="C123">
        <f t="shared" si="18"/>
        <v>2</v>
      </c>
      <c r="D123">
        <f t="shared" si="18"/>
        <v>6</v>
      </c>
      <c r="E123">
        <f t="shared" ca="1" si="23"/>
        <v>-3236.6624456650025</v>
      </c>
      <c r="F123">
        <f t="shared" ca="1" si="24"/>
        <v>-1574.9776142799965</v>
      </c>
      <c r="G123">
        <f t="shared" ca="1" si="14"/>
        <v>10668</v>
      </c>
      <c r="H123" s="9">
        <f t="shared" ca="1" si="15"/>
        <v>215.79561975100077</v>
      </c>
      <c r="I123" s="9">
        <f t="shared" ca="1" si="15"/>
        <v>104.98718356533209</v>
      </c>
      <c r="J123" s="9">
        <f t="shared" ca="1" si="15"/>
        <v>0</v>
      </c>
      <c r="K123" s="9">
        <f t="shared" ca="1" si="16"/>
        <v>239.97928705765264</v>
      </c>
      <c r="L123" s="9">
        <f t="shared" ca="1" si="17"/>
        <v>64.056517093079805</v>
      </c>
      <c r="M123">
        <f t="shared" ca="1" si="19"/>
        <v>55.835750000000004</v>
      </c>
      <c r="N123">
        <f t="shared" ca="1" si="20"/>
        <v>32.88153472222222</v>
      </c>
    </row>
    <row r="124" spans="1:15" x14ac:dyDescent="0.25">
      <c r="A124" s="4">
        <f t="shared" si="26"/>
        <v>0.42488425925925816</v>
      </c>
      <c r="B124" s="3">
        <f t="shared" si="22"/>
        <v>1553300710</v>
      </c>
      <c r="C124">
        <f t="shared" si="18"/>
        <v>2</v>
      </c>
      <c r="D124">
        <f t="shared" si="18"/>
        <v>6</v>
      </c>
      <c r="E124">
        <f t="shared" ca="1" si="23"/>
        <v>-2157.6843469099986</v>
      </c>
      <c r="F124">
        <f t="shared" ca="1" si="24"/>
        <v>-1050.041696453336</v>
      </c>
      <c r="G124">
        <f t="shared" ca="1" si="14"/>
        <v>10668</v>
      </c>
      <c r="H124" s="9">
        <f t="shared" ca="1" si="15"/>
        <v>214.85881897991652</v>
      </c>
      <c r="I124" s="9">
        <f t="shared" ca="1" si="15"/>
        <v>107.45917309066689</v>
      </c>
      <c r="J124" s="9">
        <f t="shared" ca="1" si="15"/>
        <v>0</v>
      </c>
      <c r="K124" s="9">
        <f t="shared" ca="1" si="16"/>
        <v>240.23277456411819</v>
      </c>
      <c r="L124" s="9">
        <f t="shared" ca="1" si="17"/>
        <v>63.428599596143584</v>
      </c>
      <c r="M124">
        <f t="shared" ca="1" si="19"/>
        <v>55.840499999999999</v>
      </c>
      <c r="N124">
        <f t="shared" ca="1" si="20"/>
        <v>32.898800925925926</v>
      </c>
    </row>
    <row r="125" spans="1:15" x14ac:dyDescent="0.25">
      <c r="A125" s="4">
        <f t="shared" si="26"/>
        <v>0.42494212962962852</v>
      </c>
      <c r="B125" s="3">
        <f t="shared" si="22"/>
        <v>1553300715</v>
      </c>
      <c r="C125">
        <f t="shared" si="18"/>
        <v>2</v>
      </c>
      <c r="D125">
        <f t="shared" si="18"/>
        <v>6</v>
      </c>
      <c r="E125" s="16">
        <f ca="1">(1-$O125)*(1-$O125)*E124+2*$O125*(1-$O125)*INDIRECT("E"&amp;C126)+$O125*$O125*E128</f>
        <v>-1083.3902520104159</v>
      </c>
      <c r="F125" s="16">
        <f ca="1">(1-$O125)*(1-$O125)*F124+2*$O125*(1-$O125)*INDIRECT("F"&amp;C126)+$O125*$O125*F128</f>
        <v>-512.74583100000154</v>
      </c>
      <c r="G125" s="16">
        <f t="shared" ca="1" si="14"/>
        <v>10668</v>
      </c>
      <c r="H125" s="17">
        <f t="shared" ca="1" si="15"/>
        <v>212.9852174377499</v>
      </c>
      <c r="I125" s="17">
        <f t="shared" ca="1" si="15"/>
        <v>112.40315214133352</v>
      </c>
      <c r="J125" s="17">
        <f t="shared" ca="1" si="15"/>
        <v>0</v>
      </c>
      <c r="K125" s="17">
        <f t="shared" ca="1" si="16"/>
        <v>240.82601906420612</v>
      </c>
      <c r="L125" s="17">
        <f t="shared" ca="1" si="17"/>
        <v>62.17710559124999</v>
      </c>
      <c r="M125" s="16">
        <f ca="1">(1-$O125)*(1-$O125)*M124+2*$O125*(1-$O125)*INDIRECT("M"&amp;C126)+$O125*$O125*M128</f>
        <v>55.845350694444448</v>
      </c>
      <c r="N125" s="16">
        <f ca="1">(1-$O125)*(1-$O125)*N124+2*$O125*(1-$O125)*INDIRECT("N"&amp;C126)+$O125*$O125*N128</f>
        <v>32.915992187499995</v>
      </c>
      <c r="O125" s="16">
        <f>(B125-B124)/(B128-B124)</f>
        <v>0.25</v>
      </c>
    </row>
    <row r="126" spans="1:15" x14ac:dyDescent="0.25">
      <c r="A126" s="5">
        <f t="shared" si="26"/>
        <v>0.42499999999999888</v>
      </c>
      <c r="B126" s="3">
        <f t="shared" si="22"/>
        <v>1553300720</v>
      </c>
      <c r="C126">
        <v>3</v>
      </c>
      <c r="D126">
        <f>ROW()</f>
        <v>126</v>
      </c>
      <c r="E126" s="16">
        <f ca="1">(1-$O126)*(1-$O126)*E124+2*$O126*(1-$O126)*INDIRECT("E"&amp;C126)+$O126*$O126*E128</f>
        <v>-18.464164821666259</v>
      </c>
      <c r="F126" s="16">
        <f ca="1">(1-$O126)*(1-$O126)*F124+2*$O126*(1-$O126)*INDIRECT("F"&amp;C126)+$O126*$O126*F128</f>
        <v>49.269929706666005</v>
      </c>
      <c r="G126" s="16">
        <f t="shared" ca="1" si="14"/>
        <v>10668</v>
      </c>
      <c r="H126" s="17">
        <f t="shared" ca="1" si="15"/>
        <v>211.11161589558324</v>
      </c>
      <c r="I126" s="17">
        <f t="shared" ca="1" si="15"/>
        <v>117.34713119200009</v>
      </c>
      <c r="J126" s="17">
        <f t="shared" ca="1" si="15"/>
        <v>0</v>
      </c>
      <c r="K126" s="17">
        <f t="shared" ca="1" si="16"/>
        <v>241.53356612495242</v>
      </c>
      <c r="L126" s="17">
        <f t="shared" ca="1" si="17"/>
        <v>60.932352635744053</v>
      </c>
      <c r="M126" s="16">
        <f ca="1">(1-$O126)*(1-$O126)*M124+2*$O126*(1-$O126)*INDIRECT("M"&amp;C126)+$O126*$O126*M128</f>
        <v>55.850402777777781</v>
      </c>
      <c r="N126" s="16">
        <f ca="1">(1-$O126)*(1-$O126)*N124+2*$O126*(1-$O126)*INDIRECT("N"&amp;C126)+$O126*$O126*N128</f>
        <v>32.933033564814814</v>
      </c>
      <c r="O126" s="16">
        <f>(B126-B124)/(B128-B124)</f>
        <v>0.5</v>
      </c>
    </row>
    <row r="127" spans="1:15" x14ac:dyDescent="0.25">
      <c r="A127" s="4">
        <f t="shared" si="26"/>
        <v>0.42505787037036924</v>
      </c>
      <c r="B127" s="3">
        <f t="shared" si="22"/>
        <v>1553300725</v>
      </c>
      <c r="C127">
        <f t="shared" si="18"/>
        <v>3</v>
      </c>
      <c r="D127">
        <f t="shared" si="18"/>
        <v>126</v>
      </c>
      <c r="E127" s="16">
        <f ca="1">(1-$O127)*(1-$O127)*E124+2*$O127*(1-$O127)*INDIRECT("E"&amp;C126)+$O127*$O127*E128</f>
        <v>1037.09391465625</v>
      </c>
      <c r="F127" s="16">
        <f ca="1">(1-$O127)*(1-$O127)*F124+2*$O127*(1-$O127)*INDIRECT("F"&amp;C126)+$O127*$O127*F128</f>
        <v>636.00558566666655</v>
      </c>
      <c r="G127" s="16">
        <f t="shared" ca="1" si="14"/>
        <v>10668</v>
      </c>
      <c r="H127" s="17">
        <f t="shared" ca="1" si="15"/>
        <v>209.23801435341665</v>
      </c>
      <c r="I127" s="17">
        <f t="shared" ca="1" si="15"/>
        <v>122.29111024266672</v>
      </c>
      <c r="J127" s="17">
        <f t="shared" ca="1" si="15"/>
        <v>0</v>
      </c>
      <c r="K127" s="17">
        <f t="shared" ca="1" si="16"/>
        <v>242.35441463886036</v>
      </c>
      <c r="L127" s="17">
        <f t="shared" ca="1" si="17"/>
        <v>59.695450873911</v>
      </c>
      <c r="M127" s="16">
        <f ca="1">(1-$O127)*(1-$O127)*M124+2*$O127*(1-$O127)*INDIRECT("M"&amp;C126)+$O127*$O127*M128</f>
        <v>55.855656250000003</v>
      </c>
      <c r="N127" s="16">
        <f ca="1">(1-$O127)*(1-$O127)*N124+2*$O127*(1-$O127)*INDIRECT("N"&amp;C126)+$O127*$O127*N128</f>
        <v>32.94992505787036</v>
      </c>
      <c r="O127" s="16">
        <f>(B127-B124)/(B128-B124)</f>
        <v>0.75</v>
      </c>
    </row>
    <row r="128" spans="1:15" x14ac:dyDescent="0.25">
      <c r="A128" s="4">
        <f t="shared" si="26"/>
        <v>0.4251157407407396</v>
      </c>
      <c r="B128" s="3">
        <f t="shared" si="22"/>
        <v>1553300730</v>
      </c>
      <c r="C128">
        <f t="shared" si="18"/>
        <v>3</v>
      </c>
      <c r="D128">
        <f t="shared" si="18"/>
        <v>126</v>
      </c>
      <c r="E128">
        <f t="shared" ca="1" si="23"/>
        <v>2083.2839864233333</v>
      </c>
      <c r="F128">
        <f t="shared" ca="1" si="24"/>
        <v>1247.4611368800001</v>
      </c>
      <c r="G128">
        <f t="shared" ca="1" si="14"/>
        <v>10668</v>
      </c>
      <c r="H128" s="9">
        <f t="shared" ca="1" si="15"/>
        <v>208.30121358233336</v>
      </c>
      <c r="I128" s="9">
        <f t="shared" ca="1" si="15"/>
        <v>124.76309976799999</v>
      </c>
      <c r="J128" s="9">
        <f t="shared" ca="1" si="15"/>
        <v>0</v>
      </c>
      <c r="K128" s="9">
        <f t="shared" ca="1" si="16"/>
        <v>242.80697404233013</v>
      </c>
      <c r="L128" s="9">
        <f t="shared" ca="1" si="17"/>
        <v>59.080279440885654</v>
      </c>
      <c r="M128">
        <f t="shared" ca="1" si="19"/>
        <v>55.861111111111114</v>
      </c>
      <c r="N128">
        <f t="shared" ca="1" si="20"/>
        <v>32.966666666666661</v>
      </c>
    </row>
    <row r="129" spans="1:19" x14ac:dyDescent="0.25">
      <c r="A129" s="4">
        <f t="shared" si="26"/>
        <v>0.42517361111110996</v>
      </c>
      <c r="B129" s="3">
        <f t="shared" si="22"/>
        <v>1553300735</v>
      </c>
      <c r="C129">
        <f t="shared" si="18"/>
        <v>3</v>
      </c>
      <c r="D129">
        <f t="shared" si="18"/>
        <v>126</v>
      </c>
      <c r="E129">
        <f t="shared" ca="1" si="23"/>
        <v>3124.7900543350001</v>
      </c>
      <c r="F129">
        <f t="shared" ca="1" si="24"/>
        <v>1871.2766357200001</v>
      </c>
      <c r="G129">
        <f t="shared" ca="1" si="14"/>
        <v>10668</v>
      </c>
      <c r="H129" s="9">
        <f t="shared" ca="1" si="15"/>
        <v>208.30121358233328</v>
      </c>
      <c r="I129" s="9">
        <f t="shared" ca="1" si="15"/>
        <v>124.76309976799999</v>
      </c>
      <c r="J129" s="9">
        <f t="shared" ca="1" si="15"/>
        <v>0</v>
      </c>
      <c r="K129" s="9">
        <f t="shared" ca="1" si="16"/>
        <v>242.80697404233007</v>
      </c>
      <c r="L129" s="9">
        <f t="shared" ca="1" si="17"/>
        <v>59.08027944088564</v>
      </c>
      <c r="M129">
        <f t="shared" ca="1" si="19"/>
        <v>55.866666666666667</v>
      </c>
      <c r="N129">
        <f t="shared" ca="1" si="20"/>
        <v>32.983333333333327</v>
      </c>
    </row>
    <row r="130" spans="1:19" x14ac:dyDescent="0.25">
      <c r="A130" s="4">
        <f t="shared" si="26"/>
        <v>0.42523148148148032</v>
      </c>
      <c r="B130" s="3">
        <f t="shared" si="22"/>
        <v>1553300740</v>
      </c>
      <c r="C130">
        <f t="shared" si="18"/>
        <v>3</v>
      </c>
      <c r="D130">
        <f t="shared" si="18"/>
        <v>126</v>
      </c>
      <c r="E130">
        <f t="shared" ca="1" si="23"/>
        <v>4166.2961222466665</v>
      </c>
      <c r="F130">
        <f t="shared" ca="1" si="24"/>
        <v>2495.09213456</v>
      </c>
      <c r="G130">
        <f t="shared" ca="1" si="14"/>
        <v>10668</v>
      </c>
      <c r="H130" s="9">
        <f t="shared" ca="1" si="15"/>
        <v>208.30121358233336</v>
      </c>
      <c r="I130" s="9">
        <f t="shared" ca="1" si="15"/>
        <v>124.76309976800003</v>
      </c>
      <c r="J130" s="9">
        <f t="shared" ca="1" si="15"/>
        <v>0</v>
      </c>
      <c r="K130" s="9">
        <f t="shared" ca="1" si="16"/>
        <v>242.80697404233015</v>
      </c>
      <c r="L130" s="9">
        <f t="shared" ca="1" si="17"/>
        <v>59.08027944088564</v>
      </c>
      <c r="M130">
        <f t="shared" ca="1" si="19"/>
        <v>55.87222222222222</v>
      </c>
      <c r="N130">
        <f t="shared" ca="1" si="20"/>
        <v>33</v>
      </c>
    </row>
    <row r="131" spans="1:19" x14ac:dyDescent="0.25">
      <c r="A131" s="4">
        <f t="shared" si="26"/>
        <v>0.42528935185185068</v>
      </c>
      <c r="B131" s="3">
        <f t="shared" si="22"/>
        <v>1553300745</v>
      </c>
      <c r="C131">
        <f t="shared" si="18"/>
        <v>3</v>
      </c>
      <c r="D131">
        <f t="shared" si="18"/>
        <v>126</v>
      </c>
      <c r="E131">
        <f t="shared" ca="1" si="23"/>
        <v>5207.8021901583334</v>
      </c>
      <c r="F131">
        <f t="shared" ca="1" si="24"/>
        <v>3118.9076334000001</v>
      </c>
      <c r="G131">
        <f t="shared" ca="1" si="14"/>
        <v>10668</v>
      </c>
      <c r="H131" s="9">
        <f t="shared" ca="1" si="15"/>
        <v>208.30121358233336</v>
      </c>
      <c r="I131" s="9">
        <f t="shared" ca="1" si="15"/>
        <v>124.76309976799993</v>
      </c>
      <c r="J131" s="9">
        <f t="shared" ca="1" si="15"/>
        <v>0</v>
      </c>
      <c r="K131" s="9">
        <f t="shared" ca="1" si="16"/>
        <v>242.8069740423301</v>
      </c>
      <c r="L131" s="9">
        <f t="shared" ca="1" si="17"/>
        <v>59.080279440885661</v>
      </c>
      <c r="M131">
        <f t="shared" ca="1" si="19"/>
        <v>55.87777777777778</v>
      </c>
      <c r="N131">
        <f t="shared" ca="1" si="20"/>
        <v>33.016666666666666</v>
      </c>
    </row>
    <row r="132" spans="1:19" x14ac:dyDescent="0.25">
      <c r="A132" s="4">
        <f t="shared" si="26"/>
        <v>0.42534722222222104</v>
      </c>
      <c r="B132" s="3">
        <f t="shared" si="22"/>
        <v>1553300750</v>
      </c>
      <c r="C132">
        <f t="shared" si="18"/>
        <v>3</v>
      </c>
      <c r="D132">
        <f t="shared" si="18"/>
        <v>126</v>
      </c>
      <c r="E132">
        <f t="shared" ca="1" si="23"/>
        <v>6249.3082580700002</v>
      </c>
      <c r="F132">
        <f t="shared" ca="1" si="24"/>
        <v>3742.7231322399998</v>
      </c>
      <c r="G132">
        <f t="shared" ca="1" si="14"/>
        <v>10668</v>
      </c>
      <c r="H132" s="9">
        <f t="shared" ca="1" si="15"/>
        <v>208.30121358233336</v>
      </c>
      <c r="I132" s="9">
        <f t="shared" ca="1" si="15"/>
        <v>124.76309976800012</v>
      </c>
      <c r="J132" s="9">
        <f t="shared" ca="1" si="15"/>
        <v>0</v>
      </c>
      <c r="K132" s="9">
        <f t="shared" ca="1" si="16"/>
        <v>242.80697404233018</v>
      </c>
      <c r="L132" s="9">
        <f t="shared" ca="1" si="17"/>
        <v>59.080279440885626</v>
      </c>
      <c r="M132">
        <f t="shared" ca="1" si="19"/>
        <v>55.883333333333333</v>
      </c>
      <c r="N132">
        <f t="shared" ca="1" si="20"/>
        <v>33.033333333333331</v>
      </c>
    </row>
    <row r="133" spans="1:19" x14ac:dyDescent="0.25">
      <c r="A133" s="4">
        <f t="shared" si="26"/>
        <v>0.42540509259259141</v>
      </c>
      <c r="B133" s="3">
        <f t="shared" si="22"/>
        <v>1553300755</v>
      </c>
      <c r="C133">
        <f t="shared" si="18"/>
        <v>3</v>
      </c>
      <c r="D133">
        <f t="shared" si="18"/>
        <v>126</v>
      </c>
      <c r="E133">
        <f t="shared" ca="1" si="23"/>
        <v>7290.814325981667</v>
      </c>
      <c r="F133">
        <f t="shared" ca="1" si="24"/>
        <v>4366.5386310800004</v>
      </c>
      <c r="G133">
        <f t="shared" ca="1" si="14"/>
        <v>10668</v>
      </c>
      <c r="H133" s="9">
        <f t="shared" ca="1" si="15"/>
        <v>208.30121358233319</v>
      </c>
      <c r="I133" s="9">
        <f t="shared" ca="1" si="15"/>
        <v>124.76309976800003</v>
      </c>
      <c r="J133" s="9">
        <f t="shared" ca="1" si="15"/>
        <v>0</v>
      </c>
      <c r="K133" s="9">
        <f t="shared" ca="1" si="16"/>
        <v>242.80697404233001</v>
      </c>
      <c r="L133" s="9">
        <f t="shared" ca="1" si="17"/>
        <v>59.080279440885612</v>
      </c>
      <c r="M133">
        <f t="shared" ca="1" si="19"/>
        <v>55.888888888888893</v>
      </c>
      <c r="N133">
        <f t="shared" ca="1" si="20"/>
        <v>33.049999999999997</v>
      </c>
    </row>
    <row r="134" spans="1:19" x14ac:dyDescent="0.25">
      <c r="A134" s="4">
        <f t="shared" si="26"/>
        <v>0.42546296296296177</v>
      </c>
      <c r="B134" s="3">
        <f t="shared" si="22"/>
        <v>1553300760</v>
      </c>
      <c r="C134">
        <f t="shared" si="18"/>
        <v>3</v>
      </c>
      <c r="D134">
        <f t="shared" si="18"/>
        <v>126</v>
      </c>
      <c r="E134">
        <f t="shared" ca="1" si="23"/>
        <v>8332.3203938933329</v>
      </c>
      <c r="F134">
        <f t="shared" ca="1" si="24"/>
        <v>4990.3541299200006</v>
      </c>
      <c r="G134">
        <f t="shared" ca="1" si="14"/>
        <v>10668</v>
      </c>
      <c r="H134" s="9">
        <f t="shared" ca="1" si="15"/>
        <v>208.30121358233336</v>
      </c>
      <c r="I134" s="9">
        <f t="shared" ca="1" si="15"/>
        <v>124.76309976800003</v>
      </c>
      <c r="J134" s="9">
        <f t="shared" ca="1" si="15"/>
        <v>0</v>
      </c>
      <c r="K134" s="9">
        <f t="shared" ca="1" si="16"/>
        <v>242.80697404233015</v>
      </c>
      <c r="L134" s="9">
        <f t="shared" ca="1" si="17"/>
        <v>59.08027944088564</v>
      </c>
      <c r="M134">
        <f t="shared" ca="1" si="19"/>
        <v>55.894444444444446</v>
      </c>
      <c r="N134">
        <f t="shared" ca="1" si="20"/>
        <v>33.066666666666663</v>
      </c>
    </row>
    <row r="135" spans="1:19" x14ac:dyDescent="0.25">
      <c r="A135" s="4">
        <f t="shared" si="26"/>
        <v>0.42552083333333213</v>
      </c>
      <c r="B135" s="3">
        <f t="shared" si="22"/>
        <v>1553300765</v>
      </c>
      <c r="C135">
        <f t="shared" si="18"/>
        <v>3</v>
      </c>
      <c r="D135">
        <f t="shared" si="18"/>
        <v>126</v>
      </c>
      <c r="E135">
        <f t="shared" ca="1" si="23"/>
        <v>9373.8264618049998</v>
      </c>
      <c r="F135">
        <f t="shared" ca="1" si="24"/>
        <v>5614.1696287600007</v>
      </c>
      <c r="G135">
        <f t="shared" ref="G135:G198" ca="1" si="27">INDIRECT("G$"&amp;C135)+INDIRECT("J$"&amp;C135)*($B135-INDIRECT("B$"&amp;D135))</f>
        <v>10668</v>
      </c>
      <c r="H135" s="9">
        <f t="shared" ref="H135:J150" ca="1" si="28">(E136-E135)/($B136-$B135)</f>
        <v>208.30121358233336</v>
      </c>
      <c r="I135" s="9">
        <f t="shared" ca="1" si="28"/>
        <v>124.76309976800003</v>
      </c>
      <c r="J135" s="9">
        <f t="shared" ca="1" si="28"/>
        <v>0</v>
      </c>
      <c r="K135" s="9">
        <f t="shared" ref="K135:K198" ca="1" si="29">SQRT(H135*H135+I135*I135)</f>
        <v>242.80697404233015</v>
      </c>
      <c r="L135" s="9">
        <f t="shared" ref="L135:L198" ca="1" si="30">DEGREES(ATAN2(I135,H135))</f>
        <v>59.08027944088564</v>
      </c>
      <c r="M135">
        <f t="shared" ca="1" si="19"/>
        <v>55.9</v>
      </c>
      <c r="N135">
        <f t="shared" ca="1" si="20"/>
        <v>33.083333333333329</v>
      </c>
      <c r="O135" s="13"/>
      <c r="P135" s="13"/>
      <c r="Q135" s="13"/>
      <c r="R135" s="13"/>
      <c r="S135" s="13"/>
    </row>
    <row r="136" spans="1:19" x14ac:dyDescent="0.25">
      <c r="A136" s="4">
        <f t="shared" si="26"/>
        <v>0.42557870370370249</v>
      </c>
      <c r="B136" s="3">
        <f t="shared" si="22"/>
        <v>1553300770</v>
      </c>
      <c r="C136">
        <f t="shared" ref="C136:D199" si="31">C135</f>
        <v>3</v>
      </c>
      <c r="D136">
        <f t="shared" si="31"/>
        <v>126</v>
      </c>
      <c r="E136">
        <f t="shared" ref="E136:E140" ca="1" si="32">INDIRECT("E$"&amp;C136)+INDIRECT("H$"&amp;C136)*($B136-INDIRECT("B$"&amp;D136))</f>
        <v>10415.332529716667</v>
      </c>
      <c r="F136">
        <f t="shared" ref="F136:F140" ca="1" si="33">INDIRECT("F$"&amp;C136)+INDIRECT("I$"&amp;C136)*($B136-INDIRECT("B$"&amp;D136))</f>
        <v>6237.9851276000009</v>
      </c>
      <c r="G136">
        <f t="shared" ref="G136:G140" ca="1" si="34">INDIRECT("G$"&amp;C136)+INDIRECT("J$"&amp;C136)*($B136-INDIRECT("B$"&amp;D136))</f>
        <v>10668</v>
      </c>
      <c r="H136" s="9">
        <f t="shared" ref="H136:H140" ca="1" si="35">(E137-E136)/($B137-$B136)</f>
        <v>208.30121358233336</v>
      </c>
      <c r="I136" s="9">
        <f t="shared" ref="I136:I140" ca="1" si="36">(F137-F136)/($B137-$B136)</f>
        <v>124.76309976799985</v>
      </c>
      <c r="J136" s="9">
        <f t="shared" ref="J136:J140" ca="1" si="37">(G137-G136)/($B137-$B136)</f>
        <v>0</v>
      </c>
      <c r="K136" s="9">
        <f t="shared" ref="K136:K140" ca="1" si="38">SQRT(H136*H136+I136*I136)</f>
        <v>242.80697404233004</v>
      </c>
      <c r="L136" s="9">
        <f t="shared" ref="L136:L140" ca="1" si="39">DEGREES(ATAN2(I136,H136))</f>
        <v>59.080279440885676</v>
      </c>
      <c r="M136">
        <f t="shared" ref="M136:M140" ca="1" si="40">INDIRECT("M$"&amp;C136)+INDIRECT("O$"&amp;C136)*($B136-INDIRECT("B$"&amp;D136))</f>
        <v>55.905555555555559</v>
      </c>
      <c r="N136">
        <f t="shared" ref="N136:N140" ca="1" si="41">INDIRECT("N$"&amp;C136)+INDIRECT("P$"&amp;C136)*($B136-INDIRECT("B$"&amp;D136))</f>
        <v>33.099999999999994</v>
      </c>
      <c r="O136" s="12"/>
    </row>
    <row r="137" spans="1:19" x14ac:dyDescent="0.25">
      <c r="A137" s="4">
        <f t="shared" si="26"/>
        <v>0.42563657407407285</v>
      </c>
      <c r="B137" s="3">
        <f t="shared" ref="B137:B200" si="42">B136+SECOND(A137-A136)</f>
        <v>1553300775</v>
      </c>
      <c r="C137">
        <f t="shared" si="31"/>
        <v>3</v>
      </c>
      <c r="D137">
        <f t="shared" si="31"/>
        <v>126</v>
      </c>
      <c r="E137">
        <f t="shared" ca="1" si="32"/>
        <v>11456.838597628333</v>
      </c>
      <c r="F137">
        <f t="shared" ca="1" si="33"/>
        <v>6861.8006264400001</v>
      </c>
      <c r="G137">
        <f t="shared" ca="1" si="34"/>
        <v>10668</v>
      </c>
      <c r="H137" s="9">
        <f t="shared" ca="1" si="35"/>
        <v>208.30121358233336</v>
      </c>
      <c r="I137" s="9">
        <f t="shared" ca="1" si="36"/>
        <v>124.76309976800003</v>
      </c>
      <c r="J137" s="9">
        <f t="shared" ca="1" si="37"/>
        <v>0</v>
      </c>
      <c r="K137" s="9">
        <f t="shared" ca="1" si="38"/>
        <v>242.80697404233015</v>
      </c>
      <c r="L137" s="9">
        <f t="shared" ca="1" si="39"/>
        <v>59.08027944088564</v>
      </c>
      <c r="M137">
        <f t="shared" ca="1" si="40"/>
        <v>55.911111111111111</v>
      </c>
      <c r="N137">
        <f t="shared" ca="1" si="41"/>
        <v>33.11666666666666</v>
      </c>
      <c r="O137" s="12"/>
    </row>
    <row r="138" spans="1:19" x14ac:dyDescent="0.25">
      <c r="A138" s="8">
        <f t="shared" si="26"/>
        <v>0.42569444444444321</v>
      </c>
      <c r="B138" s="3">
        <f t="shared" si="42"/>
        <v>1553300780</v>
      </c>
      <c r="C138">
        <f t="shared" si="31"/>
        <v>3</v>
      </c>
      <c r="D138">
        <f t="shared" si="31"/>
        <v>126</v>
      </c>
      <c r="E138">
        <f t="shared" ca="1" si="32"/>
        <v>12498.34466554</v>
      </c>
      <c r="F138">
        <f t="shared" ca="1" si="33"/>
        <v>7485.6161252800002</v>
      </c>
      <c r="G138">
        <f t="shared" ca="1" si="34"/>
        <v>10668</v>
      </c>
      <c r="H138" s="9">
        <f t="shared" ca="1" si="35"/>
        <v>208.30121358233336</v>
      </c>
      <c r="I138" s="9">
        <f t="shared" ca="1" si="36"/>
        <v>124.76309976800003</v>
      </c>
      <c r="J138" s="9">
        <f t="shared" ca="1" si="37"/>
        <v>0</v>
      </c>
      <c r="K138" s="9">
        <f t="shared" ca="1" si="38"/>
        <v>242.80697404233015</v>
      </c>
      <c r="L138" s="9">
        <f t="shared" ca="1" si="39"/>
        <v>59.08027944088564</v>
      </c>
      <c r="M138">
        <f t="shared" ca="1" si="40"/>
        <v>55.916666666666671</v>
      </c>
      <c r="N138">
        <f t="shared" ca="1" si="41"/>
        <v>33.133333333333333</v>
      </c>
      <c r="O138" s="12"/>
    </row>
    <row r="139" spans="1:19" x14ac:dyDescent="0.25">
      <c r="A139" s="4">
        <f t="shared" si="26"/>
        <v>0.42575231481481357</v>
      </c>
      <c r="B139" s="3">
        <f t="shared" si="42"/>
        <v>1553300785</v>
      </c>
      <c r="C139">
        <f t="shared" si="31"/>
        <v>3</v>
      </c>
      <c r="D139">
        <f t="shared" si="31"/>
        <v>126</v>
      </c>
      <c r="E139">
        <f t="shared" ca="1" si="32"/>
        <v>13539.850733451667</v>
      </c>
      <c r="F139">
        <f t="shared" ca="1" si="33"/>
        <v>8109.4316241200004</v>
      </c>
      <c r="G139">
        <f t="shared" ca="1" si="34"/>
        <v>10668</v>
      </c>
      <c r="H139" s="9">
        <f t="shared" ca="1" si="35"/>
        <v>208.30121358233336</v>
      </c>
      <c r="I139" s="9">
        <f t="shared" ca="1" si="36"/>
        <v>124.76309976799985</v>
      </c>
      <c r="J139" s="9">
        <f t="shared" ca="1" si="37"/>
        <v>0</v>
      </c>
      <c r="K139" s="9">
        <f t="shared" ca="1" si="38"/>
        <v>242.80697404233004</v>
      </c>
      <c r="L139" s="9">
        <f t="shared" ca="1" si="39"/>
        <v>59.080279440885676</v>
      </c>
      <c r="M139">
        <f t="shared" ca="1" si="40"/>
        <v>55.922222222222224</v>
      </c>
      <c r="N139">
        <f t="shared" ca="1" si="41"/>
        <v>33.15</v>
      </c>
      <c r="O139" s="12"/>
    </row>
    <row r="140" spans="1:19" x14ac:dyDescent="0.25">
      <c r="A140" s="4">
        <f t="shared" si="26"/>
        <v>0.42581018518518393</v>
      </c>
      <c r="B140" s="3">
        <f t="shared" si="42"/>
        <v>1553300790</v>
      </c>
      <c r="C140">
        <f t="shared" si="31"/>
        <v>3</v>
      </c>
      <c r="D140">
        <f t="shared" si="31"/>
        <v>126</v>
      </c>
      <c r="E140">
        <f t="shared" ca="1" si="32"/>
        <v>14581.356801363334</v>
      </c>
      <c r="F140">
        <f t="shared" ca="1" si="33"/>
        <v>8733.2471229599996</v>
      </c>
      <c r="G140">
        <f t="shared" ca="1" si="34"/>
        <v>10668</v>
      </c>
      <c r="H140" s="9">
        <f t="shared" ca="1" si="35"/>
        <v>208.30121358233336</v>
      </c>
      <c r="I140" s="9">
        <f t="shared" ca="1" si="36"/>
        <v>124.76309976800003</v>
      </c>
      <c r="J140" s="9">
        <f t="shared" ca="1" si="37"/>
        <v>0</v>
      </c>
      <c r="K140" s="9">
        <f t="shared" ca="1" si="38"/>
        <v>242.80697404233015</v>
      </c>
      <c r="L140" s="9">
        <f t="shared" ca="1" si="39"/>
        <v>59.08027944088564</v>
      </c>
      <c r="M140">
        <f t="shared" ca="1" si="40"/>
        <v>55.927777777777777</v>
      </c>
      <c r="N140">
        <f t="shared" ca="1" si="41"/>
        <v>33.166666666666664</v>
      </c>
      <c r="O140" s="12"/>
    </row>
    <row r="141" spans="1:19" x14ac:dyDescent="0.25">
      <c r="A141" s="4">
        <f t="shared" si="26"/>
        <v>0.42586805555555429</v>
      </c>
      <c r="B141" s="3">
        <f t="shared" si="42"/>
        <v>1553300795</v>
      </c>
      <c r="C141">
        <f t="shared" si="31"/>
        <v>3</v>
      </c>
      <c r="D141">
        <f t="shared" si="31"/>
        <v>126</v>
      </c>
      <c r="E141">
        <f t="shared" ref="E140:E203" ca="1" si="43">INDIRECT("E$"&amp;C141)+INDIRECT("H$"&amp;C141)*($B141-INDIRECT("B$"&amp;D141))</f>
        <v>15622.862869275001</v>
      </c>
      <c r="F141">
        <f t="shared" ref="F140:F203" ca="1" si="44">INDIRECT("F$"&amp;C141)+INDIRECT("I$"&amp;C141)*($B141-INDIRECT("B$"&amp;D141))</f>
        <v>9357.0626217999998</v>
      </c>
      <c r="G141">
        <f t="shared" ca="1" si="27"/>
        <v>10668</v>
      </c>
      <c r="H141" s="9">
        <f t="shared" ca="1" si="28"/>
        <v>208.30121358233265</v>
      </c>
      <c r="I141" s="9">
        <f t="shared" ca="1" si="28"/>
        <v>124.76309976800003</v>
      </c>
      <c r="J141" s="9">
        <f t="shared" ca="1" si="28"/>
        <v>0</v>
      </c>
      <c r="K141" s="9">
        <f t="shared" ca="1" si="29"/>
        <v>242.80697404232956</v>
      </c>
      <c r="L141" s="9">
        <f t="shared" ca="1" si="30"/>
        <v>59.080279440885548</v>
      </c>
      <c r="M141">
        <f t="shared" ref="M140:M203" ca="1" si="45">INDIRECT("M$"&amp;C141)+INDIRECT("O$"&amp;C141)*($B141-INDIRECT("B$"&amp;D141))</f>
        <v>55.933333333333337</v>
      </c>
      <c r="N141">
        <f t="shared" ref="N140:N203" ca="1" si="46">INDIRECT("N$"&amp;C141)+INDIRECT("P$"&amp;C141)*($B141-INDIRECT("B$"&amp;D141))</f>
        <v>33.18333333333333</v>
      </c>
    </row>
    <row r="142" spans="1:19" x14ac:dyDescent="0.25">
      <c r="A142" s="4">
        <f t="shared" si="26"/>
        <v>0.42592592592592465</v>
      </c>
      <c r="B142" s="3">
        <f t="shared" si="42"/>
        <v>1553300800</v>
      </c>
      <c r="C142">
        <f t="shared" si="31"/>
        <v>3</v>
      </c>
      <c r="D142">
        <f t="shared" si="31"/>
        <v>126</v>
      </c>
      <c r="E142">
        <f t="shared" ca="1" si="43"/>
        <v>16664.368937186664</v>
      </c>
      <c r="F142">
        <f t="shared" ca="1" si="44"/>
        <v>9980.8781206399999</v>
      </c>
      <c r="G142">
        <f t="shared" ca="1" si="27"/>
        <v>10668</v>
      </c>
      <c r="H142" s="9">
        <f t="shared" ca="1" si="28"/>
        <v>208.30121358233373</v>
      </c>
      <c r="I142" s="9">
        <f t="shared" ca="1" si="28"/>
        <v>124.76309976800003</v>
      </c>
      <c r="J142" s="9">
        <f t="shared" ca="1" si="28"/>
        <v>0</v>
      </c>
      <c r="K142" s="9">
        <f t="shared" ca="1" si="29"/>
        <v>242.80697404233049</v>
      </c>
      <c r="L142" s="9">
        <f t="shared" ca="1" si="30"/>
        <v>59.08027944088569</v>
      </c>
      <c r="M142">
        <f t="shared" ca="1" si="45"/>
        <v>55.93888888888889</v>
      </c>
      <c r="N142">
        <f t="shared" ca="1" si="46"/>
        <v>33.199999999999996</v>
      </c>
    </row>
    <row r="143" spans="1:19" x14ac:dyDescent="0.25">
      <c r="A143" s="4">
        <f t="shared" si="26"/>
        <v>0.42598379629629501</v>
      </c>
      <c r="B143" s="3">
        <f t="shared" si="42"/>
        <v>1553300805</v>
      </c>
      <c r="C143">
        <f t="shared" si="31"/>
        <v>3</v>
      </c>
      <c r="D143">
        <f t="shared" si="31"/>
        <v>126</v>
      </c>
      <c r="E143">
        <f t="shared" ca="1" si="43"/>
        <v>17705.875005098333</v>
      </c>
      <c r="F143">
        <f t="shared" ca="1" si="44"/>
        <v>10604.69361948</v>
      </c>
      <c r="G143">
        <f t="shared" ca="1" si="27"/>
        <v>10668</v>
      </c>
      <c r="H143" s="9">
        <f t="shared" ca="1" si="28"/>
        <v>208.30121358233299</v>
      </c>
      <c r="I143" s="9">
        <f t="shared" ca="1" si="28"/>
        <v>124.76309976800003</v>
      </c>
      <c r="J143" s="9">
        <f t="shared" ca="1" si="28"/>
        <v>0</v>
      </c>
      <c r="K143" s="9">
        <f t="shared" ca="1" si="29"/>
        <v>242.80697404232984</v>
      </c>
      <c r="L143" s="9">
        <f t="shared" ca="1" si="30"/>
        <v>59.080279440885597</v>
      </c>
      <c r="M143">
        <f t="shared" ca="1" si="45"/>
        <v>55.944444444444443</v>
      </c>
      <c r="N143">
        <f t="shared" ca="1" si="46"/>
        <v>33.216666666666661</v>
      </c>
    </row>
    <row r="144" spans="1:19" x14ac:dyDescent="0.25">
      <c r="A144" s="4">
        <f t="shared" si="26"/>
        <v>0.42604166666666538</v>
      </c>
      <c r="B144" s="3">
        <f t="shared" si="42"/>
        <v>1553300810</v>
      </c>
      <c r="C144">
        <f t="shared" si="31"/>
        <v>3</v>
      </c>
      <c r="D144">
        <f t="shared" si="31"/>
        <v>126</v>
      </c>
      <c r="E144">
        <f t="shared" ca="1" si="43"/>
        <v>18747.381073009998</v>
      </c>
      <c r="F144">
        <f t="shared" ca="1" si="44"/>
        <v>11228.50911832</v>
      </c>
      <c r="G144">
        <f t="shared" ca="1" si="27"/>
        <v>10668</v>
      </c>
      <c r="H144" s="9">
        <f t="shared" ca="1" si="28"/>
        <v>208.30121358233373</v>
      </c>
      <c r="I144" s="9">
        <f t="shared" ca="1" si="28"/>
        <v>124.76309976800003</v>
      </c>
      <c r="J144" s="9">
        <f t="shared" ca="1" si="28"/>
        <v>0</v>
      </c>
      <c r="K144" s="9">
        <f t="shared" ca="1" si="29"/>
        <v>242.80697404233049</v>
      </c>
      <c r="L144" s="9">
        <f t="shared" ca="1" si="30"/>
        <v>59.08027944088569</v>
      </c>
      <c r="M144">
        <f t="shared" ca="1" si="45"/>
        <v>55.95</v>
      </c>
      <c r="N144">
        <f t="shared" ca="1" si="46"/>
        <v>33.233333333333327</v>
      </c>
    </row>
    <row r="145" spans="1:14" x14ac:dyDescent="0.25">
      <c r="A145" s="4">
        <f t="shared" si="26"/>
        <v>0.42609953703703574</v>
      </c>
      <c r="B145" s="3">
        <f t="shared" si="42"/>
        <v>1553300815</v>
      </c>
      <c r="C145">
        <f t="shared" si="31"/>
        <v>3</v>
      </c>
      <c r="D145">
        <f t="shared" si="31"/>
        <v>126</v>
      </c>
      <c r="E145">
        <f t="shared" ca="1" si="43"/>
        <v>19788.887140921666</v>
      </c>
      <c r="F145">
        <f t="shared" ca="1" si="44"/>
        <v>11852.32461716</v>
      </c>
      <c r="G145">
        <f t="shared" ca="1" si="27"/>
        <v>10668</v>
      </c>
      <c r="H145" s="9">
        <f t="shared" ca="1" si="28"/>
        <v>208.30121358233299</v>
      </c>
      <c r="I145" s="9">
        <f t="shared" ca="1" si="28"/>
        <v>124.76309976800003</v>
      </c>
      <c r="J145" s="9">
        <f t="shared" ca="1" si="28"/>
        <v>0</v>
      </c>
      <c r="K145" s="9">
        <f t="shared" ca="1" si="29"/>
        <v>242.80697404232984</v>
      </c>
      <c r="L145" s="9">
        <f t="shared" ca="1" si="30"/>
        <v>59.080279440885597</v>
      </c>
      <c r="M145">
        <f t="shared" ca="1" si="45"/>
        <v>55.955555555555556</v>
      </c>
      <c r="N145">
        <f t="shared" ca="1" si="46"/>
        <v>33.25</v>
      </c>
    </row>
    <row r="146" spans="1:14" x14ac:dyDescent="0.25">
      <c r="A146" s="4">
        <f t="shared" si="26"/>
        <v>0.4261574074074061</v>
      </c>
      <c r="B146" s="3">
        <f t="shared" si="42"/>
        <v>1553300820</v>
      </c>
      <c r="C146">
        <f t="shared" si="31"/>
        <v>3</v>
      </c>
      <c r="D146">
        <f t="shared" si="31"/>
        <v>126</v>
      </c>
      <c r="E146">
        <f t="shared" ca="1" si="43"/>
        <v>20830.393208833331</v>
      </c>
      <c r="F146">
        <f t="shared" ca="1" si="44"/>
        <v>12476.140116</v>
      </c>
      <c r="G146">
        <f t="shared" ca="1" si="27"/>
        <v>10668</v>
      </c>
      <c r="H146" s="9">
        <f t="shared" ca="1" si="28"/>
        <v>208.30121358233373</v>
      </c>
      <c r="I146" s="9">
        <f t="shared" ca="1" si="28"/>
        <v>124.76309976800003</v>
      </c>
      <c r="J146" s="9">
        <f t="shared" ca="1" si="28"/>
        <v>0</v>
      </c>
      <c r="K146" s="9">
        <f t="shared" ca="1" si="29"/>
        <v>242.80697404233049</v>
      </c>
      <c r="L146" s="9">
        <f t="shared" ca="1" si="30"/>
        <v>59.08027944088569</v>
      </c>
      <c r="M146">
        <f t="shared" ca="1" si="45"/>
        <v>55.961111111111109</v>
      </c>
      <c r="N146">
        <f t="shared" ca="1" si="46"/>
        <v>33.266666666666666</v>
      </c>
    </row>
    <row r="147" spans="1:14" x14ac:dyDescent="0.25">
      <c r="A147" s="4">
        <f t="shared" si="26"/>
        <v>0.42621527777777646</v>
      </c>
      <c r="B147" s="3">
        <f t="shared" si="42"/>
        <v>1553300825</v>
      </c>
      <c r="C147">
        <f t="shared" si="31"/>
        <v>3</v>
      </c>
      <c r="D147">
        <f t="shared" si="31"/>
        <v>126</v>
      </c>
      <c r="E147">
        <f t="shared" ca="1" si="43"/>
        <v>21871.899276745</v>
      </c>
      <c r="F147">
        <f t="shared" ca="1" si="44"/>
        <v>13099.955614840001</v>
      </c>
      <c r="G147">
        <f t="shared" ca="1" si="27"/>
        <v>10668</v>
      </c>
      <c r="H147" s="9">
        <f t="shared" ca="1" si="28"/>
        <v>208.30121358233299</v>
      </c>
      <c r="I147" s="9">
        <f t="shared" ca="1" si="28"/>
        <v>124.76309976799966</v>
      </c>
      <c r="J147" s="9">
        <f t="shared" ca="1" si="28"/>
        <v>0</v>
      </c>
      <c r="K147" s="9">
        <f t="shared" ca="1" si="29"/>
        <v>242.80697404232964</v>
      </c>
      <c r="L147" s="9">
        <f t="shared" ca="1" si="30"/>
        <v>59.080279440885661</v>
      </c>
      <c r="M147">
        <f t="shared" ca="1" si="45"/>
        <v>55.966666666666669</v>
      </c>
      <c r="N147">
        <f t="shared" ca="1" si="46"/>
        <v>33.283333333333331</v>
      </c>
    </row>
    <row r="148" spans="1:14" x14ac:dyDescent="0.25">
      <c r="A148" s="4">
        <f t="shared" si="26"/>
        <v>0.42627314814814682</v>
      </c>
      <c r="B148" s="3">
        <f t="shared" si="42"/>
        <v>1553300830</v>
      </c>
      <c r="C148">
        <f t="shared" si="31"/>
        <v>3</v>
      </c>
      <c r="D148">
        <f t="shared" si="31"/>
        <v>126</v>
      </c>
      <c r="E148">
        <f t="shared" ca="1" si="43"/>
        <v>22913.405344656665</v>
      </c>
      <c r="F148">
        <f t="shared" ca="1" si="44"/>
        <v>13723.771113679999</v>
      </c>
      <c r="G148">
        <f t="shared" ca="1" si="27"/>
        <v>10668</v>
      </c>
      <c r="H148" s="9">
        <f t="shared" ca="1" si="28"/>
        <v>208.30121358233299</v>
      </c>
      <c r="I148" s="9">
        <f t="shared" ca="1" si="28"/>
        <v>124.76309976800003</v>
      </c>
      <c r="J148" s="9">
        <f t="shared" ca="1" si="28"/>
        <v>0</v>
      </c>
      <c r="K148" s="9">
        <f t="shared" ca="1" si="29"/>
        <v>242.80697404232984</v>
      </c>
      <c r="L148" s="9">
        <f t="shared" ca="1" si="30"/>
        <v>59.080279440885597</v>
      </c>
      <c r="M148">
        <f t="shared" ca="1" si="45"/>
        <v>55.972222222222221</v>
      </c>
      <c r="N148">
        <f t="shared" ca="1" si="46"/>
        <v>33.299999999999997</v>
      </c>
    </row>
    <row r="149" spans="1:14" x14ac:dyDescent="0.25">
      <c r="A149" s="4">
        <f t="shared" si="26"/>
        <v>0.42633101851851718</v>
      </c>
      <c r="B149" s="3">
        <f t="shared" si="42"/>
        <v>1553300835</v>
      </c>
      <c r="C149">
        <f t="shared" si="31"/>
        <v>3</v>
      </c>
      <c r="D149">
        <f t="shared" si="31"/>
        <v>126</v>
      </c>
      <c r="E149">
        <f t="shared" ca="1" si="43"/>
        <v>23954.91141256833</v>
      </c>
      <c r="F149">
        <f t="shared" ca="1" si="44"/>
        <v>14347.586612519999</v>
      </c>
      <c r="G149">
        <f t="shared" ca="1" si="27"/>
        <v>10668</v>
      </c>
      <c r="H149" s="9">
        <f t="shared" ca="1" si="28"/>
        <v>208.30121358233373</v>
      </c>
      <c r="I149" s="9">
        <f t="shared" ca="1" si="28"/>
        <v>124.76309976800003</v>
      </c>
      <c r="J149" s="9">
        <f t="shared" ca="1" si="28"/>
        <v>0</v>
      </c>
      <c r="K149" s="9">
        <f t="shared" ca="1" si="29"/>
        <v>242.80697404233049</v>
      </c>
      <c r="L149" s="9">
        <f t="shared" ca="1" si="30"/>
        <v>59.08027944088569</v>
      </c>
      <c r="M149">
        <f t="shared" ca="1" si="45"/>
        <v>55.977777777777781</v>
      </c>
      <c r="N149">
        <f t="shared" ca="1" si="46"/>
        <v>33.316666666666663</v>
      </c>
    </row>
    <row r="150" spans="1:14" x14ac:dyDescent="0.25">
      <c r="A150" s="4">
        <f t="shared" si="26"/>
        <v>0.42638888888888754</v>
      </c>
      <c r="B150" s="3">
        <f t="shared" si="42"/>
        <v>1553300840</v>
      </c>
      <c r="C150">
        <f t="shared" si="31"/>
        <v>3</v>
      </c>
      <c r="D150">
        <f t="shared" si="31"/>
        <v>126</v>
      </c>
      <c r="E150">
        <f t="shared" ca="1" si="43"/>
        <v>24996.417480479999</v>
      </c>
      <c r="F150">
        <f t="shared" ca="1" si="44"/>
        <v>14971.402111359999</v>
      </c>
      <c r="G150">
        <f t="shared" ca="1" si="27"/>
        <v>10668</v>
      </c>
      <c r="H150" s="9">
        <f t="shared" ca="1" si="28"/>
        <v>208.30121358233299</v>
      </c>
      <c r="I150" s="9">
        <f t="shared" ca="1" si="28"/>
        <v>124.76309976800003</v>
      </c>
      <c r="J150" s="9">
        <f t="shared" ca="1" si="28"/>
        <v>0</v>
      </c>
      <c r="K150" s="9">
        <f t="shared" ca="1" si="29"/>
        <v>242.80697404232984</v>
      </c>
      <c r="L150" s="9">
        <f t="shared" ca="1" si="30"/>
        <v>59.080279440885597</v>
      </c>
      <c r="M150">
        <f t="shared" ca="1" si="45"/>
        <v>55.983333333333334</v>
      </c>
      <c r="N150">
        <f t="shared" ca="1" si="46"/>
        <v>33.333333333333329</v>
      </c>
    </row>
    <row r="151" spans="1:14" x14ac:dyDescent="0.25">
      <c r="A151" s="4">
        <f t="shared" si="26"/>
        <v>0.4264467592592579</v>
      </c>
      <c r="B151" s="3">
        <f t="shared" si="42"/>
        <v>1553300845</v>
      </c>
      <c r="C151">
        <f t="shared" si="31"/>
        <v>3</v>
      </c>
      <c r="D151">
        <f t="shared" si="31"/>
        <v>126</v>
      </c>
      <c r="E151">
        <f t="shared" ca="1" si="43"/>
        <v>26037.923548391664</v>
      </c>
      <c r="F151">
        <f t="shared" ca="1" si="44"/>
        <v>15595.217610199999</v>
      </c>
      <c r="G151">
        <f t="shared" ca="1" si="27"/>
        <v>10668</v>
      </c>
      <c r="H151" s="9">
        <f t="shared" ref="H151:J182" ca="1" si="47">(E152-E151)/($B152-$B151)</f>
        <v>208.30121358233373</v>
      </c>
      <c r="I151" s="9">
        <f t="shared" ca="1" si="47"/>
        <v>124.76309976800003</v>
      </c>
      <c r="J151" s="9">
        <f t="shared" ca="1" si="47"/>
        <v>0</v>
      </c>
      <c r="K151" s="9">
        <f t="shared" ca="1" si="29"/>
        <v>242.80697404233049</v>
      </c>
      <c r="L151" s="9">
        <f t="shared" ca="1" si="30"/>
        <v>59.08027944088569</v>
      </c>
      <c r="M151">
        <f t="shared" ca="1" si="45"/>
        <v>55.988888888888887</v>
      </c>
      <c r="N151">
        <f t="shared" ca="1" si="46"/>
        <v>33.349999999999994</v>
      </c>
    </row>
    <row r="152" spans="1:14" x14ac:dyDescent="0.25">
      <c r="A152" s="4">
        <f t="shared" si="26"/>
        <v>0.42650462962962826</v>
      </c>
      <c r="B152" s="3">
        <f t="shared" si="42"/>
        <v>1553300850</v>
      </c>
      <c r="C152">
        <f t="shared" si="31"/>
        <v>3</v>
      </c>
      <c r="D152">
        <f t="shared" si="31"/>
        <v>126</v>
      </c>
      <c r="E152">
        <f t="shared" ca="1" si="43"/>
        <v>27079.429616303332</v>
      </c>
      <c r="F152">
        <f t="shared" ca="1" si="44"/>
        <v>16219.03310904</v>
      </c>
      <c r="G152">
        <f t="shared" ca="1" si="27"/>
        <v>10668</v>
      </c>
      <c r="H152" s="9">
        <f t="shared" ca="1" si="47"/>
        <v>208.30121358233299</v>
      </c>
      <c r="I152" s="9">
        <f t="shared" ca="1" si="47"/>
        <v>124.76309976800039</v>
      </c>
      <c r="J152" s="9">
        <f t="shared" ca="1" si="47"/>
        <v>0</v>
      </c>
      <c r="K152" s="9">
        <f t="shared" ca="1" si="29"/>
        <v>242.80697404233001</v>
      </c>
      <c r="L152" s="9">
        <f t="shared" ca="1" si="30"/>
        <v>59.080279440885526</v>
      </c>
      <c r="M152">
        <f t="shared" ca="1" si="45"/>
        <v>55.994444444444447</v>
      </c>
      <c r="N152">
        <f t="shared" ca="1" si="46"/>
        <v>33.36666666666666</v>
      </c>
    </row>
    <row r="153" spans="1:14" x14ac:dyDescent="0.25">
      <c r="A153" s="4">
        <f t="shared" si="26"/>
        <v>0.42656249999999862</v>
      </c>
      <c r="B153" s="3">
        <f t="shared" si="42"/>
        <v>1553300855</v>
      </c>
      <c r="C153">
        <f t="shared" si="31"/>
        <v>3</v>
      </c>
      <c r="D153">
        <f t="shared" si="31"/>
        <v>126</v>
      </c>
      <c r="E153">
        <f t="shared" ca="1" si="43"/>
        <v>28120.935684214997</v>
      </c>
      <c r="F153">
        <f t="shared" ca="1" si="44"/>
        <v>16842.848607880002</v>
      </c>
      <c r="G153">
        <f t="shared" ca="1" si="27"/>
        <v>10668</v>
      </c>
      <c r="H153" s="9">
        <f t="shared" ca="1" si="47"/>
        <v>208.30121358233373</v>
      </c>
      <c r="I153" s="9">
        <f t="shared" ca="1" si="47"/>
        <v>124.76309976799966</v>
      </c>
      <c r="J153" s="9">
        <f t="shared" ca="1" si="47"/>
        <v>0</v>
      </c>
      <c r="K153" s="9">
        <f t="shared" ca="1" si="29"/>
        <v>242.8069740423303</v>
      </c>
      <c r="L153" s="9">
        <f t="shared" ca="1" si="30"/>
        <v>59.080279440885768</v>
      </c>
      <c r="M153">
        <f t="shared" ca="1" si="45"/>
        <v>56</v>
      </c>
      <c r="N153">
        <f t="shared" ca="1" si="46"/>
        <v>33.383333333333333</v>
      </c>
    </row>
    <row r="154" spans="1:14" x14ac:dyDescent="0.25">
      <c r="A154" s="4">
        <f t="shared" si="26"/>
        <v>0.42662037037036898</v>
      </c>
      <c r="B154" s="3">
        <f t="shared" si="42"/>
        <v>1553300860</v>
      </c>
      <c r="C154">
        <f t="shared" si="31"/>
        <v>3</v>
      </c>
      <c r="D154">
        <f t="shared" si="31"/>
        <v>126</v>
      </c>
      <c r="E154">
        <f t="shared" ca="1" si="43"/>
        <v>29162.441752126666</v>
      </c>
      <c r="F154">
        <f t="shared" ca="1" si="44"/>
        <v>17466.66410672</v>
      </c>
      <c r="G154">
        <f t="shared" ca="1" si="27"/>
        <v>10668</v>
      </c>
      <c r="H154" s="9">
        <f t="shared" ca="1" si="47"/>
        <v>208.30121358233299</v>
      </c>
      <c r="I154" s="9">
        <f t="shared" ca="1" si="47"/>
        <v>124.76309976799966</v>
      </c>
      <c r="J154" s="9">
        <f t="shared" ca="1" si="47"/>
        <v>0</v>
      </c>
      <c r="K154" s="9">
        <f t="shared" ca="1" si="29"/>
        <v>242.80697404232964</v>
      </c>
      <c r="L154" s="9">
        <f t="shared" ca="1" si="30"/>
        <v>59.080279440885661</v>
      </c>
      <c r="M154">
        <f t="shared" ca="1" si="45"/>
        <v>56.00555555555556</v>
      </c>
      <c r="N154">
        <f t="shared" ca="1" si="46"/>
        <v>33.4</v>
      </c>
    </row>
    <row r="155" spans="1:14" x14ac:dyDescent="0.25">
      <c r="A155" s="4">
        <f t="shared" si="26"/>
        <v>0.42667824074073935</v>
      </c>
      <c r="B155" s="3">
        <f t="shared" si="42"/>
        <v>1553300865</v>
      </c>
      <c r="C155">
        <f t="shared" si="31"/>
        <v>3</v>
      </c>
      <c r="D155">
        <f t="shared" si="31"/>
        <v>126</v>
      </c>
      <c r="E155">
        <f t="shared" ca="1" si="43"/>
        <v>30203.947820038331</v>
      </c>
      <c r="F155">
        <f t="shared" ca="1" si="44"/>
        <v>18090.479605559998</v>
      </c>
      <c r="G155">
        <f t="shared" ca="1" si="27"/>
        <v>10668</v>
      </c>
      <c r="H155" s="9">
        <f t="shared" ca="1" si="47"/>
        <v>208.30121358233373</v>
      </c>
      <c r="I155" s="9">
        <f t="shared" ca="1" si="47"/>
        <v>124.76309976800039</v>
      </c>
      <c r="J155" s="9">
        <f t="shared" ca="1" si="47"/>
        <v>0</v>
      </c>
      <c r="K155" s="9">
        <f t="shared" ca="1" si="29"/>
        <v>242.80697404233067</v>
      </c>
      <c r="L155" s="9">
        <f t="shared" ca="1" si="30"/>
        <v>59.080279440885612</v>
      </c>
      <c r="M155">
        <f t="shared" ca="1" si="45"/>
        <v>56.011111111111113</v>
      </c>
      <c r="N155">
        <f t="shared" ca="1" si="46"/>
        <v>33.416666666666664</v>
      </c>
    </row>
    <row r="156" spans="1:14" x14ac:dyDescent="0.25">
      <c r="A156" s="4">
        <f t="shared" si="26"/>
        <v>0.42673611111110971</v>
      </c>
      <c r="B156" s="3">
        <f t="shared" si="42"/>
        <v>1553300870</v>
      </c>
      <c r="C156">
        <f t="shared" si="31"/>
        <v>3</v>
      </c>
      <c r="D156">
        <f t="shared" si="31"/>
        <v>126</v>
      </c>
      <c r="E156">
        <f t="shared" ca="1" si="43"/>
        <v>31245.45388795</v>
      </c>
      <c r="F156">
        <f t="shared" ca="1" si="44"/>
        <v>18714.2951044</v>
      </c>
      <c r="G156">
        <f t="shared" ca="1" si="27"/>
        <v>10668</v>
      </c>
      <c r="H156" s="9">
        <f t="shared" ca="1" si="47"/>
        <v>208.30121358233299</v>
      </c>
      <c r="I156" s="9">
        <f t="shared" ca="1" si="47"/>
        <v>124.76309976799966</v>
      </c>
      <c r="J156" s="9">
        <f t="shared" ca="1" si="47"/>
        <v>0</v>
      </c>
      <c r="K156" s="9">
        <f t="shared" ca="1" si="29"/>
        <v>242.80697404232964</v>
      </c>
      <c r="L156" s="9">
        <f t="shared" ca="1" si="30"/>
        <v>59.080279440885661</v>
      </c>
      <c r="M156">
        <f t="shared" ca="1" si="45"/>
        <v>56.016666666666666</v>
      </c>
      <c r="N156">
        <f t="shared" ca="1" si="46"/>
        <v>33.43333333333333</v>
      </c>
    </row>
    <row r="157" spans="1:14" x14ac:dyDescent="0.25">
      <c r="A157" s="4">
        <f t="shared" si="26"/>
        <v>0.42679398148148007</v>
      </c>
      <c r="B157" s="3">
        <f t="shared" si="42"/>
        <v>1553300875</v>
      </c>
      <c r="C157">
        <f t="shared" si="31"/>
        <v>3</v>
      </c>
      <c r="D157">
        <f t="shared" si="31"/>
        <v>126</v>
      </c>
      <c r="E157">
        <f t="shared" ca="1" si="43"/>
        <v>32286.959955861665</v>
      </c>
      <c r="F157">
        <f t="shared" ca="1" si="44"/>
        <v>19338.110603239998</v>
      </c>
      <c r="G157">
        <f t="shared" ca="1" si="27"/>
        <v>10668</v>
      </c>
      <c r="H157" s="9">
        <f t="shared" ca="1" si="47"/>
        <v>208.30121358233373</v>
      </c>
      <c r="I157" s="9">
        <f t="shared" ca="1" si="47"/>
        <v>124.76309976800039</v>
      </c>
      <c r="J157" s="9">
        <f t="shared" ca="1" si="47"/>
        <v>0</v>
      </c>
      <c r="K157" s="9">
        <f t="shared" ca="1" si="29"/>
        <v>242.80697404233067</v>
      </c>
      <c r="L157" s="9">
        <f t="shared" ca="1" si="30"/>
        <v>59.080279440885612</v>
      </c>
      <c r="M157">
        <f t="shared" ca="1" si="45"/>
        <v>56.022222222222226</v>
      </c>
      <c r="N157">
        <f t="shared" ca="1" si="46"/>
        <v>33.449999999999996</v>
      </c>
    </row>
    <row r="158" spans="1:14" x14ac:dyDescent="0.25">
      <c r="A158" s="4">
        <f t="shared" si="26"/>
        <v>0.42685185185185043</v>
      </c>
      <c r="B158" s="3">
        <f t="shared" si="42"/>
        <v>1553300880</v>
      </c>
      <c r="C158">
        <f t="shared" si="31"/>
        <v>3</v>
      </c>
      <c r="D158">
        <f t="shared" si="31"/>
        <v>126</v>
      </c>
      <c r="E158">
        <f t="shared" ca="1" si="43"/>
        <v>33328.466023773333</v>
      </c>
      <c r="F158">
        <f t="shared" ca="1" si="44"/>
        <v>19961.92610208</v>
      </c>
      <c r="G158">
        <f t="shared" ca="1" si="27"/>
        <v>10668</v>
      </c>
      <c r="H158" s="9">
        <f t="shared" ca="1" si="47"/>
        <v>208.30121358233299</v>
      </c>
      <c r="I158" s="9">
        <f t="shared" ca="1" si="47"/>
        <v>124.76309976799966</v>
      </c>
      <c r="J158" s="9">
        <f t="shared" ca="1" si="47"/>
        <v>0</v>
      </c>
      <c r="K158" s="9">
        <f t="shared" ca="1" si="29"/>
        <v>242.80697404232964</v>
      </c>
      <c r="L158" s="9">
        <f t="shared" ca="1" si="30"/>
        <v>59.080279440885661</v>
      </c>
      <c r="M158">
        <f t="shared" ca="1" si="45"/>
        <v>56.027777777777779</v>
      </c>
      <c r="N158">
        <f t="shared" ca="1" si="46"/>
        <v>33.466666666666661</v>
      </c>
    </row>
    <row r="159" spans="1:14" x14ac:dyDescent="0.25">
      <c r="A159" s="4">
        <f t="shared" si="26"/>
        <v>0.42690972222222079</v>
      </c>
      <c r="B159" s="3">
        <f t="shared" si="42"/>
        <v>1553300885</v>
      </c>
      <c r="C159">
        <f t="shared" si="31"/>
        <v>3</v>
      </c>
      <c r="D159">
        <f t="shared" si="31"/>
        <v>126</v>
      </c>
      <c r="E159">
        <f t="shared" ca="1" si="43"/>
        <v>34369.972091684998</v>
      </c>
      <c r="F159">
        <f t="shared" ca="1" si="44"/>
        <v>20585.741600919999</v>
      </c>
      <c r="G159">
        <f t="shared" ca="1" si="27"/>
        <v>10668</v>
      </c>
      <c r="H159" s="9">
        <f t="shared" ca="1" si="47"/>
        <v>208.30121358233447</v>
      </c>
      <c r="I159" s="9">
        <f t="shared" ca="1" si="47"/>
        <v>124.76309976800039</v>
      </c>
      <c r="J159" s="9">
        <f t="shared" ca="1" si="47"/>
        <v>0</v>
      </c>
      <c r="K159" s="9">
        <f t="shared" ca="1" si="29"/>
        <v>242.80697404233129</v>
      </c>
      <c r="L159" s="9">
        <f t="shared" ca="1" si="30"/>
        <v>59.080279440885704</v>
      </c>
      <c r="M159">
        <f t="shared" ca="1" si="45"/>
        <v>56.033333333333331</v>
      </c>
      <c r="N159">
        <f t="shared" ca="1" si="46"/>
        <v>33.483333333333327</v>
      </c>
    </row>
    <row r="160" spans="1:14" x14ac:dyDescent="0.25">
      <c r="A160" s="4">
        <f t="shared" si="26"/>
        <v>0.42696759259259115</v>
      </c>
      <c r="B160" s="3">
        <f t="shared" si="42"/>
        <v>1553300890</v>
      </c>
      <c r="C160">
        <f t="shared" si="31"/>
        <v>3</v>
      </c>
      <c r="D160">
        <f t="shared" si="31"/>
        <v>126</v>
      </c>
      <c r="E160">
        <f t="shared" ca="1" si="43"/>
        <v>35411.478159596671</v>
      </c>
      <c r="F160">
        <f t="shared" ca="1" si="44"/>
        <v>21209.557099760001</v>
      </c>
      <c r="G160">
        <f t="shared" ca="1" si="27"/>
        <v>10668</v>
      </c>
      <c r="H160" s="9">
        <f t="shared" ca="1" si="47"/>
        <v>208.30121358233299</v>
      </c>
      <c r="I160" s="9">
        <f t="shared" ca="1" si="47"/>
        <v>124.76309976799966</v>
      </c>
      <c r="J160" s="9">
        <f t="shared" ca="1" si="47"/>
        <v>0</v>
      </c>
      <c r="K160" s="9">
        <f t="shared" ca="1" si="29"/>
        <v>242.80697404232964</v>
      </c>
      <c r="L160" s="9">
        <f t="shared" ca="1" si="30"/>
        <v>59.080279440885661</v>
      </c>
      <c r="M160">
        <f t="shared" ca="1" si="45"/>
        <v>56.038888888888891</v>
      </c>
      <c r="N160">
        <f t="shared" ca="1" si="46"/>
        <v>33.5</v>
      </c>
    </row>
    <row r="161" spans="1:14" x14ac:dyDescent="0.25">
      <c r="A161" s="4">
        <f t="shared" si="26"/>
        <v>0.42702546296296151</v>
      </c>
      <c r="B161" s="3">
        <f t="shared" si="42"/>
        <v>1553300895</v>
      </c>
      <c r="C161">
        <f t="shared" si="31"/>
        <v>3</v>
      </c>
      <c r="D161">
        <f t="shared" si="31"/>
        <v>126</v>
      </c>
      <c r="E161">
        <f t="shared" ca="1" si="43"/>
        <v>36452.984227508336</v>
      </c>
      <c r="F161">
        <f t="shared" ca="1" si="44"/>
        <v>21833.372598599999</v>
      </c>
      <c r="G161">
        <f t="shared" ca="1" si="27"/>
        <v>10668</v>
      </c>
      <c r="H161" s="9">
        <f t="shared" ca="1" si="47"/>
        <v>208.30121358233299</v>
      </c>
      <c r="I161" s="9">
        <f t="shared" ca="1" si="47"/>
        <v>124.76309976800039</v>
      </c>
      <c r="J161" s="9">
        <f t="shared" ca="1" si="47"/>
        <v>0</v>
      </c>
      <c r="K161" s="9">
        <f t="shared" ca="1" si="29"/>
        <v>242.80697404233001</v>
      </c>
      <c r="L161" s="9">
        <f t="shared" ca="1" si="30"/>
        <v>59.080279440885526</v>
      </c>
      <c r="M161">
        <f t="shared" ca="1" si="45"/>
        <v>56.044444444444444</v>
      </c>
      <c r="N161">
        <f t="shared" ca="1" si="46"/>
        <v>33.516666666666666</v>
      </c>
    </row>
    <row r="162" spans="1:14" x14ac:dyDescent="0.25">
      <c r="A162" s="4">
        <f t="shared" si="26"/>
        <v>0.42708333333333187</v>
      </c>
      <c r="B162" s="3">
        <f t="shared" si="42"/>
        <v>1553300900</v>
      </c>
      <c r="C162">
        <f t="shared" si="31"/>
        <v>3</v>
      </c>
      <c r="D162">
        <f t="shared" si="31"/>
        <v>126</v>
      </c>
      <c r="E162">
        <f t="shared" ca="1" si="43"/>
        <v>37494.490295420001</v>
      </c>
      <c r="F162">
        <f t="shared" ca="1" si="44"/>
        <v>22457.188097440001</v>
      </c>
      <c r="G162">
        <f t="shared" ca="1" si="27"/>
        <v>10668</v>
      </c>
      <c r="H162" s="9">
        <f t="shared" ca="1" si="47"/>
        <v>208.30121358233299</v>
      </c>
      <c r="I162" s="9">
        <f t="shared" ca="1" si="47"/>
        <v>124.76309976799966</v>
      </c>
      <c r="J162" s="9">
        <f t="shared" ca="1" si="47"/>
        <v>0</v>
      </c>
      <c r="K162" s="9">
        <f t="shared" ca="1" si="29"/>
        <v>242.80697404232964</v>
      </c>
      <c r="L162" s="9">
        <f t="shared" ca="1" si="30"/>
        <v>59.080279440885661</v>
      </c>
      <c r="M162">
        <f t="shared" ca="1" si="45"/>
        <v>56.05</v>
      </c>
      <c r="N162">
        <f t="shared" ca="1" si="46"/>
        <v>33.533333333333331</v>
      </c>
    </row>
    <row r="163" spans="1:14" x14ac:dyDescent="0.25">
      <c r="A163" s="4">
        <f t="shared" si="26"/>
        <v>0.42714120370370223</v>
      </c>
      <c r="B163" s="3">
        <f t="shared" si="42"/>
        <v>1553300905</v>
      </c>
      <c r="C163">
        <f t="shared" si="31"/>
        <v>3</v>
      </c>
      <c r="D163">
        <f t="shared" si="31"/>
        <v>126</v>
      </c>
      <c r="E163">
        <f t="shared" ca="1" si="43"/>
        <v>38535.996363331666</v>
      </c>
      <c r="F163">
        <f t="shared" ca="1" si="44"/>
        <v>23081.003596279999</v>
      </c>
      <c r="G163">
        <f t="shared" ca="1" si="27"/>
        <v>10668</v>
      </c>
      <c r="H163" s="9">
        <f t="shared" ca="1" si="47"/>
        <v>208.30121358233447</v>
      </c>
      <c r="I163" s="9">
        <f t="shared" ca="1" si="47"/>
        <v>124.76309976800039</v>
      </c>
      <c r="J163" s="9">
        <f t="shared" ca="1" si="47"/>
        <v>0</v>
      </c>
      <c r="K163" s="9">
        <f t="shared" ca="1" si="29"/>
        <v>242.80697404233129</v>
      </c>
      <c r="L163" s="9">
        <f t="shared" ca="1" si="30"/>
        <v>59.080279440885704</v>
      </c>
      <c r="M163">
        <f t="shared" ca="1" si="45"/>
        <v>56.055555555555557</v>
      </c>
      <c r="N163">
        <f t="shared" ca="1" si="46"/>
        <v>33.549999999999997</v>
      </c>
    </row>
    <row r="164" spans="1:14" x14ac:dyDescent="0.25">
      <c r="A164" s="4">
        <f t="shared" si="26"/>
        <v>0.42719907407407259</v>
      </c>
      <c r="B164" s="3">
        <f t="shared" si="42"/>
        <v>1553300910</v>
      </c>
      <c r="C164">
        <f t="shared" si="31"/>
        <v>3</v>
      </c>
      <c r="D164">
        <f t="shared" si="31"/>
        <v>126</v>
      </c>
      <c r="E164">
        <f t="shared" ca="1" si="43"/>
        <v>39577.502431243338</v>
      </c>
      <c r="F164">
        <f t="shared" ca="1" si="44"/>
        <v>23704.819095120001</v>
      </c>
      <c r="G164">
        <f t="shared" ca="1" si="27"/>
        <v>10668</v>
      </c>
      <c r="H164" s="9">
        <f t="shared" ca="1" si="47"/>
        <v>208.30121358233299</v>
      </c>
      <c r="I164" s="9">
        <f t="shared" ca="1" si="47"/>
        <v>124.76309976799966</v>
      </c>
      <c r="J164" s="9">
        <f t="shared" ca="1" si="47"/>
        <v>0</v>
      </c>
      <c r="K164" s="9">
        <f t="shared" ca="1" si="29"/>
        <v>242.80697404232964</v>
      </c>
      <c r="L164" s="9">
        <f t="shared" ca="1" si="30"/>
        <v>59.080279440885661</v>
      </c>
      <c r="M164">
        <f t="shared" ca="1" si="45"/>
        <v>56.06111111111111</v>
      </c>
      <c r="N164">
        <f t="shared" ca="1" si="46"/>
        <v>33.566666666666663</v>
      </c>
    </row>
    <row r="165" spans="1:14" x14ac:dyDescent="0.25">
      <c r="A165" s="4">
        <f t="shared" si="26"/>
        <v>0.42725694444444295</v>
      </c>
      <c r="B165" s="3">
        <f t="shared" si="42"/>
        <v>1553300915</v>
      </c>
      <c r="C165">
        <f t="shared" si="31"/>
        <v>3</v>
      </c>
      <c r="D165">
        <f t="shared" si="31"/>
        <v>126</v>
      </c>
      <c r="E165">
        <f t="shared" ca="1" si="43"/>
        <v>40619.008499155003</v>
      </c>
      <c r="F165">
        <f t="shared" ca="1" si="44"/>
        <v>24328.63459396</v>
      </c>
      <c r="G165">
        <f t="shared" ca="1" si="27"/>
        <v>10668</v>
      </c>
      <c r="H165" s="9">
        <f t="shared" ca="1" si="47"/>
        <v>208.30121358233299</v>
      </c>
      <c r="I165" s="9">
        <f t="shared" ca="1" si="47"/>
        <v>124.76309976800039</v>
      </c>
      <c r="J165" s="9">
        <f t="shared" ca="1" si="47"/>
        <v>0</v>
      </c>
      <c r="K165" s="9">
        <f t="shared" ca="1" si="29"/>
        <v>242.80697404233001</v>
      </c>
      <c r="L165" s="9">
        <f t="shared" ca="1" si="30"/>
        <v>59.080279440885526</v>
      </c>
      <c r="M165">
        <f t="shared" ca="1" si="45"/>
        <v>56.06666666666667</v>
      </c>
      <c r="N165">
        <f t="shared" ca="1" si="46"/>
        <v>33.583333333333329</v>
      </c>
    </row>
    <row r="166" spans="1:14" x14ac:dyDescent="0.25">
      <c r="A166" s="4">
        <f t="shared" si="26"/>
        <v>0.42731481481481332</v>
      </c>
      <c r="B166" s="3">
        <f t="shared" si="42"/>
        <v>1553300920</v>
      </c>
      <c r="C166">
        <f t="shared" si="31"/>
        <v>3</v>
      </c>
      <c r="D166">
        <f t="shared" si="31"/>
        <v>126</v>
      </c>
      <c r="E166">
        <f t="shared" ca="1" si="43"/>
        <v>41660.514567066668</v>
      </c>
      <c r="F166">
        <f t="shared" ca="1" si="44"/>
        <v>24952.450092800002</v>
      </c>
      <c r="G166">
        <f t="shared" ca="1" si="27"/>
        <v>10668</v>
      </c>
      <c r="H166" s="9">
        <f t="shared" ca="1" si="47"/>
        <v>208.30121358233299</v>
      </c>
      <c r="I166" s="9">
        <f t="shared" ca="1" si="47"/>
        <v>124.76309976799966</v>
      </c>
      <c r="J166" s="9">
        <f t="shared" ca="1" si="47"/>
        <v>0</v>
      </c>
      <c r="K166" s="9">
        <f t="shared" ca="1" si="29"/>
        <v>242.80697404232964</v>
      </c>
      <c r="L166" s="9">
        <f t="shared" ca="1" si="30"/>
        <v>59.080279440885661</v>
      </c>
      <c r="M166">
        <f t="shared" ca="1" si="45"/>
        <v>56.072222222222223</v>
      </c>
      <c r="N166">
        <f t="shared" ca="1" si="46"/>
        <v>33.599999999999994</v>
      </c>
    </row>
    <row r="167" spans="1:14" x14ac:dyDescent="0.25">
      <c r="A167" s="4">
        <f t="shared" si="26"/>
        <v>0.42737268518518368</v>
      </c>
      <c r="B167" s="3">
        <f t="shared" si="42"/>
        <v>1553300925</v>
      </c>
      <c r="C167">
        <f t="shared" si="31"/>
        <v>3</v>
      </c>
      <c r="D167">
        <f t="shared" si="31"/>
        <v>126</v>
      </c>
      <c r="E167">
        <f t="shared" ca="1" si="43"/>
        <v>42702.020634978333</v>
      </c>
      <c r="F167">
        <f t="shared" ca="1" si="44"/>
        <v>25576.26559164</v>
      </c>
      <c r="G167">
        <f t="shared" ca="1" si="27"/>
        <v>10668</v>
      </c>
      <c r="H167" s="9">
        <f t="shared" ca="1" si="47"/>
        <v>208.30121358233447</v>
      </c>
      <c r="I167" s="9">
        <f t="shared" ca="1" si="47"/>
        <v>124.76309976800039</v>
      </c>
      <c r="J167" s="9">
        <f t="shared" ca="1" si="47"/>
        <v>0</v>
      </c>
      <c r="K167" s="9">
        <f t="shared" ca="1" si="29"/>
        <v>242.80697404233129</v>
      </c>
      <c r="L167" s="9">
        <f t="shared" ca="1" si="30"/>
        <v>59.080279440885704</v>
      </c>
      <c r="M167">
        <f t="shared" ca="1" si="45"/>
        <v>56.077777777777776</v>
      </c>
      <c r="N167">
        <f t="shared" ca="1" si="46"/>
        <v>33.61666666666666</v>
      </c>
    </row>
    <row r="168" spans="1:14" x14ac:dyDescent="0.25">
      <c r="A168" s="4">
        <f t="shared" si="26"/>
        <v>0.42743055555555404</v>
      </c>
      <c r="B168" s="3">
        <f t="shared" si="42"/>
        <v>1553300930</v>
      </c>
      <c r="C168">
        <f t="shared" si="31"/>
        <v>3</v>
      </c>
      <c r="D168">
        <f t="shared" si="31"/>
        <v>126</v>
      </c>
      <c r="E168">
        <f t="shared" ca="1" si="43"/>
        <v>43743.526702890005</v>
      </c>
      <c r="F168">
        <f t="shared" ca="1" si="44"/>
        <v>26200.081090480002</v>
      </c>
      <c r="G168">
        <f t="shared" ca="1" si="27"/>
        <v>10668</v>
      </c>
      <c r="H168" s="9">
        <f t="shared" ca="1" si="47"/>
        <v>208.30121358233299</v>
      </c>
      <c r="I168" s="9">
        <f t="shared" ca="1" si="47"/>
        <v>124.76309976799966</v>
      </c>
      <c r="J168" s="9">
        <f t="shared" ca="1" si="47"/>
        <v>0</v>
      </c>
      <c r="K168" s="9">
        <f t="shared" ca="1" si="29"/>
        <v>242.80697404232964</v>
      </c>
      <c r="L168" s="9">
        <f t="shared" ca="1" si="30"/>
        <v>59.080279440885661</v>
      </c>
      <c r="M168">
        <f t="shared" ca="1" si="45"/>
        <v>56.083333333333336</v>
      </c>
      <c r="N168">
        <f t="shared" ca="1" si="46"/>
        <v>33.633333333333333</v>
      </c>
    </row>
    <row r="169" spans="1:14" x14ac:dyDescent="0.25">
      <c r="A169" s="4">
        <f t="shared" si="26"/>
        <v>0.4274884259259244</v>
      </c>
      <c r="B169" s="3">
        <f t="shared" si="42"/>
        <v>1553300935</v>
      </c>
      <c r="C169">
        <f t="shared" si="31"/>
        <v>3</v>
      </c>
      <c r="D169">
        <f t="shared" si="31"/>
        <v>126</v>
      </c>
      <c r="E169">
        <f t="shared" ca="1" si="43"/>
        <v>44785.03277080167</v>
      </c>
      <c r="F169">
        <f t="shared" ca="1" si="44"/>
        <v>26823.89658932</v>
      </c>
      <c r="G169">
        <f t="shared" ca="1" si="27"/>
        <v>10668</v>
      </c>
      <c r="H169" s="9">
        <f t="shared" ca="1" si="47"/>
        <v>208.30121358233299</v>
      </c>
      <c r="I169" s="9">
        <f t="shared" ca="1" si="47"/>
        <v>124.76309976799966</v>
      </c>
      <c r="J169" s="9">
        <f t="shared" ca="1" si="47"/>
        <v>0</v>
      </c>
      <c r="K169" s="9">
        <f t="shared" ca="1" si="29"/>
        <v>242.80697404232964</v>
      </c>
      <c r="L169" s="9">
        <f t="shared" ca="1" si="30"/>
        <v>59.080279440885661</v>
      </c>
      <c r="M169">
        <f t="shared" ca="1" si="45"/>
        <v>56.088888888888889</v>
      </c>
      <c r="N169">
        <f t="shared" ca="1" si="46"/>
        <v>33.65</v>
      </c>
    </row>
    <row r="170" spans="1:14" x14ac:dyDescent="0.25">
      <c r="A170" s="4">
        <f t="shared" si="26"/>
        <v>0.42754629629629476</v>
      </c>
      <c r="B170" s="3">
        <f t="shared" si="42"/>
        <v>1553300940</v>
      </c>
      <c r="C170">
        <f t="shared" si="31"/>
        <v>3</v>
      </c>
      <c r="D170">
        <f t="shared" si="31"/>
        <v>126</v>
      </c>
      <c r="E170">
        <f t="shared" ca="1" si="43"/>
        <v>45826.538838713335</v>
      </c>
      <c r="F170">
        <f t="shared" ca="1" si="44"/>
        <v>27447.712088159999</v>
      </c>
      <c r="G170">
        <f t="shared" ca="1" si="27"/>
        <v>10668</v>
      </c>
      <c r="H170" s="9">
        <f t="shared" ca="1" si="47"/>
        <v>208.30121358233299</v>
      </c>
      <c r="I170" s="9">
        <f t="shared" ca="1" si="47"/>
        <v>124.76309976800039</v>
      </c>
      <c r="J170" s="9">
        <f t="shared" ca="1" si="47"/>
        <v>0</v>
      </c>
      <c r="K170" s="9">
        <f t="shared" ca="1" si="29"/>
        <v>242.80697404233001</v>
      </c>
      <c r="L170" s="9">
        <f t="shared" ca="1" si="30"/>
        <v>59.080279440885526</v>
      </c>
      <c r="M170">
        <f t="shared" ca="1" si="45"/>
        <v>56.094444444444449</v>
      </c>
      <c r="N170">
        <f t="shared" ca="1" si="46"/>
        <v>33.666666666666664</v>
      </c>
    </row>
    <row r="171" spans="1:14" x14ac:dyDescent="0.25">
      <c r="A171" s="4">
        <f t="shared" si="26"/>
        <v>0.42760416666666512</v>
      </c>
      <c r="B171" s="3">
        <f t="shared" si="42"/>
        <v>1553300945</v>
      </c>
      <c r="C171">
        <f t="shared" si="31"/>
        <v>3</v>
      </c>
      <c r="D171">
        <f t="shared" si="31"/>
        <v>126</v>
      </c>
      <c r="E171">
        <f t="shared" ca="1" si="43"/>
        <v>46868.044906625</v>
      </c>
      <c r="F171">
        <f t="shared" ca="1" si="44"/>
        <v>28071.527587</v>
      </c>
      <c r="G171">
        <f t="shared" ca="1" si="27"/>
        <v>10668</v>
      </c>
      <c r="H171" s="9">
        <f t="shared" ca="1" si="47"/>
        <v>208.30121358233299</v>
      </c>
      <c r="I171" s="9">
        <f t="shared" ca="1" si="47"/>
        <v>124.76309976799966</v>
      </c>
      <c r="J171" s="9">
        <f t="shared" ca="1" si="47"/>
        <v>0</v>
      </c>
      <c r="K171" s="9">
        <f t="shared" ca="1" si="29"/>
        <v>242.80697404232964</v>
      </c>
      <c r="L171" s="9">
        <f t="shared" ca="1" si="30"/>
        <v>59.080279440885661</v>
      </c>
      <c r="M171">
        <f t="shared" ca="1" si="45"/>
        <v>56.1</v>
      </c>
      <c r="N171">
        <f t="shared" ca="1" si="46"/>
        <v>33.68333333333333</v>
      </c>
    </row>
    <row r="172" spans="1:14" x14ac:dyDescent="0.25">
      <c r="A172" s="4">
        <f t="shared" si="26"/>
        <v>0.42766203703703548</v>
      </c>
      <c r="B172" s="3">
        <f t="shared" si="42"/>
        <v>1553300950</v>
      </c>
      <c r="C172">
        <f t="shared" si="31"/>
        <v>3</v>
      </c>
      <c r="D172">
        <f t="shared" si="31"/>
        <v>126</v>
      </c>
      <c r="E172">
        <f t="shared" ca="1" si="43"/>
        <v>47909.550974536665</v>
      </c>
      <c r="F172">
        <f t="shared" ca="1" si="44"/>
        <v>28695.343085839999</v>
      </c>
      <c r="G172">
        <f t="shared" ca="1" si="27"/>
        <v>10668</v>
      </c>
      <c r="H172" s="9">
        <f t="shared" ca="1" si="47"/>
        <v>208.30121358233447</v>
      </c>
      <c r="I172" s="9">
        <f t="shared" ca="1" si="47"/>
        <v>124.76309976800039</v>
      </c>
      <c r="J172" s="9">
        <f t="shared" ca="1" si="47"/>
        <v>0</v>
      </c>
      <c r="K172" s="9">
        <f t="shared" ca="1" si="29"/>
        <v>242.80697404233129</v>
      </c>
      <c r="L172" s="9">
        <f t="shared" ca="1" si="30"/>
        <v>59.080279440885704</v>
      </c>
      <c r="M172">
        <f t="shared" ca="1" si="45"/>
        <v>56.105555555555554</v>
      </c>
      <c r="N172">
        <f t="shared" ca="1" si="46"/>
        <v>33.699999999999996</v>
      </c>
    </row>
    <row r="173" spans="1:14" x14ac:dyDescent="0.25">
      <c r="A173" s="4">
        <f t="shared" si="26"/>
        <v>0.42771990740740584</v>
      </c>
      <c r="B173" s="3">
        <f t="shared" si="42"/>
        <v>1553300955</v>
      </c>
      <c r="C173">
        <f t="shared" si="31"/>
        <v>3</v>
      </c>
      <c r="D173">
        <f t="shared" si="31"/>
        <v>126</v>
      </c>
      <c r="E173">
        <f t="shared" ca="1" si="43"/>
        <v>48951.057042448338</v>
      </c>
      <c r="F173">
        <f t="shared" ca="1" si="44"/>
        <v>29319.158584680001</v>
      </c>
      <c r="G173">
        <f t="shared" ca="1" si="27"/>
        <v>10668</v>
      </c>
      <c r="H173" s="9">
        <f t="shared" ca="1" si="47"/>
        <v>208.30121358233299</v>
      </c>
      <c r="I173" s="9">
        <f t="shared" ca="1" si="47"/>
        <v>124.76309976799966</v>
      </c>
      <c r="J173" s="9">
        <f t="shared" ca="1" si="47"/>
        <v>0</v>
      </c>
      <c r="K173" s="9">
        <f t="shared" ca="1" si="29"/>
        <v>242.80697404232964</v>
      </c>
      <c r="L173" s="9">
        <f t="shared" ca="1" si="30"/>
        <v>59.080279440885661</v>
      </c>
      <c r="M173">
        <f t="shared" ca="1" si="45"/>
        <v>56.111111111111114</v>
      </c>
      <c r="N173">
        <f t="shared" ca="1" si="46"/>
        <v>33.716666666666661</v>
      </c>
    </row>
    <row r="174" spans="1:14" x14ac:dyDescent="0.25">
      <c r="A174" s="4">
        <f t="shared" si="26"/>
        <v>0.4277777777777762</v>
      </c>
      <c r="B174" s="3">
        <f t="shared" si="42"/>
        <v>1553300960</v>
      </c>
      <c r="C174">
        <f t="shared" si="31"/>
        <v>3</v>
      </c>
      <c r="D174">
        <f t="shared" si="31"/>
        <v>126</v>
      </c>
      <c r="E174">
        <f t="shared" ca="1" si="43"/>
        <v>49992.563110360003</v>
      </c>
      <c r="F174">
        <f t="shared" ca="1" si="44"/>
        <v>29942.974083519999</v>
      </c>
      <c r="G174">
        <f t="shared" ca="1" si="27"/>
        <v>10668</v>
      </c>
      <c r="H174" s="9">
        <f t="shared" ca="1" si="47"/>
        <v>208.30121358233299</v>
      </c>
      <c r="I174" s="9">
        <f t="shared" ca="1" si="47"/>
        <v>124.76309976800039</v>
      </c>
      <c r="J174" s="9">
        <f t="shared" ca="1" si="47"/>
        <v>0</v>
      </c>
      <c r="K174" s="9">
        <f t="shared" ca="1" si="29"/>
        <v>242.80697404233001</v>
      </c>
      <c r="L174" s="9">
        <f t="shared" ca="1" si="30"/>
        <v>59.080279440885526</v>
      </c>
      <c r="M174">
        <f t="shared" ca="1" si="45"/>
        <v>56.116666666666667</v>
      </c>
      <c r="N174">
        <f t="shared" ca="1" si="46"/>
        <v>33.733333333333327</v>
      </c>
    </row>
    <row r="175" spans="1:14" x14ac:dyDescent="0.25">
      <c r="A175" s="4">
        <f t="shared" si="26"/>
        <v>0.42783564814814656</v>
      </c>
      <c r="B175" s="3">
        <f t="shared" si="42"/>
        <v>1553300965</v>
      </c>
      <c r="C175">
        <f t="shared" si="31"/>
        <v>3</v>
      </c>
      <c r="D175">
        <f t="shared" si="31"/>
        <v>126</v>
      </c>
      <c r="E175">
        <f t="shared" ca="1" si="43"/>
        <v>51034.069178271668</v>
      </c>
      <c r="F175">
        <f t="shared" ca="1" si="44"/>
        <v>30566.789582360001</v>
      </c>
      <c r="G175">
        <f t="shared" ca="1" si="27"/>
        <v>10668</v>
      </c>
      <c r="H175" s="9">
        <f t="shared" ca="1" si="47"/>
        <v>208.30121358233299</v>
      </c>
      <c r="I175" s="9">
        <f t="shared" ca="1" si="47"/>
        <v>124.76309976799966</v>
      </c>
      <c r="J175" s="9">
        <f t="shared" ca="1" si="47"/>
        <v>0</v>
      </c>
      <c r="K175" s="9">
        <f t="shared" ca="1" si="29"/>
        <v>242.80697404232964</v>
      </c>
      <c r="L175" s="9">
        <f t="shared" ca="1" si="30"/>
        <v>59.080279440885661</v>
      </c>
      <c r="M175">
        <f t="shared" ca="1" si="45"/>
        <v>56.12222222222222</v>
      </c>
      <c r="N175">
        <f t="shared" ca="1" si="46"/>
        <v>33.75</v>
      </c>
    </row>
    <row r="176" spans="1:14" x14ac:dyDescent="0.25">
      <c r="A176" s="4">
        <f t="shared" si="26"/>
        <v>0.42789351851851692</v>
      </c>
      <c r="B176" s="3">
        <f t="shared" si="42"/>
        <v>1553300970</v>
      </c>
      <c r="C176">
        <f t="shared" si="31"/>
        <v>3</v>
      </c>
      <c r="D176">
        <f t="shared" si="31"/>
        <v>126</v>
      </c>
      <c r="E176">
        <f t="shared" ca="1" si="43"/>
        <v>52075.575246183333</v>
      </c>
      <c r="F176">
        <f t="shared" ca="1" si="44"/>
        <v>31190.605081199999</v>
      </c>
      <c r="G176">
        <f t="shared" ca="1" si="27"/>
        <v>10668</v>
      </c>
      <c r="H176" s="9">
        <f t="shared" ca="1" si="47"/>
        <v>208.30121358233447</v>
      </c>
      <c r="I176" s="9">
        <f t="shared" ca="1" si="47"/>
        <v>124.76309976800039</v>
      </c>
      <c r="J176" s="9">
        <f t="shared" ca="1" si="47"/>
        <v>0</v>
      </c>
      <c r="K176" s="9">
        <f t="shared" ca="1" si="29"/>
        <v>242.80697404233129</v>
      </c>
      <c r="L176" s="9">
        <f t="shared" ca="1" si="30"/>
        <v>59.080279440885704</v>
      </c>
      <c r="M176">
        <f t="shared" ca="1" si="45"/>
        <v>56.12777777777778</v>
      </c>
      <c r="N176">
        <f t="shared" ca="1" si="46"/>
        <v>33.766666666666666</v>
      </c>
    </row>
    <row r="177" spans="1:14" x14ac:dyDescent="0.25">
      <c r="A177" s="4">
        <f t="shared" si="26"/>
        <v>0.42795138888888729</v>
      </c>
      <c r="B177" s="3">
        <f t="shared" si="42"/>
        <v>1553300975</v>
      </c>
      <c r="C177">
        <f t="shared" si="31"/>
        <v>3</v>
      </c>
      <c r="D177">
        <f t="shared" si="31"/>
        <v>126</v>
      </c>
      <c r="E177">
        <f t="shared" ca="1" si="43"/>
        <v>53117.081314095005</v>
      </c>
      <c r="F177">
        <f t="shared" ca="1" si="44"/>
        <v>31814.420580040001</v>
      </c>
      <c r="G177">
        <f t="shared" ca="1" si="27"/>
        <v>10668</v>
      </c>
      <c r="H177" s="9">
        <f t="shared" ca="1" si="47"/>
        <v>208.30121358233299</v>
      </c>
      <c r="I177" s="9">
        <f t="shared" ca="1" si="47"/>
        <v>124.76309976799966</v>
      </c>
      <c r="J177" s="9">
        <f t="shared" ca="1" si="47"/>
        <v>0</v>
      </c>
      <c r="K177" s="9">
        <f t="shared" ca="1" si="29"/>
        <v>242.80697404232964</v>
      </c>
      <c r="L177" s="9">
        <f t="shared" ca="1" si="30"/>
        <v>59.080279440885661</v>
      </c>
      <c r="M177">
        <f t="shared" ca="1" si="45"/>
        <v>56.133333333333333</v>
      </c>
      <c r="N177">
        <f t="shared" ca="1" si="46"/>
        <v>33.783333333333331</v>
      </c>
    </row>
    <row r="178" spans="1:14" x14ac:dyDescent="0.25">
      <c r="A178" s="4">
        <f t="shared" si="26"/>
        <v>0.42800925925925765</v>
      </c>
      <c r="B178" s="3">
        <f t="shared" si="42"/>
        <v>1553300980</v>
      </c>
      <c r="C178">
        <f t="shared" si="31"/>
        <v>3</v>
      </c>
      <c r="D178">
        <f t="shared" si="31"/>
        <v>126</v>
      </c>
      <c r="E178">
        <f t="shared" ca="1" si="43"/>
        <v>54158.58738200667</v>
      </c>
      <c r="F178">
        <f t="shared" ca="1" si="44"/>
        <v>32438.23607888</v>
      </c>
      <c r="G178">
        <f t="shared" ca="1" si="27"/>
        <v>10668</v>
      </c>
      <c r="H178" s="9">
        <f t="shared" ca="1" si="47"/>
        <v>208.30121358233299</v>
      </c>
      <c r="I178" s="9">
        <f t="shared" ca="1" si="47"/>
        <v>124.76309976799966</v>
      </c>
      <c r="J178" s="9">
        <f t="shared" ca="1" si="47"/>
        <v>0</v>
      </c>
      <c r="K178" s="9">
        <f t="shared" ca="1" si="29"/>
        <v>242.80697404232964</v>
      </c>
      <c r="L178" s="9">
        <f t="shared" ca="1" si="30"/>
        <v>59.080279440885661</v>
      </c>
      <c r="M178">
        <f t="shared" ca="1" si="45"/>
        <v>56.138888888888886</v>
      </c>
      <c r="N178">
        <f t="shared" ca="1" si="46"/>
        <v>33.799999999999997</v>
      </c>
    </row>
    <row r="179" spans="1:14" x14ac:dyDescent="0.25">
      <c r="A179" s="4">
        <f t="shared" si="26"/>
        <v>0.42806712962962801</v>
      </c>
      <c r="B179" s="3">
        <f t="shared" si="42"/>
        <v>1553300985</v>
      </c>
      <c r="C179">
        <f t="shared" si="31"/>
        <v>3</v>
      </c>
      <c r="D179">
        <f t="shared" si="31"/>
        <v>126</v>
      </c>
      <c r="E179">
        <f t="shared" ca="1" si="43"/>
        <v>55200.093449918335</v>
      </c>
      <c r="F179">
        <f t="shared" ca="1" si="44"/>
        <v>33062.051577719998</v>
      </c>
      <c r="G179">
        <f t="shared" ca="1" si="27"/>
        <v>10668</v>
      </c>
      <c r="H179" s="9">
        <f t="shared" ca="1" si="47"/>
        <v>208.30121358233299</v>
      </c>
      <c r="I179" s="9">
        <f t="shared" ca="1" si="47"/>
        <v>124.76309976800113</v>
      </c>
      <c r="J179" s="9">
        <f t="shared" ca="1" si="47"/>
        <v>0</v>
      </c>
      <c r="K179" s="9">
        <f t="shared" ca="1" si="29"/>
        <v>242.80697404233038</v>
      </c>
      <c r="L179" s="9">
        <f t="shared" ca="1" si="30"/>
        <v>59.08027944088537</v>
      </c>
      <c r="M179">
        <f t="shared" ca="1" si="45"/>
        <v>56.144444444444446</v>
      </c>
      <c r="N179">
        <f t="shared" ca="1" si="46"/>
        <v>33.816666666666663</v>
      </c>
    </row>
    <row r="180" spans="1:14" x14ac:dyDescent="0.25">
      <c r="A180" s="4">
        <f t="shared" si="26"/>
        <v>0.42812499999999837</v>
      </c>
      <c r="B180" s="3">
        <f t="shared" si="42"/>
        <v>1553300990</v>
      </c>
      <c r="C180">
        <f t="shared" si="31"/>
        <v>3</v>
      </c>
      <c r="D180">
        <f t="shared" si="31"/>
        <v>126</v>
      </c>
      <c r="E180">
        <f t="shared" ca="1" si="43"/>
        <v>56241.59951783</v>
      </c>
      <c r="F180">
        <f t="shared" ca="1" si="44"/>
        <v>33685.867076560004</v>
      </c>
      <c r="G180">
        <f t="shared" ca="1" si="27"/>
        <v>10668</v>
      </c>
      <c r="H180" s="9">
        <f t="shared" ca="1" si="47"/>
        <v>208.30121358233299</v>
      </c>
      <c r="I180" s="9">
        <f t="shared" ca="1" si="47"/>
        <v>124.76309976799966</v>
      </c>
      <c r="J180" s="9">
        <f t="shared" ca="1" si="47"/>
        <v>0</v>
      </c>
      <c r="K180" s="9">
        <f t="shared" ca="1" si="29"/>
        <v>242.80697404232964</v>
      </c>
      <c r="L180" s="9">
        <f t="shared" ca="1" si="30"/>
        <v>59.080279440885661</v>
      </c>
      <c r="M180">
        <f t="shared" ca="1" si="45"/>
        <v>56.15</v>
      </c>
      <c r="N180">
        <f t="shared" ca="1" si="46"/>
        <v>33.833333333333329</v>
      </c>
    </row>
    <row r="181" spans="1:14" x14ac:dyDescent="0.25">
      <c r="A181" s="4">
        <f t="shared" si="26"/>
        <v>0.42818287037036873</v>
      </c>
      <c r="B181" s="3">
        <f t="shared" si="42"/>
        <v>1553300995</v>
      </c>
      <c r="C181">
        <f t="shared" si="31"/>
        <v>3</v>
      </c>
      <c r="D181">
        <f t="shared" si="31"/>
        <v>126</v>
      </c>
      <c r="E181">
        <f t="shared" ca="1" si="43"/>
        <v>57283.105585741665</v>
      </c>
      <c r="F181">
        <f t="shared" ca="1" si="44"/>
        <v>34309.682575400002</v>
      </c>
      <c r="G181">
        <f t="shared" ca="1" si="27"/>
        <v>10668</v>
      </c>
      <c r="H181" s="9">
        <f t="shared" ca="1" si="47"/>
        <v>208.30121358233447</v>
      </c>
      <c r="I181" s="9">
        <f t="shared" ca="1" si="47"/>
        <v>124.76309976799966</v>
      </c>
      <c r="J181" s="9">
        <f t="shared" ca="1" si="47"/>
        <v>0</v>
      </c>
      <c r="K181" s="9">
        <f t="shared" ca="1" si="29"/>
        <v>242.80697404233092</v>
      </c>
      <c r="L181" s="9">
        <f t="shared" ca="1" si="30"/>
        <v>59.080279440885853</v>
      </c>
      <c r="M181">
        <f t="shared" ca="1" si="45"/>
        <v>56.155555555555559</v>
      </c>
      <c r="N181">
        <f t="shared" ca="1" si="46"/>
        <v>33.849999999999994</v>
      </c>
    </row>
    <row r="182" spans="1:14" x14ac:dyDescent="0.25">
      <c r="A182" s="4">
        <f t="shared" si="26"/>
        <v>0.42824074074073909</v>
      </c>
      <c r="B182" s="3">
        <f t="shared" si="42"/>
        <v>1553301000</v>
      </c>
      <c r="C182">
        <f t="shared" si="31"/>
        <v>3</v>
      </c>
      <c r="D182">
        <f t="shared" si="31"/>
        <v>126</v>
      </c>
      <c r="E182">
        <f t="shared" ca="1" si="43"/>
        <v>58324.611653653337</v>
      </c>
      <c r="F182">
        <f t="shared" ca="1" si="44"/>
        <v>34933.49807424</v>
      </c>
      <c r="G182">
        <f t="shared" ca="1" si="27"/>
        <v>10668</v>
      </c>
      <c r="H182" s="9">
        <f t="shared" ca="1" si="47"/>
        <v>208.30121358233299</v>
      </c>
      <c r="I182" s="9">
        <f t="shared" ca="1" si="47"/>
        <v>124.76309976799966</v>
      </c>
      <c r="J182" s="9">
        <f t="shared" ca="1" si="47"/>
        <v>0</v>
      </c>
      <c r="K182" s="9">
        <f t="shared" ca="1" si="29"/>
        <v>242.80697404232964</v>
      </c>
      <c r="L182" s="9">
        <f t="shared" ca="1" si="30"/>
        <v>59.080279440885661</v>
      </c>
      <c r="M182">
        <f t="shared" ca="1" si="45"/>
        <v>56.161111111111111</v>
      </c>
      <c r="N182">
        <f t="shared" ca="1" si="46"/>
        <v>33.86666666666666</v>
      </c>
    </row>
    <row r="183" spans="1:14" x14ac:dyDescent="0.25">
      <c r="A183" s="4">
        <f t="shared" si="26"/>
        <v>0.42829861111110945</v>
      </c>
      <c r="B183" s="3">
        <f t="shared" si="42"/>
        <v>1553301005</v>
      </c>
      <c r="C183">
        <f t="shared" si="31"/>
        <v>3</v>
      </c>
      <c r="D183">
        <f t="shared" si="31"/>
        <v>126</v>
      </c>
      <c r="E183">
        <f t="shared" ca="1" si="43"/>
        <v>59366.117721565002</v>
      </c>
      <c r="F183">
        <f t="shared" ca="1" si="44"/>
        <v>35557.313573079999</v>
      </c>
      <c r="G183">
        <f t="shared" ca="1" si="27"/>
        <v>10668</v>
      </c>
      <c r="H183" s="9">
        <f t="shared" ref="H183:J246" ca="1" si="48">(E184-E183)/($B184-$B183)</f>
        <v>208.30121358233299</v>
      </c>
      <c r="I183" s="9">
        <f t="shared" ca="1" si="48"/>
        <v>124.76309976799966</v>
      </c>
      <c r="J183" s="9">
        <f t="shared" ca="1" si="48"/>
        <v>0</v>
      </c>
      <c r="K183" s="9">
        <f t="shared" ca="1" si="29"/>
        <v>242.80697404232964</v>
      </c>
      <c r="L183" s="9">
        <f t="shared" ca="1" si="30"/>
        <v>59.080279440885661</v>
      </c>
      <c r="M183">
        <f t="shared" ca="1" si="45"/>
        <v>56.166666666666664</v>
      </c>
      <c r="N183">
        <f t="shared" ca="1" si="46"/>
        <v>33.883333333333333</v>
      </c>
    </row>
    <row r="184" spans="1:14" x14ac:dyDescent="0.25">
      <c r="A184" s="4">
        <f t="shared" si="26"/>
        <v>0.42835648148147981</v>
      </c>
      <c r="B184" s="3">
        <f t="shared" si="42"/>
        <v>1553301010</v>
      </c>
      <c r="C184">
        <f t="shared" si="31"/>
        <v>3</v>
      </c>
      <c r="D184">
        <f t="shared" si="31"/>
        <v>126</v>
      </c>
      <c r="E184">
        <f t="shared" ca="1" si="43"/>
        <v>60407.623789476667</v>
      </c>
      <c r="F184">
        <f t="shared" ca="1" si="44"/>
        <v>36181.129071919997</v>
      </c>
      <c r="G184">
        <f t="shared" ca="1" si="27"/>
        <v>10668</v>
      </c>
      <c r="H184" s="9">
        <f t="shared" ca="1" si="48"/>
        <v>208.30121358233299</v>
      </c>
      <c r="I184" s="9">
        <f t="shared" ca="1" si="48"/>
        <v>124.76309976800113</v>
      </c>
      <c r="J184" s="9">
        <f t="shared" ca="1" si="48"/>
        <v>0</v>
      </c>
      <c r="K184" s="9">
        <f t="shared" ca="1" si="29"/>
        <v>242.80697404233038</v>
      </c>
      <c r="L184" s="9">
        <f t="shared" ca="1" si="30"/>
        <v>59.08027944088537</v>
      </c>
      <c r="M184">
        <f t="shared" ca="1" si="45"/>
        <v>56.172222222222224</v>
      </c>
      <c r="N184">
        <f t="shared" ca="1" si="46"/>
        <v>33.9</v>
      </c>
    </row>
    <row r="185" spans="1:14" x14ac:dyDescent="0.25">
      <c r="A185" s="4">
        <f t="shared" si="26"/>
        <v>0.42841435185185017</v>
      </c>
      <c r="B185" s="3">
        <f t="shared" si="42"/>
        <v>1553301015</v>
      </c>
      <c r="C185">
        <f t="shared" si="31"/>
        <v>3</v>
      </c>
      <c r="D185">
        <f t="shared" si="31"/>
        <v>126</v>
      </c>
      <c r="E185">
        <f t="shared" ca="1" si="43"/>
        <v>61449.129857388332</v>
      </c>
      <c r="F185">
        <f t="shared" ca="1" si="44"/>
        <v>36804.944570760003</v>
      </c>
      <c r="G185">
        <f t="shared" ca="1" si="27"/>
        <v>10668</v>
      </c>
      <c r="H185" s="9">
        <f t="shared" ca="1" si="48"/>
        <v>208.30121358233447</v>
      </c>
      <c r="I185" s="9">
        <f t="shared" ca="1" si="48"/>
        <v>124.76309976799966</v>
      </c>
      <c r="J185" s="9">
        <f t="shared" ca="1" si="48"/>
        <v>0</v>
      </c>
      <c r="K185" s="9">
        <f t="shared" ca="1" si="29"/>
        <v>242.80697404233092</v>
      </c>
      <c r="L185" s="9">
        <f t="shared" ca="1" si="30"/>
        <v>59.080279440885853</v>
      </c>
      <c r="M185">
        <f t="shared" ca="1" si="45"/>
        <v>56.177777777777777</v>
      </c>
      <c r="N185">
        <f t="shared" ca="1" si="46"/>
        <v>33.916666666666664</v>
      </c>
    </row>
    <row r="186" spans="1:14" x14ac:dyDescent="0.25">
      <c r="A186" s="4">
        <f t="shared" ref="A186:A247" si="49">A185+5/24/3600</f>
        <v>0.42847222222222053</v>
      </c>
      <c r="B186" s="3">
        <f t="shared" si="42"/>
        <v>1553301020</v>
      </c>
      <c r="C186">
        <f t="shared" si="31"/>
        <v>3</v>
      </c>
      <c r="D186">
        <f t="shared" si="31"/>
        <v>126</v>
      </c>
      <c r="E186">
        <f t="shared" ca="1" si="43"/>
        <v>62490.635925300005</v>
      </c>
      <c r="F186">
        <f t="shared" ca="1" si="44"/>
        <v>37428.760069600001</v>
      </c>
      <c r="G186">
        <f t="shared" ca="1" si="27"/>
        <v>10668</v>
      </c>
      <c r="H186" s="9">
        <f t="shared" ca="1" si="48"/>
        <v>208.30121358233299</v>
      </c>
      <c r="I186" s="9">
        <f t="shared" ca="1" si="48"/>
        <v>124.76309976799966</v>
      </c>
      <c r="J186" s="9">
        <f t="shared" ca="1" si="48"/>
        <v>0</v>
      </c>
      <c r="K186" s="9">
        <f t="shared" ca="1" si="29"/>
        <v>242.80697404232964</v>
      </c>
      <c r="L186" s="9">
        <f t="shared" ca="1" si="30"/>
        <v>59.080279440885661</v>
      </c>
      <c r="M186">
        <f t="shared" ca="1" si="45"/>
        <v>56.183333333333337</v>
      </c>
      <c r="N186">
        <f t="shared" ca="1" si="46"/>
        <v>33.93333333333333</v>
      </c>
    </row>
    <row r="187" spans="1:14" x14ac:dyDescent="0.25">
      <c r="A187" s="4">
        <f t="shared" si="49"/>
        <v>0.42853009259259089</v>
      </c>
      <c r="B187" s="3">
        <f t="shared" si="42"/>
        <v>1553301025</v>
      </c>
      <c r="C187">
        <f t="shared" si="31"/>
        <v>3</v>
      </c>
      <c r="D187">
        <f t="shared" si="31"/>
        <v>126</v>
      </c>
      <c r="E187">
        <f t="shared" ca="1" si="43"/>
        <v>63532.14199321167</v>
      </c>
      <c r="F187">
        <f t="shared" ca="1" si="44"/>
        <v>38052.575568439999</v>
      </c>
      <c r="G187">
        <f t="shared" ca="1" si="27"/>
        <v>10668</v>
      </c>
      <c r="H187" s="9">
        <f t="shared" ca="1" si="48"/>
        <v>208.30121358233299</v>
      </c>
      <c r="I187" s="9">
        <f t="shared" ca="1" si="48"/>
        <v>124.76309976799966</v>
      </c>
      <c r="J187" s="9">
        <f t="shared" ca="1" si="48"/>
        <v>0</v>
      </c>
      <c r="K187" s="9">
        <f t="shared" ca="1" si="29"/>
        <v>242.80697404232964</v>
      </c>
      <c r="L187" s="9">
        <f t="shared" ca="1" si="30"/>
        <v>59.080279440885661</v>
      </c>
      <c r="M187">
        <f t="shared" ca="1" si="45"/>
        <v>56.18888888888889</v>
      </c>
      <c r="N187">
        <f t="shared" ca="1" si="46"/>
        <v>33.949999999999996</v>
      </c>
    </row>
    <row r="188" spans="1:14" x14ac:dyDescent="0.25">
      <c r="A188" s="4">
        <f t="shared" si="49"/>
        <v>0.42858796296296126</v>
      </c>
      <c r="B188" s="3">
        <f t="shared" si="42"/>
        <v>1553301030</v>
      </c>
      <c r="C188">
        <f t="shared" si="31"/>
        <v>3</v>
      </c>
      <c r="D188">
        <f t="shared" si="31"/>
        <v>126</v>
      </c>
      <c r="E188">
        <f t="shared" ca="1" si="43"/>
        <v>64573.648061123335</v>
      </c>
      <c r="F188">
        <f t="shared" ca="1" si="44"/>
        <v>38676.391067279998</v>
      </c>
      <c r="G188">
        <f t="shared" ca="1" si="27"/>
        <v>10668</v>
      </c>
      <c r="H188" s="9">
        <f t="shared" ca="1" si="48"/>
        <v>208.30121358233299</v>
      </c>
      <c r="I188" s="9">
        <f t="shared" ca="1" si="48"/>
        <v>124.76309976800113</v>
      </c>
      <c r="J188" s="9">
        <f t="shared" ca="1" si="48"/>
        <v>0</v>
      </c>
      <c r="K188" s="9">
        <f t="shared" ca="1" si="29"/>
        <v>242.80697404233038</v>
      </c>
      <c r="L188" s="9">
        <f t="shared" ca="1" si="30"/>
        <v>59.08027944088537</v>
      </c>
      <c r="M188">
        <f t="shared" ca="1" si="45"/>
        <v>56.194444444444443</v>
      </c>
      <c r="N188">
        <f t="shared" ca="1" si="46"/>
        <v>33.966666666666661</v>
      </c>
    </row>
    <row r="189" spans="1:14" x14ac:dyDescent="0.25">
      <c r="A189" s="4">
        <f t="shared" si="49"/>
        <v>0.42864583333333162</v>
      </c>
      <c r="B189" s="3">
        <f t="shared" si="42"/>
        <v>1553301035</v>
      </c>
      <c r="C189">
        <f t="shared" si="31"/>
        <v>3</v>
      </c>
      <c r="D189">
        <f t="shared" si="31"/>
        <v>126</v>
      </c>
      <c r="E189">
        <f t="shared" ca="1" si="43"/>
        <v>65615.154129035</v>
      </c>
      <c r="F189">
        <f t="shared" ca="1" si="44"/>
        <v>39300.206566120003</v>
      </c>
      <c r="G189">
        <f t="shared" ca="1" si="27"/>
        <v>10668</v>
      </c>
      <c r="H189" s="9">
        <f t="shared" ca="1" si="48"/>
        <v>208.30121358233154</v>
      </c>
      <c r="I189" s="9">
        <f t="shared" ca="1" si="48"/>
        <v>124.76309976799966</v>
      </c>
      <c r="J189" s="9">
        <f t="shared" ca="1" si="48"/>
        <v>0</v>
      </c>
      <c r="K189" s="9">
        <f t="shared" ca="1" si="29"/>
        <v>242.80697404232839</v>
      </c>
      <c r="L189" s="9">
        <f t="shared" ca="1" si="30"/>
        <v>59.080279440885498</v>
      </c>
      <c r="M189">
        <f t="shared" ca="1" si="45"/>
        <v>56.2</v>
      </c>
      <c r="N189">
        <f t="shared" ca="1" si="46"/>
        <v>33.983333333333327</v>
      </c>
    </row>
    <row r="190" spans="1:14" x14ac:dyDescent="0.25">
      <c r="A190" s="4">
        <f t="shared" si="49"/>
        <v>0.42870370370370198</v>
      </c>
      <c r="B190" s="3">
        <f t="shared" si="42"/>
        <v>1553301040</v>
      </c>
      <c r="C190">
        <f t="shared" si="31"/>
        <v>3</v>
      </c>
      <c r="D190">
        <f t="shared" si="31"/>
        <v>126</v>
      </c>
      <c r="E190">
        <f t="shared" ca="1" si="43"/>
        <v>66656.660196946657</v>
      </c>
      <c r="F190">
        <f t="shared" ca="1" si="44"/>
        <v>39924.022064960001</v>
      </c>
      <c r="G190">
        <f t="shared" ca="1" si="27"/>
        <v>10668</v>
      </c>
      <c r="H190" s="9">
        <f t="shared" ca="1" si="48"/>
        <v>208.30121358233447</v>
      </c>
      <c r="I190" s="9">
        <f t="shared" ca="1" si="48"/>
        <v>124.76309976799966</v>
      </c>
      <c r="J190" s="9">
        <f t="shared" ca="1" si="48"/>
        <v>0</v>
      </c>
      <c r="K190" s="9">
        <f t="shared" ca="1" si="29"/>
        <v>242.80697404233092</v>
      </c>
      <c r="L190" s="9">
        <f t="shared" ca="1" si="30"/>
        <v>59.080279440885853</v>
      </c>
      <c r="M190">
        <f t="shared" ca="1" si="45"/>
        <v>56.205555555555556</v>
      </c>
      <c r="N190">
        <f t="shared" ca="1" si="46"/>
        <v>34</v>
      </c>
    </row>
    <row r="191" spans="1:14" x14ac:dyDescent="0.25">
      <c r="A191" s="4">
        <f t="shared" si="49"/>
        <v>0.42876157407407234</v>
      </c>
      <c r="B191" s="3">
        <f t="shared" si="42"/>
        <v>1553301045</v>
      </c>
      <c r="C191">
        <f t="shared" si="31"/>
        <v>3</v>
      </c>
      <c r="D191">
        <f t="shared" si="31"/>
        <v>126</v>
      </c>
      <c r="E191">
        <f t="shared" ca="1" si="43"/>
        <v>67698.16626485833</v>
      </c>
      <c r="F191">
        <f t="shared" ca="1" si="44"/>
        <v>40547.8375638</v>
      </c>
      <c r="G191">
        <f t="shared" ca="1" si="27"/>
        <v>10668</v>
      </c>
      <c r="H191" s="9">
        <f t="shared" ca="1" si="48"/>
        <v>208.30121358233154</v>
      </c>
      <c r="I191" s="9">
        <f t="shared" ca="1" si="48"/>
        <v>124.76309976799966</v>
      </c>
      <c r="J191" s="9">
        <f t="shared" ca="1" si="48"/>
        <v>0</v>
      </c>
      <c r="K191" s="9">
        <f t="shared" ca="1" si="29"/>
        <v>242.80697404232839</v>
      </c>
      <c r="L191" s="9">
        <f t="shared" ca="1" si="30"/>
        <v>59.080279440885498</v>
      </c>
      <c r="M191">
        <f t="shared" ca="1" si="45"/>
        <v>56.211111111111109</v>
      </c>
      <c r="N191">
        <f t="shared" ca="1" si="46"/>
        <v>34.016666666666666</v>
      </c>
    </row>
    <row r="192" spans="1:14" x14ac:dyDescent="0.25">
      <c r="A192" s="4">
        <f t="shared" si="49"/>
        <v>0.4288194444444427</v>
      </c>
      <c r="B192" s="3">
        <f t="shared" si="42"/>
        <v>1553301050</v>
      </c>
      <c r="C192">
        <f t="shared" si="31"/>
        <v>3</v>
      </c>
      <c r="D192">
        <f t="shared" si="31"/>
        <v>126</v>
      </c>
      <c r="E192">
        <f t="shared" ca="1" si="43"/>
        <v>68739.672332769987</v>
      </c>
      <c r="F192">
        <f t="shared" ca="1" si="44"/>
        <v>41171.653062639998</v>
      </c>
      <c r="G192">
        <f t="shared" ca="1" si="27"/>
        <v>10668</v>
      </c>
      <c r="H192" s="9">
        <f t="shared" ca="1" si="48"/>
        <v>208.30121358233447</v>
      </c>
      <c r="I192" s="9">
        <f t="shared" ca="1" si="48"/>
        <v>124.76309976800113</v>
      </c>
      <c r="J192" s="9">
        <f t="shared" ca="1" si="48"/>
        <v>0</v>
      </c>
      <c r="K192" s="9">
        <f t="shared" ca="1" si="29"/>
        <v>242.80697404233166</v>
      </c>
      <c r="L192" s="9">
        <f t="shared" ca="1" si="30"/>
        <v>59.080279440885548</v>
      </c>
      <c r="M192">
        <f t="shared" ca="1" si="45"/>
        <v>56.216666666666669</v>
      </c>
      <c r="N192">
        <f t="shared" ca="1" si="46"/>
        <v>34.033333333333331</v>
      </c>
    </row>
    <row r="193" spans="1:14" x14ac:dyDescent="0.25">
      <c r="A193" s="4">
        <f t="shared" si="49"/>
        <v>0.42887731481481306</v>
      </c>
      <c r="B193" s="3">
        <f t="shared" si="42"/>
        <v>1553301055</v>
      </c>
      <c r="C193">
        <f t="shared" si="31"/>
        <v>3</v>
      </c>
      <c r="D193">
        <f t="shared" si="31"/>
        <v>126</v>
      </c>
      <c r="E193">
        <f t="shared" ca="1" si="43"/>
        <v>69781.17840068166</v>
      </c>
      <c r="F193">
        <f t="shared" ca="1" si="44"/>
        <v>41795.468561480004</v>
      </c>
      <c r="G193">
        <f t="shared" ca="1" si="27"/>
        <v>10668</v>
      </c>
      <c r="H193" s="9">
        <f t="shared" ca="1" si="48"/>
        <v>208.30121358233447</v>
      </c>
      <c r="I193" s="9">
        <f t="shared" ca="1" si="48"/>
        <v>124.76309976799966</v>
      </c>
      <c r="J193" s="9">
        <f t="shared" ca="1" si="48"/>
        <v>0</v>
      </c>
      <c r="K193" s="9">
        <f t="shared" ca="1" si="29"/>
        <v>242.80697404233092</v>
      </c>
      <c r="L193" s="9">
        <f t="shared" ca="1" si="30"/>
        <v>59.080279440885853</v>
      </c>
      <c r="M193">
        <f t="shared" ca="1" si="45"/>
        <v>56.222222222222221</v>
      </c>
      <c r="N193">
        <f t="shared" ca="1" si="46"/>
        <v>34.049999999999997</v>
      </c>
    </row>
    <row r="194" spans="1:14" x14ac:dyDescent="0.25">
      <c r="A194" s="4">
        <f t="shared" si="49"/>
        <v>0.42893518518518342</v>
      </c>
      <c r="B194" s="3">
        <f t="shared" si="42"/>
        <v>1553301060</v>
      </c>
      <c r="C194">
        <f t="shared" si="31"/>
        <v>3</v>
      </c>
      <c r="D194">
        <f t="shared" si="31"/>
        <v>126</v>
      </c>
      <c r="E194">
        <f t="shared" ca="1" si="43"/>
        <v>70822.684468593332</v>
      </c>
      <c r="F194">
        <f t="shared" ca="1" si="44"/>
        <v>42419.284060320002</v>
      </c>
      <c r="G194">
        <f t="shared" ca="1" si="27"/>
        <v>10668</v>
      </c>
      <c r="H194" s="9">
        <f t="shared" ca="1" si="48"/>
        <v>208.30121358233154</v>
      </c>
      <c r="I194" s="9">
        <f t="shared" ca="1" si="48"/>
        <v>124.76309976799966</v>
      </c>
      <c r="J194" s="9">
        <f t="shared" ca="1" si="48"/>
        <v>0</v>
      </c>
      <c r="K194" s="9">
        <f t="shared" ca="1" si="29"/>
        <v>242.80697404232839</v>
      </c>
      <c r="L194" s="9">
        <f t="shared" ca="1" si="30"/>
        <v>59.080279440885498</v>
      </c>
      <c r="M194">
        <f t="shared" ca="1" si="45"/>
        <v>56.227777777777774</v>
      </c>
      <c r="N194">
        <f t="shared" ca="1" si="46"/>
        <v>34.066666666666663</v>
      </c>
    </row>
    <row r="195" spans="1:14" x14ac:dyDescent="0.25">
      <c r="A195" s="4">
        <f t="shared" si="49"/>
        <v>0.42899305555555378</v>
      </c>
      <c r="B195" s="3">
        <f t="shared" si="42"/>
        <v>1553301065</v>
      </c>
      <c r="C195">
        <f t="shared" si="31"/>
        <v>3</v>
      </c>
      <c r="D195">
        <f t="shared" si="31"/>
        <v>126</v>
      </c>
      <c r="E195">
        <f t="shared" ca="1" si="43"/>
        <v>71864.19053650499</v>
      </c>
      <c r="F195">
        <f t="shared" ca="1" si="44"/>
        <v>43043.09955916</v>
      </c>
      <c r="G195">
        <f t="shared" ca="1" si="27"/>
        <v>10668</v>
      </c>
      <c r="H195" s="9">
        <f t="shared" ca="1" si="48"/>
        <v>208.30121358233447</v>
      </c>
      <c r="I195" s="9">
        <f t="shared" ca="1" si="48"/>
        <v>124.76309976799966</v>
      </c>
      <c r="J195" s="9">
        <f t="shared" ca="1" si="48"/>
        <v>0</v>
      </c>
      <c r="K195" s="9">
        <f t="shared" ca="1" si="29"/>
        <v>242.80697404233092</v>
      </c>
      <c r="L195" s="9">
        <f t="shared" ca="1" si="30"/>
        <v>59.080279440885853</v>
      </c>
      <c r="M195">
        <f t="shared" ca="1" si="45"/>
        <v>56.233333333333334</v>
      </c>
      <c r="N195">
        <f t="shared" ca="1" si="46"/>
        <v>34.083333333333329</v>
      </c>
    </row>
    <row r="196" spans="1:14" x14ac:dyDescent="0.25">
      <c r="A196" s="4">
        <f t="shared" si="49"/>
        <v>0.42905092592592414</v>
      </c>
      <c r="B196" s="3">
        <f t="shared" si="42"/>
        <v>1553301070</v>
      </c>
      <c r="C196">
        <f t="shared" si="31"/>
        <v>3</v>
      </c>
      <c r="D196">
        <f t="shared" si="31"/>
        <v>126</v>
      </c>
      <c r="E196">
        <f t="shared" ca="1" si="43"/>
        <v>72905.696604416662</v>
      </c>
      <c r="F196">
        <f t="shared" ca="1" si="44"/>
        <v>43666.915057999999</v>
      </c>
      <c r="G196">
        <f t="shared" ca="1" si="27"/>
        <v>10668</v>
      </c>
      <c r="H196" s="9">
        <f t="shared" ca="1" si="48"/>
        <v>208.30121358233447</v>
      </c>
      <c r="I196" s="9">
        <f t="shared" ca="1" si="48"/>
        <v>124.76309976800113</v>
      </c>
      <c r="J196" s="9">
        <f t="shared" ca="1" si="48"/>
        <v>0</v>
      </c>
      <c r="K196" s="9">
        <f t="shared" ca="1" si="29"/>
        <v>242.80697404233166</v>
      </c>
      <c r="L196" s="9">
        <f t="shared" ca="1" si="30"/>
        <v>59.080279440885548</v>
      </c>
      <c r="M196">
        <f t="shared" ca="1" si="45"/>
        <v>56.238888888888887</v>
      </c>
      <c r="N196">
        <f t="shared" ca="1" si="46"/>
        <v>34.099999999999994</v>
      </c>
    </row>
    <row r="197" spans="1:14" x14ac:dyDescent="0.25">
      <c r="A197" s="4">
        <f t="shared" si="49"/>
        <v>0.4291087962962945</v>
      </c>
      <c r="B197" s="3">
        <f t="shared" si="42"/>
        <v>1553301075</v>
      </c>
      <c r="C197">
        <f t="shared" si="31"/>
        <v>3</v>
      </c>
      <c r="D197">
        <f t="shared" si="31"/>
        <v>126</v>
      </c>
      <c r="E197">
        <f t="shared" ca="1" si="43"/>
        <v>73947.202672328334</v>
      </c>
      <c r="F197">
        <f t="shared" ca="1" si="44"/>
        <v>44290.730556840004</v>
      </c>
      <c r="G197">
        <f t="shared" ca="1" si="27"/>
        <v>10668</v>
      </c>
      <c r="H197" s="9">
        <f t="shared" ca="1" si="48"/>
        <v>208.30121358233154</v>
      </c>
      <c r="I197" s="9">
        <f t="shared" ca="1" si="48"/>
        <v>124.76309976799966</v>
      </c>
      <c r="J197" s="9">
        <f t="shared" ca="1" si="48"/>
        <v>0</v>
      </c>
      <c r="K197" s="9">
        <f t="shared" ca="1" si="29"/>
        <v>242.80697404232839</v>
      </c>
      <c r="L197" s="9">
        <f t="shared" ca="1" si="30"/>
        <v>59.080279440885498</v>
      </c>
      <c r="M197">
        <f t="shared" ca="1" si="45"/>
        <v>56.244444444444447</v>
      </c>
      <c r="N197">
        <f t="shared" ca="1" si="46"/>
        <v>34.11666666666666</v>
      </c>
    </row>
    <row r="198" spans="1:14" x14ac:dyDescent="0.25">
      <c r="A198" s="4">
        <f t="shared" si="49"/>
        <v>0.42916666666666486</v>
      </c>
      <c r="B198" s="3">
        <f t="shared" si="42"/>
        <v>1553301080</v>
      </c>
      <c r="C198">
        <f t="shared" si="31"/>
        <v>3</v>
      </c>
      <c r="D198">
        <f t="shared" si="31"/>
        <v>126</v>
      </c>
      <c r="E198">
        <f t="shared" ca="1" si="43"/>
        <v>74988.708740239992</v>
      </c>
      <c r="F198">
        <f t="shared" ca="1" si="44"/>
        <v>44914.546055680003</v>
      </c>
      <c r="G198">
        <f t="shared" ca="1" si="27"/>
        <v>10668</v>
      </c>
      <c r="H198" s="9">
        <f t="shared" ca="1" si="48"/>
        <v>208.30121358233447</v>
      </c>
      <c r="I198" s="9">
        <f t="shared" ca="1" si="48"/>
        <v>124.76309976799966</v>
      </c>
      <c r="J198" s="9">
        <f t="shared" ca="1" si="48"/>
        <v>0</v>
      </c>
      <c r="K198" s="9">
        <f t="shared" ca="1" si="29"/>
        <v>242.80697404233092</v>
      </c>
      <c r="L198" s="9">
        <f t="shared" ca="1" si="30"/>
        <v>59.080279440885853</v>
      </c>
      <c r="M198">
        <f t="shared" ca="1" si="45"/>
        <v>56.25</v>
      </c>
      <c r="N198">
        <f t="shared" ca="1" si="46"/>
        <v>34.133333333333333</v>
      </c>
    </row>
    <row r="199" spans="1:14" x14ac:dyDescent="0.25">
      <c r="A199" s="4">
        <f t="shared" si="49"/>
        <v>0.42922453703703523</v>
      </c>
      <c r="B199" s="3">
        <f t="shared" si="42"/>
        <v>1553301085</v>
      </c>
      <c r="C199">
        <f t="shared" si="31"/>
        <v>3</v>
      </c>
      <c r="D199">
        <f t="shared" si="31"/>
        <v>126</v>
      </c>
      <c r="E199">
        <f t="shared" ca="1" si="43"/>
        <v>76030.214808151664</v>
      </c>
      <c r="F199">
        <f t="shared" ca="1" si="44"/>
        <v>45538.361554520001</v>
      </c>
      <c r="G199">
        <f t="shared" ref="G199:G262" ca="1" si="50">INDIRECT("G$"&amp;C199)+INDIRECT("J$"&amp;C199)*($B199-INDIRECT("B$"&amp;D199))</f>
        <v>10668</v>
      </c>
      <c r="H199" s="9">
        <f t="shared" ca="1" si="48"/>
        <v>208.30121358233154</v>
      </c>
      <c r="I199" s="9">
        <f t="shared" ca="1" si="48"/>
        <v>124.76309976799966</v>
      </c>
      <c r="J199" s="9">
        <f t="shared" ca="1" si="48"/>
        <v>0</v>
      </c>
      <c r="K199" s="9">
        <f t="shared" ref="K199:K262" ca="1" si="51">SQRT(H199*H199+I199*I199)</f>
        <v>242.80697404232839</v>
      </c>
      <c r="L199" s="9">
        <f t="shared" ref="L199:L262" ca="1" si="52">DEGREES(ATAN2(I199,H199))</f>
        <v>59.080279440885498</v>
      </c>
      <c r="M199">
        <f t="shared" ca="1" si="45"/>
        <v>56.255555555555553</v>
      </c>
      <c r="N199">
        <f t="shared" ca="1" si="46"/>
        <v>34.15</v>
      </c>
    </row>
    <row r="200" spans="1:14" x14ac:dyDescent="0.25">
      <c r="A200" s="4">
        <f t="shared" si="49"/>
        <v>0.42928240740740559</v>
      </c>
      <c r="B200" s="3">
        <f t="shared" si="42"/>
        <v>1553301090</v>
      </c>
      <c r="C200">
        <f t="shared" ref="C200:D247" si="53">C199</f>
        <v>3</v>
      </c>
      <c r="D200">
        <f t="shared" si="53"/>
        <v>126</v>
      </c>
      <c r="E200">
        <f t="shared" ca="1" si="43"/>
        <v>77071.720876063322</v>
      </c>
      <c r="F200">
        <f t="shared" ca="1" si="44"/>
        <v>46162.177053359999</v>
      </c>
      <c r="G200">
        <f t="shared" ca="1" si="50"/>
        <v>10668</v>
      </c>
      <c r="H200" s="9">
        <f t="shared" ca="1" si="48"/>
        <v>208.30121358233447</v>
      </c>
      <c r="I200" s="9">
        <f t="shared" ca="1" si="48"/>
        <v>124.76309976799966</v>
      </c>
      <c r="J200" s="9">
        <f t="shared" ca="1" si="48"/>
        <v>0</v>
      </c>
      <c r="K200" s="9">
        <f t="shared" ca="1" si="51"/>
        <v>242.80697404233092</v>
      </c>
      <c r="L200" s="9">
        <f t="shared" ca="1" si="52"/>
        <v>59.080279440885853</v>
      </c>
      <c r="M200">
        <f t="shared" ca="1" si="45"/>
        <v>56.261111111111113</v>
      </c>
      <c r="N200">
        <f t="shared" ca="1" si="46"/>
        <v>34.166666666666664</v>
      </c>
    </row>
    <row r="201" spans="1:14" x14ac:dyDescent="0.25">
      <c r="A201" s="4">
        <f t="shared" si="49"/>
        <v>0.42934027777777595</v>
      </c>
      <c r="B201" s="3">
        <f t="shared" ref="B201:B247" si="54">B200+SECOND(A201-A200)</f>
        <v>1553301095</v>
      </c>
      <c r="C201">
        <f t="shared" si="53"/>
        <v>3</v>
      </c>
      <c r="D201">
        <f t="shared" si="53"/>
        <v>126</v>
      </c>
      <c r="E201">
        <f t="shared" ca="1" si="43"/>
        <v>78113.226943974994</v>
      </c>
      <c r="F201">
        <f t="shared" ca="1" si="44"/>
        <v>46785.992552199998</v>
      </c>
      <c r="G201">
        <f t="shared" ca="1" si="50"/>
        <v>10668</v>
      </c>
      <c r="H201" s="9">
        <f t="shared" ca="1" si="48"/>
        <v>208.30121358233447</v>
      </c>
      <c r="I201" s="9">
        <f t="shared" ca="1" si="48"/>
        <v>124.76309976800113</v>
      </c>
      <c r="J201" s="9">
        <f t="shared" ca="1" si="48"/>
        <v>0</v>
      </c>
      <c r="K201" s="9">
        <f t="shared" ca="1" si="51"/>
        <v>242.80697404233166</v>
      </c>
      <c r="L201" s="9">
        <f t="shared" ca="1" si="52"/>
        <v>59.080279440885548</v>
      </c>
      <c r="M201">
        <f t="shared" ca="1" si="45"/>
        <v>56.266666666666666</v>
      </c>
      <c r="N201">
        <f t="shared" ca="1" si="46"/>
        <v>34.18333333333333</v>
      </c>
    </row>
    <row r="202" spans="1:14" x14ac:dyDescent="0.25">
      <c r="A202" s="4">
        <f t="shared" si="49"/>
        <v>0.42939814814814631</v>
      </c>
      <c r="B202" s="3">
        <f t="shared" si="54"/>
        <v>1553301100</v>
      </c>
      <c r="C202">
        <f t="shared" si="53"/>
        <v>3</v>
      </c>
      <c r="D202">
        <f t="shared" si="53"/>
        <v>126</v>
      </c>
      <c r="E202">
        <f t="shared" ca="1" si="43"/>
        <v>79154.733011886667</v>
      </c>
      <c r="F202">
        <f t="shared" ca="1" si="44"/>
        <v>47409.808051040003</v>
      </c>
      <c r="G202">
        <f t="shared" ca="1" si="50"/>
        <v>10668</v>
      </c>
      <c r="H202" s="9">
        <f t="shared" ca="1" si="48"/>
        <v>208.30121358233154</v>
      </c>
      <c r="I202" s="9">
        <f t="shared" ca="1" si="48"/>
        <v>124.76309976799966</v>
      </c>
      <c r="J202" s="9">
        <f t="shared" ca="1" si="48"/>
        <v>0</v>
      </c>
      <c r="K202" s="9">
        <f t="shared" ca="1" si="51"/>
        <v>242.80697404232839</v>
      </c>
      <c r="L202" s="9">
        <f t="shared" ca="1" si="52"/>
        <v>59.080279440885498</v>
      </c>
      <c r="M202">
        <f t="shared" ca="1" si="45"/>
        <v>56.272222222222226</v>
      </c>
      <c r="N202">
        <f t="shared" ca="1" si="46"/>
        <v>34.199999999999996</v>
      </c>
    </row>
    <row r="203" spans="1:14" x14ac:dyDescent="0.25">
      <c r="A203" s="4">
        <f t="shared" si="49"/>
        <v>0.42945601851851667</v>
      </c>
      <c r="B203" s="3">
        <f t="shared" si="54"/>
        <v>1553301105</v>
      </c>
      <c r="C203">
        <f t="shared" si="53"/>
        <v>3</v>
      </c>
      <c r="D203">
        <f t="shared" si="53"/>
        <v>126</v>
      </c>
      <c r="E203">
        <f t="shared" ca="1" si="43"/>
        <v>80196.239079798324</v>
      </c>
      <c r="F203">
        <f t="shared" ca="1" si="44"/>
        <v>48033.623549880002</v>
      </c>
      <c r="G203">
        <f t="shared" ca="1" si="50"/>
        <v>10668</v>
      </c>
      <c r="H203" s="9">
        <f t="shared" ca="1" si="48"/>
        <v>208.30121358233447</v>
      </c>
      <c r="I203" s="9">
        <f t="shared" ca="1" si="48"/>
        <v>124.76309976799966</v>
      </c>
      <c r="J203" s="9">
        <f t="shared" ca="1" si="48"/>
        <v>0</v>
      </c>
      <c r="K203" s="9">
        <f t="shared" ca="1" si="51"/>
        <v>242.80697404233092</v>
      </c>
      <c r="L203" s="9">
        <f t="shared" ca="1" si="52"/>
        <v>59.080279440885853</v>
      </c>
      <c r="M203">
        <f t="shared" ca="1" si="45"/>
        <v>56.277777777777779</v>
      </c>
      <c r="N203">
        <f t="shared" ca="1" si="46"/>
        <v>34.216666666666661</v>
      </c>
    </row>
    <row r="204" spans="1:14" x14ac:dyDescent="0.25">
      <c r="A204" s="4">
        <f t="shared" si="49"/>
        <v>0.42951388888888703</v>
      </c>
      <c r="B204" s="3">
        <f t="shared" si="54"/>
        <v>1553301110</v>
      </c>
      <c r="C204">
        <f t="shared" si="53"/>
        <v>3</v>
      </c>
      <c r="D204">
        <f t="shared" si="53"/>
        <v>126</v>
      </c>
      <c r="E204">
        <f t="shared" ref="E204:E267" ca="1" si="55">INDIRECT("E$"&amp;C204)+INDIRECT("H$"&amp;C204)*($B204-INDIRECT("B$"&amp;D204))</f>
        <v>81237.745147709997</v>
      </c>
      <c r="F204">
        <f t="shared" ref="F204:F267" ca="1" si="56">INDIRECT("F$"&amp;C204)+INDIRECT("I$"&amp;C204)*($B204-INDIRECT("B$"&amp;D204))</f>
        <v>48657.43904872</v>
      </c>
      <c r="G204">
        <f t="shared" ca="1" si="50"/>
        <v>10668</v>
      </c>
      <c r="H204" s="9">
        <f t="shared" ca="1" si="48"/>
        <v>208.30121358233154</v>
      </c>
      <c r="I204" s="9">
        <f t="shared" ca="1" si="48"/>
        <v>124.76309976799966</v>
      </c>
      <c r="J204" s="9">
        <f t="shared" ca="1" si="48"/>
        <v>0</v>
      </c>
      <c r="K204" s="9">
        <f t="shared" ca="1" si="51"/>
        <v>242.80697404232839</v>
      </c>
      <c r="L204" s="9">
        <f t="shared" ca="1" si="52"/>
        <v>59.080279440885498</v>
      </c>
      <c r="M204">
        <f t="shared" ref="M204:M267" ca="1" si="57">INDIRECT("M$"&amp;C204)+INDIRECT("O$"&amp;C204)*($B204-INDIRECT("B$"&amp;D204))</f>
        <v>56.283333333333331</v>
      </c>
      <c r="N204">
        <f t="shared" ref="N204:N267" ca="1" si="58">INDIRECT("N$"&amp;C204)+INDIRECT("P$"&amp;C204)*($B204-INDIRECT("B$"&amp;D204))</f>
        <v>34.233333333333327</v>
      </c>
    </row>
    <row r="205" spans="1:14" x14ac:dyDescent="0.25">
      <c r="A205" s="4">
        <f t="shared" si="49"/>
        <v>0.42957175925925739</v>
      </c>
      <c r="B205" s="3">
        <f t="shared" si="54"/>
        <v>1553301115</v>
      </c>
      <c r="C205">
        <f t="shared" si="53"/>
        <v>3</v>
      </c>
      <c r="D205">
        <f t="shared" si="53"/>
        <v>126</v>
      </c>
      <c r="E205">
        <f t="shared" ca="1" si="55"/>
        <v>82279.251215621654</v>
      </c>
      <c r="F205">
        <f t="shared" ca="1" si="56"/>
        <v>49281.254547559998</v>
      </c>
      <c r="G205">
        <f t="shared" ca="1" si="50"/>
        <v>10668</v>
      </c>
      <c r="H205" s="9">
        <f t="shared" ca="1" si="48"/>
        <v>208.30121358233447</v>
      </c>
      <c r="I205" s="9">
        <f t="shared" ca="1" si="48"/>
        <v>124.76309976800113</v>
      </c>
      <c r="J205" s="9">
        <f t="shared" ca="1" si="48"/>
        <v>0</v>
      </c>
      <c r="K205" s="9">
        <f t="shared" ca="1" si="51"/>
        <v>242.80697404233166</v>
      </c>
      <c r="L205" s="9">
        <f t="shared" ca="1" si="52"/>
        <v>59.080279440885548</v>
      </c>
      <c r="M205">
        <f t="shared" ca="1" si="57"/>
        <v>56.288888888888891</v>
      </c>
      <c r="N205">
        <f t="shared" ca="1" si="58"/>
        <v>34.25</v>
      </c>
    </row>
    <row r="206" spans="1:14" x14ac:dyDescent="0.25">
      <c r="A206" s="4">
        <f t="shared" si="49"/>
        <v>0.42962962962962775</v>
      </c>
      <c r="B206" s="3">
        <f t="shared" si="54"/>
        <v>1553301120</v>
      </c>
      <c r="C206">
        <f t="shared" si="53"/>
        <v>3</v>
      </c>
      <c r="D206">
        <f t="shared" si="53"/>
        <v>126</v>
      </c>
      <c r="E206">
        <f t="shared" ca="1" si="55"/>
        <v>83320.757283533327</v>
      </c>
      <c r="F206">
        <f t="shared" ca="1" si="56"/>
        <v>49905.070046400004</v>
      </c>
      <c r="G206">
        <f t="shared" ca="1" si="50"/>
        <v>10668</v>
      </c>
      <c r="H206" s="9">
        <f t="shared" ca="1" si="48"/>
        <v>208.30121358233447</v>
      </c>
      <c r="I206" s="9">
        <f t="shared" ca="1" si="48"/>
        <v>124.76309976799966</v>
      </c>
      <c r="J206" s="9">
        <f t="shared" ca="1" si="48"/>
        <v>0</v>
      </c>
      <c r="K206" s="9">
        <f t="shared" ca="1" si="51"/>
        <v>242.80697404233092</v>
      </c>
      <c r="L206" s="9">
        <f t="shared" ca="1" si="52"/>
        <v>59.080279440885853</v>
      </c>
      <c r="M206">
        <f t="shared" ca="1" si="57"/>
        <v>56.294444444444444</v>
      </c>
      <c r="N206">
        <f t="shared" ca="1" si="58"/>
        <v>34.266666666666666</v>
      </c>
    </row>
    <row r="207" spans="1:14" x14ac:dyDescent="0.25">
      <c r="A207" s="4">
        <f t="shared" si="49"/>
        <v>0.42968749999999811</v>
      </c>
      <c r="B207" s="3">
        <f t="shared" si="54"/>
        <v>1553301125</v>
      </c>
      <c r="C207">
        <f t="shared" si="53"/>
        <v>3</v>
      </c>
      <c r="D207">
        <f t="shared" si="53"/>
        <v>126</v>
      </c>
      <c r="E207">
        <f t="shared" ca="1" si="55"/>
        <v>84362.263351444999</v>
      </c>
      <c r="F207">
        <f t="shared" ca="1" si="56"/>
        <v>50528.885545240002</v>
      </c>
      <c r="G207">
        <f t="shared" ca="1" si="50"/>
        <v>10668</v>
      </c>
      <c r="H207" s="9">
        <f t="shared" ca="1" si="48"/>
        <v>208.30121358233154</v>
      </c>
      <c r="I207" s="9">
        <f t="shared" ca="1" si="48"/>
        <v>124.76309976799966</v>
      </c>
      <c r="J207" s="9">
        <f t="shared" ca="1" si="48"/>
        <v>0</v>
      </c>
      <c r="K207" s="9">
        <f t="shared" ca="1" si="51"/>
        <v>242.80697404232839</v>
      </c>
      <c r="L207" s="9">
        <f t="shared" ca="1" si="52"/>
        <v>59.080279440885498</v>
      </c>
      <c r="M207">
        <f t="shared" ca="1" si="57"/>
        <v>56.3</v>
      </c>
      <c r="N207">
        <f t="shared" ca="1" si="58"/>
        <v>34.283333333333331</v>
      </c>
    </row>
    <row r="208" spans="1:14" x14ac:dyDescent="0.25">
      <c r="A208" s="4">
        <f t="shared" si="49"/>
        <v>0.42974537037036847</v>
      </c>
      <c r="B208" s="3">
        <f t="shared" si="54"/>
        <v>1553301130</v>
      </c>
      <c r="C208">
        <f t="shared" si="53"/>
        <v>3</v>
      </c>
      <c r="D208">
        <f t="shared" si="53"/>
        <v>126</v>
      </c>
      <c r="E208">
        <f t="shared" ca="1" si="55"/>
        <v>85403.769419356657</v>
      </c>
      <c r="F208">
        <f t="shared" ca="1" si="56"/>
        <v>51152.70104408</v>
      </c>
      <c r="G208">
        <f t="shared" ca="1" si="50"/>
        <v>10668</v>
      </c>
      <c r="H208" s="9">
        <f t="shared" ca="1" si="48"/>
        <v>208.30121358233447</v>
      </c>
      <c r="I208" s="9">
        <f t="shared" ca="1" si="48"/>
        <v>124.76309976799966</v>
      </c>
      <c r="J208" s="9">
        <f t="shared" ca="1" si="48"/>
        <v>0</v>
      </c>
      <c r="K208" s="9">
        <f t="shared" ca="1" si="51"/>
        <v>242.80697404233092</v>
      </c>
      <c r="L208" s="9">
        <f t="shared" ca="1" si="52"/>
        <v>59.080279440885853</v>
      </c>
      <c r="M208">
        <f t="shared" ca="1" si="57"/>
        <v>56.305555555555557</v>
      </c>
      <c r="N208">
        <f t="shared" ca="1" si="58"/>
        <v>34.299999999999997</v>
      </c>
    </row>
    <row r="209" spans="1:14" x14ac:dyDescent="0.25">
      <c r="A209" s="4">
        <f t="shared" si="49"/>
        <v>0.42980324074073883</v>
      </c>
      <c r="B209" s="3">
        <f t="shared" si="54"/>
        <v>1553301135</v>
      </c>
      <c r="C209">
        <f t="shared" si="53"/>
        <v>3</v>
      </c>
      <c r="D209">
        <f t="shared" si="53"/>
        <v>126</v>
      </c>
      <c r="E209">
        <f t="shared" ca="1" si="55"/>
        <v>86445.275487268329</v>
      </c>
      <c r="F209">
        <f t="shared" ca="1" si="56"/>
        <v>51776.516542919999</v>
      </c>
      <c r="G209">
        <f t="shared" ca="1" si="50"/>
        <v>10668</v>
      </c>
      <c r="H209" s="9">
        <f t="shared" ca="1" si="48"/>
        <v>208.30121358233447</v>
      </c>
      <c r="I209" s="9">
        <f t="shared" ca="1" si="48"/>
        <v>124.76309976800113</v>
      </c>
      <c r="J209" s="9">
        <f t="shared" ca="1" si="48"/>
        <v>0</v>
      </c>
      <c r="K209" s="9">
        <f t="shared" ca="1" si="51"/>
        <v>242.80697404233166</v>
      </c>
      <c r="L209" s="9">
        <f t="shared" ca="1" si="52"/>
        <v>59.080279440885548</v>
      </c>
      <c r="M209">
        <f t="shared" ca="1" si="57"/>
        <v>56.31111111111111</v>
      </c>
      <c r="N209">
        <f t="shared" ca="1" si="58"/>
        <v>34.316666666666663</v>
      </c>
    </row>
    <row r="210" spans="1:14" x14ac:dyDescent="0.25">
      <c r="A210" s="4">
        <f t="shared" si="49"/>
        <v>0.4298611111111092</v>
      </c>
      <c r="B210" s="3">
        <f t="shared" si="54"/>
        <v>1553301140</v>
      </c>
      <c r="C210">
        <f t="shared" si="53"/>
        <v>3</v>
      </c>
      <c r="D210">
        <f t="shared" si="53"/>
        <v>126</v>
      </c>
      <c r="E210">
        <f t="shared" ca="1" si="55"/>
        <v>87486.781555180001</v>
      </c>
      <c r="F210">
        <f t="shared" ca="1" si="56"/>
        <v>52400.332041760004</v>
      </c>
      <c r="G210">
        <f t="shared" ca="1" si="50"/>
        <v>10668</v>
      </c>
      <c r="H210" s="9">
        <f t="shared" ca="1" si="48"/>
        <v>208.30121358233154</v>
      </c>
      <c r="I210" s="9">
        <f t="shared" ca="1" si="48"/>
        <v>124.76309976799966</v>
      </c>
      <c r="J210" s="9">
        <f t="shared" ca="1" si="48"/>
        <v>0</v>
      </c>
      <c r="K210" s="9">
        <f t="shared" ca="1" si="51"/>
        <v>242.80697404232839</v>
      </c>
      <c r="L210" s="9">
        <f t="shared" ca="1" si="52"/>
        <v>59.080279440885498</v>
      </c>
      <c r="M210">
        <f t="shared" ca="1" si="57"/>
        <v>56.316666666666663</v>
      </c>
      <c r="N210">
        <f t="shared" ca="1" si="58"/>
        <v>34.333333333333329</v>
      </c>
    </row>
    <row r="211" spans="1:14" x14ac:dyDescent="0.25">
      <c r="A211" s="4">
        <f t="shared" si="49"/>
        <v>0.42991898148147956</v>
      </c>
      <c r="B211" s="3">
        <f t="shared" si="54"/>
        <v>1553301145</v>
      </c>
      <c r="C211">
        <f t="shared" si="53"/>
        <v>3</v>
      </c>
      <c r="D211">
        <f t="shared" si="53"/>
        <v>126</v>
      </c>
      <c r="E211">
        <f t="shared" ca="1" si="55"/>
        <v>88528.287623091659</v>
      </c>
      <c r="F211">
        <f t="shared" ca="1" si="56"/>
        <v>53024.147540600003</v>
      </c>
      <c r="G211">
        <f t="shared" ca="1" si="50"/>
        <v>10668</v>
      </c>
      <c r="H211" s="9">
        <f t="shared" ca="1" si="48"/>
        <v>208.30121358233447</v>
      </c>
      <c r="I211" s="9">
        <f t="shared" ca="1" si="48"/>
        <v>124.76309976799966</v>
      </c>
      <c r="J211" s="9">
        <f t="shared" ca="1" si="48"/>
        <v>0</v>
      </c>
      <c r="K211" s="9">
        <f t="shared" ca="1" si="51"/>
        <v>242.80697404233092</v>
      </c>
      <c r="L211" s="9">
        <f t="shared" ca="1" si="52"/>
        <v>59.080279440885853</v>
      </c>
      <c r="M211">
        <f t="shared" ca="1" si="57"/>
        <v>56.322222222222223</v>
      </c>
      <c r="N211">
        <f t="shared" ca="1" si="58"/>
        <v>34.349999999999994</v>
      </c>
    </row>
    <row r="212" spans="1:14" x14ac:dyDescent="0.25">
      <c r="A212" s="4">
        <f t="shared" si="49"/>
        <v>0.42997685185184992</v>
      </c>
      <c r="B212" s="3">
        <f t="shared" si="54"/>
        <v>1553301150</v>
      </c>
      <c r="C212">
        <f t="shared" si="53"/>
        <v>3</v>
      </c>
      <c r="D212">
        <f t="shared" si="53"/>
        <v>126</v>
      </c>
      <c r="E212">
        <f t="shared" ca="1" si="55"/>
        <v>89569.793691003331</v>
      </c>
      <c r="F212">
        <f t="shared" ca="1" si="56"/>
        <v>53647.963039440001</v>
      </c>
      <c r="G212">
        <f t="shared" ca="1" si="50"/>
        <v>10668</v>
      </c>
      <c r="H212" s="9">
        <f t="shared" ca="1" si="48"/>
        <v>208.30121358233154</v>
      </c>
      <c r="I212" s="9">
        <f t="shared" ca="1" si="48"/>
        <v>124.76309976799966</v>
      </c>
      <c r="J212" s="9">
        <f t="shared" ca="1" si="48"/>
        <v>0</v>
      </c>
      <c r="K212" s="9">
        <f t="shared" ca="1" si="51"/>
        <v>242.80697404232839</v>
      </c>
      <c r="L212" s="9">
        <f t="shared" ca="1" si="52"/>
        <v>59.080279440885498</v>
      </c>
      <c r="M212">
        <f t="shared" ca="1" si="57"/>
        <v>56.327777777777776</v>
      </c>
      <c r="N212">
        <f t="shared" ca="1" si="58"/>
        <v>34.36666666666666</v>
      </c>
    </row>
    <row r="213" spans="1:14" x14ac:dyDescent="0.25">
      <c r="A213" s="4">
        <f t="shared" si="49"/>
        <v>0.43003472222222028</v>
      </c>
      <c r="B213" s="3">
        <f t="shared" si="54"/>
        <v>1553301155</v>
      </c>
      <c r="C213">
        <f t="shared" si="53"/>
        <v>3</v>
      </c>
      <c r="D213">
        <f t="shared" si="53"/>
        <v>126</v>
      </c>
      <c r="E213">
        <f t="shared" ca="1" si="55"/>
        <v>90611.299758914989</v>
      </c>
      <c r="F213">
        <f t="shared" ca="1" si="56"/>
        <v>54271.778538279999</v>
      </c>
      <c r="G213">
        <f t="shared" ca="1" si="50"/>
        <v>10668</v>
      </c>
      <c r="H213" s="9">
        <f t="shared" ca="1" si="48"/>
        <v>208.30121358233447</v>
      </c>
      <c r="I213" s="9">
        <f t="shared" ca="1" si="48"/>
        <v>124.76309976799966</v>
      </c>
      <c r="J213" s="9">
        <f t="shared" ca="1" si="48"/>
        <v>0</v>
      </c>
      <c r="K213" s="9">
        <f t="shared" ca="1" si="51"/>
        <v>242.80697404233092</v>
      </c>
      <c r="L213" s="9">
        <f t="shared" ca="1" si="52"/>
        <v>59.080279440885853</v>
      </c>
      <c r="M213">
        <f t="shared" ca="1" si="57"/>
        <v>56.333333333333336</v>
      </c>
      <c r="N213">
        <f t="shared" ca="1" si="58"/>
        <v>34.383333333333333</v>
      </c>
    </row>
    <row r="214" spans="1:14" x14ac:dyDescent="0.25">
      <c r="A214" s="4">
        <f t="shared" si="49"/>
        <v>0.43009259259259064</v>
      </c>
      <c r="B214" s="3">
        <f t="shared" si="54"/>
        <v>1553301160</v>
      </c>
      <c r="C214">
        <f t="shared" si="53"/>
        <v>3</v>
      </c>
      <c r="D214">
        <f t="shared" si="53"/>
        <v>126</v>
      </c>
      <c r="E214">
        <f t="shared" ca="1" si="55"/>
        <v>91652.805826826661</v>
      </c>
      <c r="F214">
        <f t="shared" ca="1" si="56"/>
        <v>54895.594037119998</v>
      </c>
      <c r="G214">
        <f t="shared" ca="1" si="50"/>
        <v>10668</v>
      </c>
      <c r="H214" s="9">
        <f t="shared" ca="1" si="48"/>
        <v>208.30121358233447</v>
      </c>
      <c r="I214" s="9">
        <f t="shared" ca="1" si="48"/>
        <v>124.76309976800113</v>
      </c>
      <c r="J214" s="9">
        <f t="shared" ca="1" si="48"/>
        <v>0</v>
      </c>
      <c r="K214" s="9">
        <f t="shared" ca="1" si="51"/>
        <v>242.80697404233166</v>
      </c>
      <c r="L214" s="9">
        <f t="shared" ca="1" si="52"/>
        <v>59.080279440885548</v>
      </c>
      <c r="M214">
        <f t="shared" ca="1" si="57"/>
        <v>56.338888888888889</v>
      </c>
      <c r="N214">
        <f t="shared" ca="1" si="58"/>
        <v>34.4</v>
      </c>
    </row>
    <row r="215" spans="1:14" x14ac:dyDescent="0.25">
      <c r="A215" s="4">
        <f t="shared" si="49"/>
        <v>0.430150462962961</v>
      </c>
      <c r="B215" s="3">
        <f t="shared" si="54"/>
        <v>1553301165</v>
      </c>
      <c r="C215">
        <f t="shared" si="53"/>
        <v>3</v>
      </c>
      <c r="D215">
        <f t="shared" si="53"/>
        <v>126</v>
      </c>
      <c r="E215">
        <f t="shared" ca="1" si="55"/>
        <v>92694.311894738334</v>
      </c>
      <c r="F215">
        <f t="shared" ca="1" si="56"/>
        <v>55519.409535960003</v>
      </c>
      <c r="G215">
        <f t="shared" ca="1" si="50"/>
        <v>10668</v>
      </c>
      <c r="H215" s="9">
        <f t="shared" ca="1" si="48"/>
        <v>208.30121358233154</v>
      </c>
      <c r="I215" s="9">
        <f t="shared" ca="1" si="48"/>
        <v>124.76309976799966</v>
      </c>
      <c r="J215" s="9">
        <f t="shared" ca="1" si="48"/>
        <v>0</v>
      </c>
      <c r="K215" s="9">
        <f t="shared" ca="1" si="51"/>
        <v>242.80697404232839</v>
      </c>
      <c r="L215" s="9">
        <f t="shared" ca="1" si="52"/>
        <v>59.080279440885498</v>
      </c>
      <c r="M215">
        <f t="shared" ca="1" si="57"/>
        <v>56.344444444444441</v>
      </c>
      <c r="N215">
        <f t="shared" ca="1" si="58"/>
        <v>34.416666666666664</v>
      </c>
    </row>
    <row r="216" spans="1:14" x14ac:dyDescent="0.25">
      <c r="A216" s="4">
        <f t="shared" si="49"/>
        <v>0.43020833333333136</v>
      </c>
      <c r="B216" s="3">
        <f t="shared" si="54"/>
        <v>1553301170</v>
      </c>
      <c r="C216">
        <f t="shared" si="53"/>
        <v>3</v>
      </c>
      <c r="D216">
        <f t="shared" si="53"/>
        <v>126</v>
      </c>
      <c r="E216">
        <f t="shared" ca="1" si="55"/>
        <v>93735.817962649991</v>
      </c>
      <c r="F216">
        <f t="shared" ca="1" si="56"/>
        <v>56143.225034800002</v>
      </c>
      <c r="G216">
        <f t="shared" ca="1" si="50"/>
        <v>10668</v>
      </c>
      <c r="H216" s="9">
        <f t="shared" ca="1" si="48"/>
        <v>208.30121358233447</v>
      </c>
      <c r="I216" s="9">
        <f t="shared" ca="1" si="48"/>
        <v>124.76309976799966</v>
      </c>
      <c r="J216" s="9">
        <f t="shared" ca="1" si="48"/>
        <v>0</v>
      </c>
      <c r="K216" s="9">
        <f t="shared" ca="1" si="51"/>
        <v>242.80697404233092</v>
      </c>
      <c r="L216" s="9">
        <f t="shared" ca="1" si="52"/>
        <v>59.080279440885853</v>
      </c>
      <c r="M216">
        <f t="shared" ca="1" si="57"/>
        <v>56.35</v>
      </c>
      <c r="N216">
        <f t="shared" ca="1" si="58"/>
        <v>34.43333333333333</v>
      </c>
    </row>
    <row r="217" spans="1:14" x14ac:dyDescent="0.25">
      <c r="A217" s="4">
        <f t="shared" si="49"/>
        <v>0.43026620370370172</v>
      </c>
      <c r="B217" s="3">
        <f t="shared" si="54"/>
        <v>1553301175</v>
      </c>
      <c r="C217">
        <f t="shared" si="53"/>
        <v>3</v>
      </c>
      <c r="D217">
        <f t="shared" si="53"/>
        <v>126</v>
      </c>
      <c r="E217">
        <f t="shared" ca="1" si="55"/>
        <v>94777.324030561664</v>
      </c>
      <c r="F217">
        <f t="shared" ca="1" si="56"/>
        <v>56767.04053364</v>
      </c>
      <c r="G217">
        <f t="shared" ca="1" si="50"/>
        <v>10668</v>
      </c>
      <c r="H217" s="9">
        <f t="shared" ca="1" si="48"/>
        <v>208.30121358233154</v>
      </c>
      <c r="I217" s="9">
        <f t="shared" ca="1" si="48"/>
        <v>124.76309976799966</v>
      </c>
      <c r="J217" s="9">
        <f t="shared" ca="1" si="48"/>
        <v>0</v>
      </c>
      <c r="K217" s="9">
        <f t="shared" ca="1" si="51"/>
        <v>242.80697404232839</v>
      </c>
      <c r="L217" s="9">
        <f t="shared" ca="1" si="52"/>
        <v>59.080279440885498</v>
      </c>
      <c r="M217">
        <f t="shared" ca="1" si="57"/>
        <v>56.355555555555554</v>
      </c>
      <c r="N217">
        <f t="shared" ca="1" si="58"/>
        <v>34.449999999999996</v>
      </c>
    </row>
    <row r="218" spans="1:14" x14ac:dyDescent="0.25">
      <c r="A218" s="4">
        <f t="shared" si="49"/>
        <v>0.43032407407407208</v>
      </c>
      <c r="B218" s="3">
        <f t="shared" si="54"/>
        <v>1553301180</v>
      </c>
      <c r="C218">
        <f t="shared" si="53"/>
        <v>3</v>
      </c>
      <c r="D218">
        <f t="shared" si="53"/>
        <v>126</v>
      </c>
      <c r="E218">
        <f t="shared" ca="1" si="55"/>
        <v>95818.830098473321</v>
      </c>
      <c r="F218">
        <f t="shared" ca="1" si="56"/>
        <v>57390.856032479998</v>
      </c>
      <c r="G218">
        <f t="shared" ca="1" si="50"/>
        <v>10668</v>
      </c>
      <c r="H218" s="9">
        <f t="shared" ca="1" si="48"/>
        <v>208.30121358233447</v>
      </c>
      <c r="I218" s="9">
        <f t="shared" ca="1" si="48"/>
        <v>124.76309976800113</v>
      </c>
      <c r="J218" s="9">
        <f t="shared" ca="1" si="48"/>
        <v>0</v>
      </c>
      <c r="K218" s="9">
        <f t="shared" ca="1" si="51"/>
        <v>242.80697404233166</v>
      </c>
      <c r="L218" s="9">
        <f t="shared" ca="1" si="52"/>
        <v>59.080279440885548</v>
      </c>
      <c r="M218">
        <f t="shared" ca="1" si="57"/>
        <v>56.361111111111114</v>
      </c>
      <c r="N218">
        <f t="shared" ca="1" si="58"/>
        <v>34.466666666666661</v>
      </c>
    </row>
    <row r="219" spans="1:14" x14ac:dyDescent="0.25">
      <c r="A219" s="4">
        <f t="shared" si="49"/>
        <v>0.43038194444444244</v>
      </c>
      <c r="B219" s="3">
        <f t="shared" si="54"/>
        <v>1553301185</v>
      </c>
      <c r="C219">
        <f t="shared" si="53"/>
        <v>3</v>
      </c>
      <c r="D219">
        <f t="shared" si="53"/>
        <v>126</v>
      </c>
      <c r="E219">
        <f t="shared" ca="1" si="55"/>
        <v>96860.336166384994</v>
      </c>
      <c r="F219">
        <f t="shared" ca="1" si="56"/>
        <v>58014.671531320004</v>
      </c>
      <c r="G219">
        <f t="shared" ca="1" si="50"/>
        <v>10668</v>
      </c>
      <c r="H219" s="9">
        <f t="shared" ca="1" si="48"/>
        <v>208.30121358233447</v>
      </c>
      <c r="I219" s="9">
        <f t="shared" ca="1" si="48"/>
        <v>124.76309976799966</v>
      </c>
      <c r="J219" s="9">
        <f t="shared" ca="1" si="48"/>
        <v>0</v>
      </c>
      <c r="K219" s="9">
        <f t="shared" ca="1" si="51"/>
        <v>242.80697404233092</v>
      </c>
      <c r="L219" s="9">
        <f t="shared" ca="1" si="52"/>
        <v>59.080279440885853</v>
      </c>
      <c r="M219">
        <f t="shared" ca="1" si="57"/>
        <v>56.366666666666667</v>
      </c>
      <c r="N219">
        <f t="shared" ca="1" si="58"/>
        <v>34.483333333333327</v>
      </c>
    </row>
    <row r="220" spans="1:14" x14ac:dyDescent="0.25">
      <c r="A220" s="4">
        <f t="shared" si="49"/>
        <v>0.4304398148148128</v>
      </c>
      <c r="B220" s="3">
        <f t="shared" si="54"/>
        <v>1553301190</v>
      </c>
      <c r="C220">
        <f t="shared" si="53"/>
        <v>3</v>
      </c>
      <c r="D220">
        <f t="shared" si="53"/>
        <v>126</v>
      </c>
      <c r="E220">
        <f t="shared" ca="1" si="55"/>
        <v>97901.842234296666</v>
      </c>
      <c r="F220">
        <f t="shared" ca="1" si="56"/>
        <v>58638.487030160002</v>
      </c>
      <c r="G220">
        <f t="shared" ca="1" si="50"/>
        <v>10668</v>
      </c>
      <c r="H220" s="9">
        <f t="shared" ca="1" si="48"/>
        <v>208.30121358233154</v>
      </c>
      <c r="I220" s="9">
        <f t="shared" ca="1" si="48"/>
        <v>124.76309976799966</v>
      </c>
      <c r="J220" s="9">
        <f t="shared" ca="1" si="48"/>
        <v>0</v>
      </c>
      <c r="K220" s="9">
        <f t="shared" ca="1" si="51"/>
        <v>242.80697404232839</v>
      </c>
      <c r="L220" s="9">
        <f t="shared" ca="1" si="52"/>
        <v>59.080279440885498</v>
      </c>
      <c r="M220">
        <f t="shared" ca="1" si="57"/>
        <v>56.37222222222222</v>
      </c>
      <c r="N220">
        <f t="shared" ca="1" si="58"/>
        <v>34.5</v>
      </c>
    </row>
    <row r="221" spans="1:14" x14ac:dyDescent="0.25">
      <c r="A221" s="4">
        <f t="shared" si="49"/>
        <v>0.43049768518518317</v>
      </c>
      <c r="B221" s="3">
        <f t="shared" si="54"/>
        <v>1553301195</v>
      </c>
      <c r="C221">
        <f t="shared" si="53"/>
        <v>3</v>
      </c>
      <c r="D221">
        <f t="shared" si="53"/>
        <v>126</v>
      </c>
      <c r="E221">
        <f t="shared" ca="1" si="55"/>
        <v>98943.348302208324</v>
      </c>
      <c r="F221">
        <f t="shared" ca="1" si="56"/>
        <v>59262.302529000001</v>
      </c>
      <c r="G221">
        <f t="shared" ca="1" si="50"/>
        <v>10668</v>
      </c>
      <c r="H221" s="9">
        <f t="shared" ca="1" si="48"/>
        <v>208.30121358233447</v>
      </c>
      <c r="I221" s="9">
        <f t="shared" ca="1" si="48"/>
        <v>124.76309976799966</v>
      </c>
      <c r="J221" s="9">
        <f t="shared" ca="1" si="48"/>
        <v>0</v>
      </c>
      <c r="K221" s="9">
        <f t="shared" ca="1" si="51"/>
        <v>242.80697404233092</v>
      </c>
      <c r="L221" s="9">
        <f t="shared" ca="1" si="52"/>
        <v>59.080279440885853</v>
      </c>
      <c r="M221">
        <f t="shared" ca="1" si="57"/>
        <v>56.37777777777778</v>
      </c>
      <c r="N221">
        <f t="shared" ca="1" si="58"/>
        <v>34.516666666666666</v>
      </c>
    </row>
    <row r="222" spans="1:14" x14ac:dyDescent="0.25">
      <c r="A222" s="4">
        <f t="shared" si="49"/>
        <v>0.43055555555555353</v>
      </c>
      <c r="B222" s="3">
        <f t="shared" si="54"/>
        <v>1553301200</v>
      </c>
      <c r="C222">
        <f t="shared" si="53"/>
        <v>3</v>
      </c>
      <c r="D222">
        <f t="shared" si="53"/>
        <v>126</v>
      </c>
      <c r="E222">
        <f t="shared" ca="1" si="55"/>
        <v>99984.854370119996</v>
      </c>
      <c r="F222">
        <f t="shared" ca="1" si="56"/>
        <v>59886.118027839999</v>
      </c>
      <c r="G222">
        <f t="shared" ca="1" si="50"/>
        <v>10668</v>
      </c>
      <c r="H222" s="9">
        <f t="shared" ca="1" si="48"/>
        <v>208.30121358233154</v>
      </c>
      <c r="I222" s="9">
        <f t="shared" ca="1" si="48"/>
        <v>124.76309976800113</v>
      </c>
      <c r="J222" s="9">
        <f t="shared" ca="1" si="48"/>
        <v>0</v>
      </c>
      <c r="K222" s="9">
        <f t="shared" ca="1" si="51"/>
        <v>242.80697404232916</v>
      </c>
      <c r="L222" s="9">
        <f t="shared" ca="1" si="52"/>
        <v>59.080279440885192</v>
      </c>
      <c r="M222">
        <f t="shared" ca="1" si="57"/>
        <v>56.383333333333333</v>
      </c>
      <c r="N222">
        <f t="shared" ca="1" si="58"/>
        <v>34.533333333333331</v>
      </c>
    </row>
    <row r="223" spans="1:14" x14ac:dyDescent="0.25">
      <c r="A223" s="4">
        <f t="shared" si="49"/>
        <v>0.43061342592592389</v>
      </c>
      <c r="B223" s="3">
        <f t="shared" si="54"/>
        <v>1553301205</v>
      </c>
      <c r="C223">
        <f t="shared" si="53"/>
        <v>3</v>
      </c>
      <c r="D223">
        <f t="shared" si="53"/>
        <v>126</v>
      </c>
      <c r="E223">
        <f t="shared" ca="1" si="55"/>
        <v>101026.36043803165</v>
      </c>
      <c r="F223">
        <f t="shared" ca="1" si="56"/>
        <v>60509.933526680004</v>
      </c>
      <c r="G223">
        <f t="shared" ca="1" si="50"/>
        <v>10668</v>
      </c>
      <c r="H223" s="9">
        <f t="shared" ca="1" si="48"/>
        <v>208.30121358233447</v>
      </c>
      <c r="I223" s="9">
        <f t="shared" ca="1" si="48"/>
        <v>124.76309976799966</v>
      </c>
      <c r="J223" s="9">
        <f t="shared" ca="1" si="48"/>
        <v>0</v>
      </c>
      <c r="K223" s="9">
        <f t="shared" ca="1" si="51"/>
        <v>242.80697404233092</v>
      </c>
      <c r="L223" s="9">
        <f t="shared" ca="1" si="52"/>
        <v>59.080279440885853</v>
      </c>
      <c r="M223">
        <f t="shared" ca="1" si="57"/>
        <v>56.388888888888886</v>
      </c>
      <c r="N223">
        <f t="shared" ca="1" si="58"/>
        <v>34.549999999999997</v>
      </c>
    </row>
    <row r="224" spans="1:14" x14ac:dyDescent="0.25">
      <c r="A224" s="4">
        <f t="shared" si="49"/>
        <v>0.43067129629629425</v>
      </c>
      <c r="B224" s="3">
        <f t="shared" si="54"/>
        <v>1553301210</v>
      </c>
      <c r="C224">
        <f t="shared" si="53"/>
        <v>3</v>
      </c>
      <c r="D224">
        <f t="shared" si="53"/>
        <v>126</v>
      </c>
      <c r="E224">
        <f t="shared" ca="1" si="55"/>
        <v>102067.86650594333</v>
      </c>
      <c r="F224">
        <f t="shared" ca="1" si="56"/>
        <v>61133.749025520003</v>
      </c>
      <c r="G224">
        <f t="shared" ca="1" si="50"/>
        <v>10668</v>
      </c>
      <c r="H224" s="9">
        <f t="shared" ca="1" si="48"/>
        <v>208.30121358233447</v>
      </c>
      <c r="I224" s="9">
        <f t="shared" ca="1" si="48"/>
        <v>124.76309976799966</v>
      </c>
      <c r="J224" s="9">
        <f t="shared" ca="1" si="48"/>
        <v>0</v>
      </c>
      <c r="K224" s="9">
        <f t="shared" ca="1" si="51"/>
        <v>242.80697404233092</v>
      </c>
      <c r="L224" s="9">
        <f t="shared" ca="1" si="52"/>
        <v>59.080279440885853</v>
      </c>
      <c r="M224">
        <f t="shared" ca="1" si="57"/>
        <v>56.394444444444446</v>
      </c>
      <c r="N224">
        <f t="shared" ca="1" si="58"/>
        <v>34.566666666666663</v>
      </c>
    </row>
    <row r="225" spans="1:14" x14ac:dyDescent="0.25">
      <c r="A225" s="4">
        <f t="shared" si="49"/>
        <v>0.43072916666666461</v>
      </c>
      <c r="B225" s="3">
        <f t="shared" si="54"/>
        <v>1553301215</v>
      </c>
      <c r="C225">
        <f t="shared" si="53"/>
        <v>3</v>
      </c>
      <c r="D225">
        <f t="shared" si="53"/>
        <v>126</v>
      </c>
      <c r="E225">
        <f t="shared" ca="1" si="55"/>
        <v>103109.372573855</v>
      </c>
      <c r="F225">
        <f t="shared" ca="1" si="56"/>
        <v>61757.564524360001</v>
      </c>
      <c r="G225">
        <f t="shared" ca="1" si="50"/>
        <v>10668</v>
      </c>
      <c r="H225" s="9">
        <f t="shared" ca="1" si="48"/>
        <v>208.30121358233154</v>
      </c>
      <c r="I225" s="9">
        <f t="shared" ca="1" si="48"/>
        <v>124.76309976799966</v>
      </c>
      <c r="J225" s="9">
        <f t="shared" ca="1" si="48"/>
        <v>0</v>
      </c>
      <c r="K225" s="9">
        <f t="shared" ca="1" si="51"/>
        <v>242.80697404232839</v>
      </c>
      <c r="L225" s="9">
        <f t="shared" ca="1" si="52"/>
        <v>59.080279440885498</v>
      </c>
      <c r="M225">
        <f t="shared" ca="1" si="57"/>
        <v>56.4</v>
      </c>
      <c r="N225">
        <f t="shared" ca="1" si="58"/>
        <v>34.583333333333329</v>
      </c>
    </row>
    <row r="226" spans="1:14" x14ac:dyDescent="0.25">
      <c r="A226" s="4">
        <f t="shared" si="49"/>
        <v>0.43078703703703497</v>
      </c>
      <c r="B226" s="3">
        <f t="shared" si="54"/>
        <v>1553301220</v>
      </c>
      <c r="C226">
        <f t="shared" si="53"/>
        <v>3</v>
      </c>
      <c r="D226">
        <f t="shared" si="53"/>
        <v>126</v>
      </c>
      <c r="E226">
        <f t="shared" ca="1" si="55"/>
        <v>104150.87864176666</v>
      </c>
      <c r="F226">
        <f t="shared" ca="1" si="56"/>
        <v>62381.380023199999</v>
      </c>
      <c r="G226">
        <f t="shared" ca="1" si="50"/>
        <v>10668</v>
      </c>
      <c r="H226" s="9">
        <f t="shared" ca="1" si="48"/>
        <v>208.30121358233447</v>
      </c>
      <c r="I226" s="9">
        <f t="shared" ca="1" si="48"/>
        <v>124.76309976799966</v>
      </c>
      <c r="J226" s="9">
        <f t="shared" ca="1" si="48"/>
        <v>0</v>
      </c>
      <c r="K226" s="9">
        <f t="shared" ca="1" si="51"/>
        <v>242.80697404233092</v>
      </c>
      <c r="L226" s="9">
        <f t="shared" ca="1" si="52"/>
        <v>59.080279440885853</v>
      </c>
      <c r="M226">
        <f t="shared" ca="1" si="57"/>
        <v>56.405555555555551</v>
      </c>
      <c r="N226">
        <f t="shared" ca="1" si="58"/>
        <v>34.599999999999994</v>
      </c>
    </row>
    <row r="227" spans="1:14" x14ac:dyDescent="0.25">
      <c r="A227" s="4">
        <f t="shared" si="49"/>
        <v>0.43084490740740533</v>
      </c>
      <c r="B227" s="3">
        <f t="shared" si="54"/>
        <v>1553301225</v>
      </c>
      <c r="C227">
        <f t="shared" si="53"/>
        <v>3</v>
      </c>
      <c r="D227">
        <f t="shared" si="53"/>
        <v>126</v>
      </c>
      <c r="E227">
        <f t="shared" ca="1" si="55"/>
        <v>105192.38470967833</v>
      </c>
      <c r="F227">
        <f t="shared" ca="1" si="56"/>
        <v>63005.195522039998</v>
      </c>
      <c r="G227">
        <f t="shared" ca="1" si="50"/>
        <v>10668</v>
      </c>
      <c r="H227" s="9">
        <f t="shared" ca="1" si="48"/>
        <v>208.30121358233447</v>
      </c>
      <c r="I227" s="9">
        <f t="shared" ca="1" si="48"/>
        <v>124.76309976800113</v>
      </c>
      <c r="J227" s="9">
        <f t="shared" ca="1" si="48"/>
        <v>0</v>
      </c>
      <c r="K227" s="9">
        <f t="shared" ca="1" si="51"/>
        <v>242.80697404233166</v>
      </c>
      <c r="L227" s="9">
        <f t="shared" ca="1" si="52"/>
        <v>59.080279440885548</v>
      </c>
      <c r="M227">
        <f t="shared" ca="1" si="57"/>
        <v>56.411111111111111</v>
      </c>
      <c r="N227">
        <f t="shared" ca="1" si="58"/>
        <v>34.61666666666666</v>
      </c>
    </row>
    <row r="228" spans="1:14" x14ac:dyDescent="0.25">
      <c r="A228" s="4">
        <f t="shared" si="49"/>
        <v>0.43090277777777569</v>
      </c>
      <c r="B228" s="3">
        <f t="shared" si="54"/>
        <v>1553301230</v>
      </c>
      <c r="C228">
        <f t="shared" si="53"/>
        <v>3</v>
      </c>
      <c r="D228">
        <f t="shared" si="53"/>
        <v>126</v>
      </c>
      <c r="E228">
        <f t="shared" ca="1" si="55"/>
        <v>106233.89077759</v>
      </c>
      <c r="F228">
        <f t="shared" ca="1" si="56"/>
        <v>63629.011020880003</v>
      </c>
      <c r="G228">
        <f t="shared" ca="1" si="50"/>
        <v>10668</v>
      </c>
      <c r="H228" s="9">
        <f t="shared" ca="1" si="48"/>
        <v>208.30121358233154</v>
      </c>
      <c r="I228" s="9">
        <f t="shared" ca="1" si="48"/>
        <v>124.76309976799966</v>
      </c>
      <c r="J228" s="9">
        <f t="shared" ca="1" si="48"/>
        <v>0</v>
      </c>
      <c r="K228" s="9">
        <f t="shared" ca="1" si="51"/>
        <v>242.80697404232839</v>
      </c>
      <c r="L228" s="9">
        <f t="shared" ca="1" si="52"/>
        <v>59.080279440885498</v>
      </c>
      <c r="M228">
        <f t="shared" ca="1" si="57"/>
        <v>56.416666666666664</v>
      </c>
      <c r="N228">
        <f t="shared" ca="1" si="58"/>
        <v>34.633333333333333</v>
      </c>
    </row>
    <row r="229" spans="1:14" x14ac:dyDescent="0.25">
      <c r="A229" s="4">
        <f t="shared" si="49"/>
        <v>0.43096064814814605</v>
      </c>
      <c r="B229" s="3">
        <f t="shared" si="54"/>
        <v>1553301235</v>
      </c>
      <c r="C229">
        <f t="shared" si="53"/>
        <v>3</v>
      </c>
      <c r="D229">
        <f t="shared" si="53"/>
        <v>126</v>
      </c>
      <c r="E229">
        <f t="shared" ca="1" si="55"/>
        <v>107275.39684550166</v>
      </c>
      <c r="F229">
        <f t="shared" ca="1" si="56"/>
        <v>64252.826519720002</v>
      </c>
      <c r="G229">
        <f t="shared" ca="1" si="50"/>
        <v>10668</v>
      </c>
      <c r="H229" s="9">
        <f t="shared" ca="1" si="48"/>
        <v>208.30121358233447</v>
      </c>
      <c r="I229" s="9">
        <f t="shared" ca="1" si="48"/>
        <v>124.76309976799966</v>
      </c>
      <c r="J229" s="9">
        <f t="shared" ca="1" si="48"/>
        <v>0</v>
      </c>
      <c r="K229" s="9">
        <f t="shared" ca="1" si="51"/>
        <v>242.80697404233092</v>
      </c>
      <c r="L229" s="9">
        <f t="shared" ca="1" si="52"/>
        <v>59.080279440885853</v>
      </c>
      <c r="M229">
        <f t="shared" ca="1" si="57"/>
        <v>56.422222222222224</v>
      </c>
      <c r="N229">
        <f t="shared" ca="1" si="58"/>
        <v>34.65</v>
      </c>
    </row>
    <row r="230" spans="1:14" x14ac:dyDescent="0.25">
      <c r="A230" s="4">
        <f t="shared" si="49"/>
        <v>0.43101851851851641</v>
      </c>
      <c r="B230" s="3">
        <f t="shared" si="54"/>
        <v>1553301240</v>
      </c>
      <c r="C230">
        <f t="shared" si="53"/>
        <v>3</v>
      </c>
      <c r="D230">
        <f t="shared" si="53"/>
        <v>126</v>
      </c>
      <c r="E230">
        <f t="shared" ca="1" si="55"/>
        <v>108316.90291341333</v>
      </c>
      <c r="F230">
        <f t="shared" ca="1" si="56"/>
        <v>64876.64201856</v>
      </c>
      <c r="G230">
        <f t="shared" ca="1" si="50"/>
        <v>10668</v>
      </c>
      <c r="H230" s="9">
        <f t="shared" ca="1" si="48"/>
        <v>208.30121358233154</v>
      </c>
      <c r="I230" s="9">
        <f t="shared" ca="1" si="48"/>
        <v>124.76309976799966</v>
      </c>
      <c r="J230" s="9">
        <f t="shared" ca="1" si="48"/>
        <v>0</v>
      </c>
      <c r="K230" s="9">
        <f t="shared" ca="1" si="51"/>
        <v>242.80697404232839</v>
      </c>
      <c r="L230" s="9">
        <f t="shared" ca="1" si="52"/>
        <v>59.080279440885498</v>
      </c>
      <c r="M230">
        <f t="shared" ca="1" si="57"/>
        <v>56.427777777777777</v>
      </c>
      <c r="N230">
        <f t="shared" ca="1" si="58"/>
        <v>34.666666666666664</v>
      </c>
    </row>
    <row r="231" spans="1:14" x14ac:dyDescent="0.25">
      <c r="A231" s="4">
        <f t="shared" si="49"/>
        <v>0.43107638888888677</v>
      </c>
      <c r="B231" s="3">
        <f t="shared" si="54"/>
        <v>1553301245</v>
      </c>
      <c r="C231">
        <f t="shared" si="53"/>
        <v>3</v>
      </c>
      <c r="D231">
        <f t="shared" si="53"/>
        <v>126</v>
      </c>
      <c r="E231">
        <f t="shared" ca="1" si="55"/>
        <v>109358.40898132499</v>
      </c>
      <c r="F231">
        <f t="shared" ca="1" si="56"/>
        <v>65500.457517399998</v>
      </c>
      <c r="G231">
        <f t="shared" ca="1" si="50"/>
        <v>10668</v>
      </c>
      <c r="H231" s="9">
        <f t="shared" ca="1" si="48"/>
        <v>208.30121358233447</v>
      </c>
      <c r="I231" s="9">
        <f t="shared" ca="1" si="48"/>
        <v>124.76309976799966</v>
      </c>
      <c r="J231" s="9">
        <f t="shared" ca="1" si="48"/>
        <v>0</v>
      </c>
      <c r="K231" s="9">
        <f t="shared" ca="1" si="51"/>
        <v>242.80697404233092</v>
      </c>
      <c r="L231" s="9">
        <f t="shared" ca="1" si="52"/>
        <v>59.080279440885853</v>
      </c>
      <c r="M231">
        <f t="shared" ca="1" si="57"/>
        <v>56.43333333333333</v>
      </c>
      <c r="N231">
        <f t="shared" ca="1" si="58"/>
        <v>34.68333333333333</v>
      </c>
    </row>
    <row r="232" spans="1:14" x14ac:dyDescent="0.25">
      <c r="A232" s="4">
        <f t="shared" si="49"/>
        <v>0.43113425925925714</v>
      </c>
      <c r="B232" s="3">
        <f t="shared" si="54"/>
        <v>1553301250</v>
      </c>
      <c r="C232">
        <f t="shared" si="53"/>
        <v>3</v>
      </c>
      <c r="D232">
        <f t="shared" si="53"/>
        <v>126</v>
      </c>
      <c r="E232">
        <f t="shared" ca="1" si="55"/>
        <v>110399.91504923666</v>
      </c>
      <c r="F232">
        <f t="shared" ca="1" si="56"/>
        <v>66124.273016239997</v>
      </c>
      <c r="G232">
        <f t="shared" ca="1" si="50"/>
        <v>10668</v>
      </c>
      <c r="H232" s="9">
        <f t="shared" ca="1" si="48"/>
        <v>208.30121358233447</v>
      </c>
      <c r="I232" s="9">
        <f t="shared" ca="1" si="48"/>
        <v>124.76309976800113</v>
      </c>
      <c r="J232" s="9">
        <f t="shared" ca="1" si="48"/>
        <v>0</v>
      </c>
      <c r="K232" s="9">
        <f t="shared" ca="1" si="51"/>
        <v>242.80697404233166</v>
      </c>
      <c r="L232" s="9">
        <f t="shared" ca="1" si="52"/>
        <v>59.080279440885548</v>
      </c>
      <c r="M232">
        <f t="shared" ca="1" si="57"/>
        <v>56.43888888888889</v>
      </c>
      <c r="N232">
        <f t="shared" ca="1" si="58"/>
        <v>34.699999999999996</v>
      </c>
    </row>
    <row r="233" spans="1:14" x14ac:dyDescent="0.25">
      <c r="A233" s="4">
        <f t="shared" si="49"/>
        <v>0.4311921296296275</v>
      </c>
      <c r="B233" s="3">
        <f t="shared" si="54"/>
        <v>1553301255</v>
      </c>
      <c r="C233">
        <f t="shared" si="53"/>
        <v>3</v>
      </c>
      <c r="D233">
        <f t="shared" si="53"/>
        <v>126</v>
      </c>
      <c r="E233">
        <f t="shared" ca="1" si="55"/>
        <v>111441.42111714833</v>
      </c>
      <c r="F233">
        <f t="shared" ca="1" si="56"/>
        <v>66748.088515080002</v>
      </c>
      <c r="G233">
        <f t="shared" ca="1" si="50"/>
        <v>10668</v>
      </c>
      <c r="H233" s="9">
        <f t="shared" ca="1" si="48"/>
        <v>208.30121358233154</v>
      </c>
      <c r="I233" s="9">
        <f t="shared" ca="1" si="48"/>
        <v>124.76309976800113</v>
      </c>
      <c r="J233" s="9">
        <f t="shared" ca="1" si="48"/>
        <v>0</v>
      </c>
      <c r="K233" s="9">
        <f t="shared" ca="1" si="51"/>
        <v>242.80697404232916</v>
      </c>
      <c r="L233" s="9">
        <f t="shared" ca="1" si="52"/>
        <v>59.080279440885192</v>
      </c>
      <c r="M233">
        <f t="shared" ca="1" si="57"/>
        <v>56.444444444444443</v>
      </c>
      <c r="N233">
        <f t="shared" ca="1" si="58"/>
        <v>34.716666666666661</v>
      </c>
    </row>
    <row r="234" spans="1:14" x14ac:dyDescent="0.25">
      <c r="A234" s="4">
        <f t="shared" si="49"/>
        <v>0.43124999999999786</v>
      </c>
      <c r="B234" s="3">
        <f t="shared" si="54"/>
        <v>1553301260</v>
      </c>
      <c r="C234">
        <f t="shared" si="53"/>
        <v>3</v>
      </c>
      <c r="D234">
        <f t="shared" si="53"/>
        <v>126</v>
      </c>
      <c r="E234">
        <f t="shared" ca="1" si="55"/>
        <v>112482.92718505999</v>
      </c>
      <c r="F234">
        <f t="shared" ca="1" si="56"/>
        <v>67371.904013920008</v>
      </c>
      <c r="G234">
        <f t="shared" ca="1" si="50"/>
        <v>10668</v>
      </c>
      <c r="H234" s="9">
        <f t="shared" ca="1" si="48"/>
        <v>208.30121358233447</v>
      </c>
      <c r="I234" s="9">
        <f t="shared" ca="1" si="48"/>
        <v>124.76309976799821</v>
      </c>
      <c r="J234" s="9">
        <f t="shared" ca="1" si="48"/>
        <v>0</v>
      </c>
      <c r="K234" s="9">
        <f t="shared" ca="1" si="51"/>
        <v>242.80697404233015</v>
      </c>
      <c r="L234" s="9">
        <f t="shared" ca="1" si="52"/>
        <v>59.080279440886144</v>
      </c>
      <c r="M234">
        <f t="shared" ca="1" si="57"/>
        <v>56.45</v>
      </c>
      <c r="N234">
        <f t="shared" ca="1" si="58"/>
        <v>34.733333333333327</v>
      </c>
    </row>
    <row r="235" spans="1:14" x14ac:dyDescent="0.25">
      <c r="A235" s="4">
        <f t="shared" si="49"/>
        <v>0.43130787037036822</v>
      </c>
      <c r="B235" s="3">
        <f t="shared" si="54"/>
        <v>1553301265</v>
      </c>
      <c r="C235">
        <f t="shared" si="53"/>
        <v>3</v>
      </c>
      <c r="D235">
        <f t="shared" si="53"/>
        <v>126</v>
      </c>
      <c r="E235">
        <f t="shared" ca="1" si="55"/>
        <v>113524.43325297166</v>
      </c>
      <c r="F235">
        <f t="shared" ca="1" si="56"/>
        <v>67995.719512759999</v>
      </c>
      <c r="G235">
        <f t="shared" ca="1" si="50"/>
        <v>10668</v>
      </c>
      <c r="H235" s="9">
        <f t="shared" ca="1" si="48"/>
        <v>208.30121358233154</v>
      </c>
      <c r="I235" s="9">
        <f t="shared" ca="1" si="48"/>
        <v>124.76309976800113</v>
      </c>
      <c r="J235" s="9">
        <f t="shared" ca="1" si="48"/>
        <v>0</v>
      </c>
      <c r="K235" s="9">
        <f t="shared" ca="1" si="51"/>
        <v>242.80697404232916</v>
      </c>
      <c r="L235" s="9">
        <f t="shared" ca="1" si="52"/>
        <v>59.080279440885192</v>
      </c>
      <c r="M235">
        <f t="shared" ca="1" si="57"/>
        <v>56.455555555555556</v>
      </c>
      <c r="N235">
        <f t="shared" ca="1" si="58"/>
        <v>34.75</v>
      </c>
    </row>
    <row r="236" spans="1:14" x14ac:dyDescent="0.25">
      <c r="A236" s="4">
        <f t="shared" si="49"/>
        <v>0.43136574074073858</v>
      </c>
      <c r="B236" s="3">
        <f t="shared" si="54"/>
        <v>1553301270</v>
      </c>
      <c r="C236">
        <f t="shared" si="53"/>
        <v>3</v>
      </c>
      <c r="D236">
        <f t="shared" si="53"/>
        <v>126</v>
      </c>
      <c r="E236">
        <f t="shared" ca="1" si="55"/>
        <v>114565.93932088332</v>
      </c>
      <c r="F236">
        <f t="shared" ca="1" si="56"/>
        <v>68619.535011600005</v>
      </c>
      <c r="G236">
        <f t="shared" ca="1" si="50"/>
        <v>10668</v>
      </c>
      <c r="H236" s="9">
        <f t="shared" ca="1" si="48"/>
        <v>208.30121358233447</v>
      </c>
      <c r="I236" s="9">
        <f t="shared" ca="1" si="48"/>
        <v>124.76309976799821</v>
      </c>
      <c r="J236" s="9">
        <f t="shared" ca="1" si="48"/>
        <v>0</v>
      </c>
      <c r="K236" s="9">
        <f t="shared" ca="1" si="51"/>
        <v>242.80697404233015</v>
      </c>
      <c r="L236" s="9">
        <f t="shared" ca="1" si="52"/>
        <v>59.080279440886144</v>
      </c>
      <c r="M236">
        <f t="shared" ca="1" si="57"/>
        <v>56.461111111111109</v>
      </c>
      <c r="N236">
        <f t="shared" ca="1" si="58"/>
        <v>34.766666666666666</v>
      </c>
    </row>
    <row r="237" spans="1:14" x14ac:dyDescent="0.25">
      <c r="A237" s="4">
        <f t="shared" si="49"/>
        <v>0.43142361111110894</v>
      </c>
      <c r="B237" s="3">
        <f t="shared" si="54"/>
        <v>1553301275</v>
      </c>
      <c r="C237">
        <f t="shared" si="53"/>
        <v>3</v>
      </c>
      <c r="D237">
        <f t="shared" si="53"/>
        <v>126</v>
      </c>
      <c r="E237">
        <f t="shared" ca="1" si="55"/>
        <v>115607.44538879499</v>
      </c>
      <c r="F237">
        <f t="shared" ca="1" si="56"/>
        <v>69243.350510439996</v>
      </c>
      <c r="G237">
        <f t="shared" ca="1" si="50"/>
        <v>10668</v>
      </c>
      <c r="H237" s="9">
        <f t="shared" ca="1" si="48"/>
        <v>208.30121358233447</v>
      </c>
      <c r="I237" s="9">
        <f t="shared" ca="1" si="48"/>
        <v>124.76309976800113</v>
      </c>
      <c r="J237" s="9">
        <f t="shared" ca="1" si="48"/>
        <v>0</v>
      </c>
      <c r="K237" s="9">
        <f t="shared" ca="1" si="51"/>
        <v>242.80697404233166</v>
      </c>
      <c r="L237" s="9">
        <f t="shared" ca="1" si="52"/>
        <v>59.080279440885548</v>
      </c>
      <c r="M237">
        <f t="shared" ca="1" si="57"/>
        <v>56.466666666666669</v>
      </c>
      <c r="N237">
        <f t="shared" ca="1" si="58"/>
        <v>34.783333333333331</v>
      </c>
    </row>
    <row r="238" spans="1:14" x14ac:dyDescent="0.25">
      <c r="A238" s="4">
        <f t="shared" si="49"/>
        <v>0.4314814814814793</v>
      </c>
      <c r="B238" s="3">
        <f t="shared" si="54"/>
        <v>1553301280</v>
      </c>
      <c r="C238">
        <f t="shared" si="53"/>
        <v>3</v>
      </c>
      <c r="D238">
        <f t="shared" si="53"/>
        <v>126</v>
      </c>
      <c r="E238">
        <f t="shared" ca="1" si="55"/>
        <v>116648.95145670667</v>
      </c>
      <c r="F238">
        <f t="shared" ca="1" si="56"/>
        <v>69867.166009280001</v>
      </c>
      <c r="G238">
        <f t="shared" ca="1" si="50"/>
        <v>10668</v>
      </c>
      <c r="H238" s="9">
        <f t="shared" ca="1" si="48"/>
        <v>208.30121358233154</v>
      </c>
      <c r="I238" s="9">
        <f t="shared" ca="1" si="48"/>
        <v>124.76309976800113</v>
      </c>
      <c r="J238" s="9">
        <f t="shared" ca="1" si="48"/>
        <v>0</v>
      </c>
      <c r="K238" s="9">
        <f t="shared" ca="1" si="51"/>
        <v>242.80697404232916</v>
      </c>
      <c r="L238" s="9">
        <f t="shared" ca="1" si="52"/>
        <v>59.080279440885192</v>
      </c>
      <c r="M238">
        <f t="shared" ca="1" si="57"/>
        <v>56.472222222222221</v>
      </c>
      <c r="N238">
        <f t="shared" ca="1" si="58"/>
        <v>34.799999999999997</v>
      </c>
    </row>
    <row r="239" spans="1:14" x14ac:dyDescent="0.25">
      <c r="A239" s="4">
        <f t="shared" si="49"/>
        <v>0.43153935185184966</v>
      </c>
      <c r="B239" s="3">
        <f t="shared" si="54"/>
        <v>1553301285</v>
      </c>
      <c r="C239">
        <f t="shared" si="53"/>
        <v>3</v>
      </c>
      <c r="D239">
        <f t="shared" si="53"/>
        <v>126</v>
      </c>
      <c r="E239">
        <f t="shared" ca="1" si="55"/>
        <v>117690.45752461832</v>
      </c>
      <c r="F239">
        <f t="shared" ca="1" si="56"/>
        <v>70490.981508120007</v>
      </c>
      <c r="G239">
        <f t="shared" ca="1" si="50"/>
        <v>10668</v>
      </c>
      <c r="H239" s="9">
        <f t="shared" ca="1" si="48"/>
        <v>208.30121358233447</v>
      </c>
      <c r="I239" s="9">
        <f t="shared" ca="1" si="48"/>
        <v>124.76309976799821</v>
      </c>
      <c r="J239" s="9">
        <f t="shared" ca="1" si="48"/>
        <v>0</v>
      </c>
      <c r="K239" s="9">
        <f t="shared" ca="1" si="51"/>
        <v>242.80697404233015</v>
      </c>
      <c r="L239" s="9">
        <f t="shared" ca="1" si="52"/>
        <v>59.080279440886144</v>
      </c>
      <c r="M239">
        <f t="shared" ca="1" si="57"/>
        <v>56.477777777777774</v>
      </c>
      <c r="N239">
        <f t="shared" ca="1" si="58"/>
        <v>34.816666666666663</v>
      </c>
    </row>
    <row r="240" spans="1:14" x14ac:dyDescent="0.25">
      <c r="A240" s="4">
        <f t="shared" si="49"/>
        <v>0.43159722222222002</v>
      </c>
      <c r="B240" s="3">
        <f t="shared" si="54"/>
        <v>1553301290</v>
      </c>
      <c r="C240">
        <f t="shared" si="53"/>
        <v>3</v>
      </c>
      <c r="D240">
        <f t="shared" si="53"/>
        <v>126</v>
      </c>
      <c r="E240">
        <f t="shared" ca="1" si="55"/>
        <v>118731.96359253</v>
      </c>
      <c r="F240">
        <f t="shared" ca="1" si="56"/>
        <v>71114.797006959998</v>
      </c>
      <c r="G240">
        <f t="shared" ca="1" si="50"/>
        <v>10668</v>
      </c>
      <c r="H240" s="9">
        <f t="shared" ca="1" si="48"/>
        <v>208.30121358233447</v>
      </c>
      <c r="I240" s="9">
        <f t="shared" ca="1" si="48"/>
        <v>124.76309976800113</v>
      </c>
      <c r="J240" s="9">
        <f t="shared" ca="1" si="48"/>
        <v>0</v>
      </c>
      <c r="K240" s="9">
        <f t="shared" ca="1" si="51"/>
        <v>242.80697404233166</v>
      </c>
      <c r="L240" s="9">
        <f t="shared" ca="1" si="52"/>
        <v>59.080279440885548</v>
      </c>
      <c r="M240">
        <f t="shared" ca="1" si="57"/>
        <v>56.483333333333334</v>
      </c>
      <c r="N240">
        <f t="shared" ca="1" si="58"/>
        <v>34.833333333333329</v>
      </c>
    </row>
    <row r="241" spans="1:14" x14ac:dyDescent="0.25">
      <c r="A241" s="4">
        <f t="shared" si="49"/>
        <v>0.43165509259259038</v>
      </c>
      <c r="B241" s="3">
        <f t="shared" si="54"/>
        <v>1553301295</v>
      </c>
      <c r="C241">
        <f t="shared" si="53"/>
        <v>3</v>
      </c>
      <c r="D241">
        <f t="shared" si="53"/>
        <v>126</v>
      </c>
      <c r="E241">
        <f t="shared" ca="1" si="55"/>
        <v>119773.46966044167</v>
      </c>
      <c r="F241">
        <f t="shared" ca="1" si="56"/>
        <v>71738.612505800003</v>
      </c>
      <c r="G241">
        <f t="shared" ca="1" si="50"/>
        <v>10668</v>
      </c>
      <c r="H241" s="9">
        <f t="shared" ca="1" si="48"/>
        <v>208.30121358233154</v>
      </c>
      <c r="I241" s="9">
        <f t="shared" ca="1" si="48"/>
        <v>124.76309976799821</v>
      </c>
      <c r="J241" s="9">
        <f t="shared" ca="1" si="48"/>
        <v>0</v>
      </c>
      <c r="K241" s="9">
        <f t="shared" ca="1" si="51"/>
        <v>242.80697404232765</v>
      </c>
      <c r="L241" s="9">
        <f t="shared" ca="1" si="52"/>
        <v>59.080279440885789</v>
      </c>
      <c r="M241">
        <f t="shared" ca="1" si="57"/>
        <v>56.488888888888887</v>
      </c>
      <c r="N241">
        <f t="shared" ca="1" si="58"/>
        <v>34.849999999999994</v>
      </c>
    </row>
    <row r="242" spans="1:14" x14ac:dyDescent="0.25">
      <c r="A242" s="4">
        <f t="shared" si="49"/>
        <v>0.43171296296296074</v>
      </c>
      <c r="B242" s="3">
        <f t="shared" si="54"/>
        <v>1553301300</v>
      </c>
      <c r="C242">
        <f t="shared" si="53"/>
        <v>3</v>
      </c>
      <c r="D242">
        <f t="shared" si="53"/>
        <v>126</v>
      </c>
      <c r="E242">
        <f t="shared" ca="1" si="55"/>
        <v>120814.97572835333</v>
      </c>
      <c r="F242">
        <f t="shared" ca="1" si="56"/>
        <v>72362.428004639994</v>
      </c>
      <c r="G242">
        <f t="shared" ca="1" si="50"/>
        <v>10668</v>
      </c>
      <c r="H242" s="9">
        <f t="shared" ca="1" si="48"/>
        <v>208.30121358233447</v>
      </c>
      <c r="I242" s="9">
        <f t="shared" ca="1" si="48"/>
        <v>124.76309976800113</v>
      </c>
      <c r="J242" s="9">
        <f t="shared" ca="1" si="48"/>
        <v>0</v>
      </c>
      <c r="K242" s="9">
        <f t="shared" ca="1" si="51"/>
        <v>242.80697404233166</v>
      </c>
      <c r="L242" s="9">
        <f t="shared" ca="1" si="52"/>
        <v>59.080279440885548</v>
      </c>
      <c r="M242">
        <f t="shared" ca="1" si="57"/>
        <v>56.49444444444444</v>
      </c>
      <c r="N242">
        <f t="shared" ca="1" si="58"/>
        <v>34.86666666666666</v>
      </c>
    </row>
    <row r="243" spans="1:14" x14ac:dyDescent="0.25">
      <c r="A243" s="4">
        <f t="shared" si="49"/>
        <v>0.43177083333333111</v>
      </c>
      <c r="B243" s="3">
        <f t="shared" si="54"/>
        <v>1553301305</v>
      </c>
      <c r="C243">
        <f t="shared" si="53"/>
        <v>3</v>
      </c>
      <c r="D243">
        <f t="shared" si="53"/>
        <v>126</v>
      </c>
      <c r="E243">
        <f t="shared" ca="1" si="55"/>
        <v>121856.481796265</v>
      </c>
      <c r="F243">
        <f t="shared" ca="1" si="56"/>
        <v>72986.24350348</v>
      </c>
      <c r="G243">
        <f t="shared" ca="1" si="50"/>
        <v>10668</v>
      </c>
      <c r="H243" s="9">
        <f t="shared" ca="1" si="48"/>
        <v>208.30121358233154</v>
      </c>
      <c r="I243" s="9">
        <f t="shared" ca="1" si="48"/>
        <v>124.76309976800113</v>
      </c>
      <c r="J243" s="9">
        <f t="shared" ca="1" si="48"/>
        <v>0</v>
      </c>
      <c r="K243" s="9">
        <f t="shared" ca="1" si="51"/>
        <v>242.80697404232916</v>
      </c>
      <c r="L243" s="9">
        <f t="shared" ca="1" si="52"/>
        <v>59.080279440885192</v>
      </c>
      <c r="M243">
        <f t="shared" ca="1" si="57"/>
        <v>56.5</v>
      </c>
      <c r="N243">
        <f t="shared" ca="1" si="58"/>
        <v>34.883333333333333</v>
      </c>
    </row>
    <row r="244" spans="1:14" x14ac:dyDescent="0.25">
      <c r="A244" s="4">
        <f t="shared" si="49"/>
        <v>0.43182870370370147</v>
      </c>
      <c r="B244" s="3">
        <f t="shared" si="54"/>
        <v>1553301310</v>
      </c>
      <c r="C244">
        <f t="shared" si="53"/>
        <v>3</v>
      </c>
      <c r="D244">
        <f t="shared" si="53"/>
        <v>126</v>
      </c>
      <c r="E244">
        <f t="shared" ca="1" si="55"/>
        <v>122897.98786417666</v>
      </c>
      <c r="F244">
        <f t="shared" ca="1" si="56"/>
        <v>73610.059002320006</v>
      </c>
      <c r="G244">
        <f t="shared" ca="1" si="50"/>
        <v>10668</v>
      </c>
      <c r="H244" s="9">
        <f t="shared" ca="1" si="48"/>
        <v>208.30121358233447</v>
      </c>
      <c r="I244" s="9">
        <f t="shared" ca="1" si="48"/>
        <v>124.76309976799821</v>
      </c>
      <c r="J244" s="9">
        <f t="shared" ca="1" si="48"/>
        <v>0</v>
      </c>
      <c r="K244" s="9">
        <f t="shared" ca="1" si="51"/>
        <v>242.80697404233015</v>
      </c>
      <c r="L244" s="9">
        <f t="shared" ca="1" si="52"/>
        <v>59.080279440886144</v>
      </c>
      <c r="M244">
        <f t="shared" ca="1" si="57"/>
        <v>56.505555555555553</v>
      </c>
      <c r="N244">
        <f t="shared" ca="1" si="58"/>
        <v>34.9</v>
      </c>
    </row>
    <row r="245" spans="1:14" x14ac:dyDescent="0.25">
      <c r="A245" s="4">
        <f t="shared" si="49"/>
        <v>0.43188657407407183</v>
      </c>
      <c r="B245" s="3">
        <f t="shared" si="54"/>
        <v>1553301315</v>
      </c>
      <c r="C245">
        <f t="shared" si="53"/>
        <v>3</v>
      </c>
      <c r="D245">
        <f t="shared" si="53"/>
        <v>126</v>
      </c>
      <c r="E245">
        <f t="shared" ca="1" si="55"/>
        <v>123939.49393208833</v>
      </c>
      <c r="F245">
        <f t="shared" ca="1" si="56"/>
        <v>74233.874501159997</v>
      </c>
      <c r="G245">
        <f t="shared" ca="1" si="50"/>
        <v>10668</v>
      </c>
      <c r="H245" s="9">
        <f t="shared" ca="1" si="48"/>
        <v>208.30121358233447</v>
      </c>
      <c r="I245" s="9">
        <f t="shared" ca="1" si="48"/>
        <v>124.76309976800113</v>
      </c>
      <c r="J245" s="9">
        <f t="shared" ca="1" si="48"/>
        <v>0</v>
      </c>
      <c r="K245" s="9">
        <f t="shared" ca="1" si="51"/>
        <v>242.80697404233166</v>
      </c>
      <c r="L245" s="9">
        <f t="shared" ca="1" si="52"/>
        <v>59.080279440885548</v>
      </c>
      <c r="M245">
        <f t="shared" ca="1" si="57"/>
        <v>56.511111111111113</v>
      </c>
      <c r="N245">
        <f t="shared" ca="1" si="58"/>
        <v>34.916666666666664</v>
      </c>
    </row>
    <row r="246" spans="1:14" x14ac:dyDescent="0.25">
      <c r="A246" s="5">
        <f t="shared" si="49"/>
        <v>0.43194444444444219</v>
      </c>
      <c r="B246" s="3">
        <f t="shared" si="54"/>
        <v>1553301320</v>
      </c>
      <c r="C246">
        <f t="shared" si="53"/>
        <v>3</v>
      </c>
      <c r="D246">
        <f t="shared" si="53"/>
        <v>126</v>
      </c>
      <c r="E246">
        <f t="shared" ca="1" si="55"/>
        <v>124981</v>
      </c>
      <c r="F246">
        <f t="shared" ca="1" si="56"/>
        <v>74857.69</v>
      </c>
      <c r="G246">
        <f t="shared" ca="1" si="50"/>
        <v>10668</v>
      </c>
      <c r="H246" s="9">
        <f t="shared" ca="1" si="48"/>
        <v>208.30121358233154</v>
      </c>
      <c r="I246" s="9">
        <f t="shared" ca="1" si="48"/>
        <v>124.76309976800113</v>
      </c>
      <c r="J246" s="9">
        <f t="shared" ca="1" si="48"/>
        <v>0</v>
      </c>
      <c r="K246" s="9">
        <f t="shared" ca="1" si="51"/>
        <v>242.80697404232916</v>
      </c>
      <c r="L246" s="9">
        <f t="shared" ca="1" si="52"/>
        <v>59.080279440885192</v>
      </c>
      <c r="M246">
        <f t="shared" ca="1" si="57"/>
        <v>56.516666666666666</v>
      </c>
      <c r="N246">
        <f t="shared" ca="1" si="58"/>
        <v>34.93333333333333</v>
      </c>
    </row>
    <row r="247" spans="1:14" x14ac:dyDescent="0.25">
      <c r="A247" s="4">
        <f t="shared" si="49"/>
        <v>0.43200231481481255</v>
      </c>
      <c r="B247" s="3">
        <f t="shared" si="54"/>
        <v>1553301325</v>
      </c>
      <c r="C247">
        <f t="shared" si="53"/>
        <v>3</v>
      </c>
      <c r="D247">
        <f t="shared" si="53"/>
        <v>126</v>
      </c>
      <c r="E247">
        <f t="shared" ca="1" si="55"/>
        <v>126022.50606791166</v>
      </c>
      <c r="F247">
        <f t="shared" ca="1" si="56"/>
        <v>75481.505498840008</v>
      </c>
      <c r="G247">
        <f t="shared" ca="1" si="50"/>
        <v>10668</v>
      </c>
      <c r="H247" s="9">
        <f t="shared" ref="H247:J261" ca="1" si="59">(E248-E247)/($B248-$B247)</f>
        <v>8.1132040538181897E-5</v>
      </c>
      <c r="I247" s="9">
        <f t="shared" ca="1" si="59"/>
        <v>4.8594245227235615E-5</v>
      </c>
      <c r="J247" s="9">
        <f t="shared" ca="1" si="59"/>
        <v>6.8679526813639971E-6</v>
      </c>
      <c r="K247" s="9">
        <f t="shared" ca="1" si="51"/>
        <v>9.4571711791073659E-5</v>
      </c>
      <c r="L247" s="9">
        <f t="shared" ca="1" si="52"/>
        <v>59.080390760661295</v>
      </c>
      <c r="M247">
        <f t="shared" ca="1" si="57"/>
        <v>56.522222222222219</v>
      </c>
      <c r="N247">
        <f t="shared" ca="1" si="58"/>
        <v>34.949999999999996</v>
      </c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253"/>
  <sheetViews>
    <sheetView tabSelected="1" topLeftCell="A53" workbookViewId="0">
      <selection activeCell="P74" sqref="P74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>
        <v>424203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300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9144</v>
      </c>
      <c r="H2" s="9">
        <f t="shared" ref="H2:J3" si="0">(E3-E2)/(MINUTE($A3-$A2)*60+SECOND($A3-$A2))</f>
        <v>-228.09039999999999</v>
      </c>
      <c r="I2" s="9">
        <f t="shared" si="0"/>
        <v>43.604266666666689</v>
      </c>
      <c r="J2" s="9">
        <f t="shared" si="0"/>
        <v>0</v>
      </c>
      <c r="K2" s="9">
        <f>SQRT(H2*H2+I2*I2)</f>
        <v>232.22093498153384</v>
      </c>
      <c r="L2" s="9">
        <f>DEGREES(ATAN2(I2,H2))</f>
        <v>-79.177291937328931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3.879629629629733E-4</v>
      </c>
      <c r="P2" s="10">
        <f>(N3-N2)/(MINUTE($A3-$A2)*60+SECOND($A3-$A2))</f>
        <v>-3.6499999999999961E-3</v>
      </c>
    </row>
    <row r="3" spans="1:16" x14ac:dyDescent="0.25">
      <c r="A3" s="5">
        <v>0.42222222222222222</v>
      </c>
      <c r="B3" s="6" t="s">
        <v>92</v>
      </c>
      <c r="C3" s="7">
        <v>300</v>
      </c>
      <c r="D3" s="7"/>
      <c r="E3" s="7">
        <f>VLOOKUP($B3,Beacons!$A$6:$O$30,14,FALSE)</f>
        <v>78702.880000000005</v>
      </c>
      <c r="F3" s="7">
        <f>VLOOKUP($B3,Beacons!$A$6:$O$30,15,FALSE)</f>
        <v>47915.05</v>
      </c>
      <c r="G3" s="7">
        <f>C3*Params!F$2</f>
        <v>9144</v>
      </c>
      <c r="H3" s="9">
        <f t="shared" si="0"/>
        <v>-231.85878571428572</v>
      </c>
      <c r="I3" s="9">
        <f t="shared" si="0"/>
        <v>36.984250000000003</v>
      </c>
      <c r="J3" s="9">
        <f t="shared" si="0"/>
        <v>1.4514285714285724</v>
      </c>
      <c r="K3" s="9">
        <f>SQRT(H3*H3+I3*I3)</f>
        <v>234.78997265847102</v>
      </c>
      <c r="L3" s="9">
        <f>DEGREES(ATAN2(I3,H3))</f>
        <v>-80.936989654112949</v>
      </c>
      <c r="M3" s="7">
        <f>VLOOKUP($B3,Beacons!$A$6:$O$30,8,FALSE)</f>
        <v>56.278055555555554</v>
      </c>
      <c r="N3" s="7">
        <f>VLOOKUP($B3,Beacons!$A$6:$O$30,9,FALSE)</f>
        <v>34.192777777777778</v>
      </c>
      <c r="O3" s="10">
        <f>(M4-M3)/(MINUTE($A4-$A3)*60+SECOND($A4-$A3))</f>
        <v>3.2738095238095069E-4</v>
      </c>
      <c r="P3" s="10">
        <f>(N4-N3)/(MINUTE($A4-$A3)*60+SECOND($A4-$A3))</f>
        <v>-3.7103174603174607E-3</v>
      </c>
    </row>
    <row r="4" spans="1:16" x14ac:dyDescent="0.25">
      <c r="A4" s="5">
        <v>0.43194444444444446</v>
      </c>
      <c r="B4" s="6" t="s">
        <v>109</v>
      </c>
      <c r="C4" s="7">
        <v>340</v>
      </c>
      <c r="D4" s="7"/>
      <c r="E4" s="7">
        <f>VLOOKUP($B4,Beacons!$A$6:$O$30,14,FALSE)</f>
        <v>-116058.5</v>
      </c>
      <c r="F4" s="7">
        <f>VLOOKUP($B4,Beacons!$A$6:$O$30,15,FALSE)</f>
        <v>78981.820000000007</v>
      </c>
      <c r="G4" s="7">
        <f>C4*Params!F$2</f>
        <v>10363.200000000001</v>
      </c>
      <c r="M4" s="7">
        <f>VLOOKUP($B4,Beacons!$A$6:$O$30,8,FALSE)</f>
        <v>56.553055555555552</v>
      </c>
      <c r="N4" s="7">
        <f>VLOOKUP($B4,Beacons!$A$6:$O$30,9,FALSE)</f>
        <v>31.076111111111111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0.41875000000000001</v>
      </c>
      <c r="B6" s="3">
        <f>Params!D29+MINUTE(A6-Params!C29)*60+SECOND(A6-Params!C29)</f>
        <v>1553300180</v>
      </c>
      <c r="C6">
        <v>2</v>
      </c>
      <c r="D6">
        <f>ROW()</f>
        <v>6</v>
      </c>
      <c r="E6">
        <f ca="1">INDIRECT("E$"&amp;C6)+INDIRECT("H$"&amp;C6)*($B6-INDIRECT("B$"&amp;D6))</f>
        <v>147130</v>
      </c>
      <c r="F6">
        <f ca="1">INDIRECT("F$"&amp;C6)+INDIRECT("I$"&amp;C6)*($B6-INDIRECT("B$"&amp;D6))</f>
        <v>34833.769999999997</v>
      </c>
      <c r="G6">
        <f ca="1">INDIRECT("G$"&amp;C6)+INDIRECT("J$"&amp;C6)*($B6-INDIRECT("B$"&amp;D6))</f>
        <v>9144</v>
      </c>
      <c r="H6" s="9">
        <f ca="1">(E7-E6)/($B7-$B6)</f>
        <v>-228.09039999999806</v>
      </c>
      <c r="I6" s="9">
        <f ca="1">(F7-F6)/($B7-$B6)</f>
        <v>43.604266666666078</v>
      </c>
      <c r="J6" s="9">
        <f ca="1">(G7-G6)/($B7-$B6)</f>
        <v>0</v>
      </c>
      <c r="K6" s="9">
        <f ca="1">SQRT(H6*H6+I6*I6)</f>
        <v>232.22093498153183</v>
      </c>
      <c r="L6" s="9">
        <f ca="1">DEGREES(ATAN2(I6,H6))</f>
        <v>-79.177291937328988</v>
      </c>
      <c r="M6">
        <f ca="1">INDIRECT("M$"&amp;C6)+INDIRECT("O$"&amp;C6)*($B6-INDIRECT("B$"&amp;D6))</f>
        <v>56.161666666666662</v>
      </c>
      <c r="N6">
        <f ca="1">INDIRECT("N$"&amp;C6)+INDIRECT("P$"&amp;C6)*($B6-INDIRECT("B$"&amp;D6))</f>
        <v>35.287777777777777</v>
      </c>
      <c r="P6" s="3"/>
    </row>
    <row r="7" spans="1:16" x14ac:dyDescent="0.25">
      <c r="A7" s="4">
        <f>A6+5/24/3600</f>
        <v>0.41880787037037037</v>
      </c>
      <c r="B7" s="3">
        <f>B6+SECOND(A7-A6)</f>
        <v>1553300185</v>
      </c>
      <c r="C7">
        <f>C6</f>
        <v>2</v>
      </c>
      <c r="D7">
        <f>D6</f>
        <v>6</v>
      </c>
      <c r="E7">
        <f ca="1">INDIRECT("E$"&amp;C7)+INDIRECT("H$"&amp;C7)*($B7-INDIRECT("B$"&amp;D7))</f>
        <v>145989.54800000001</v>
      </c>
      <c r="F7">
        <f ca="1">INDIRECT("F$"&amp;C7)+INDIRECT("I$"&amp;C7)*($B7-INDIRECT("B$"&amp;D7))</f>
        <v>35051.791333333327</v>
      </c>
      <c r="G7">
        <f t="shared" ref="G7:G70" ca="1" si="1">INDIRECT("G$"&amp;C7)+INDIRECT("J$"&amp;C7)*($B7-INDIRECT("B$"&amp;D7))</f>
        <v>9144</v>
      </c>
      <c r="H7" s="9">
        <f t="shared" ref="H7:J70" ca="1" si="2">(E8-E7)/($B8-$B7)</f>
        <v>-228.09040000000385</v>
      </c>
      <c r="I7" s="9">
        <f t="shared" ca="1" si="2"/>
        <v>43.604266666667534</v>
      </c>
      <c r="J7" s="9">
        <f t="shared" ca="1" si="2"/>
        <v>0</v>
      </c>
      <c r="K7" s="9">
        <f t="shared" ref="K7:K70" ca="1" si="3">SQRT(H7*H7+I7*I7)</f>
        <v>232.22093498153779</v>
      </c>
      <c r="L7" s="9">
        <f t="shared" ref="L7:L70" ca="1" si="4">DEGREES(ATAN2(I7,H7))</f>
        <v>-79.177291937328903</v>
      </c>
      <c r="M7">
        <f ca="1">INDIRECT("M$"&amp;C7)+INDIRECT("O$"&amp;C7)*($B7-INDIRECT("B$"&amp;D7))</f>
        <v>56.16360648148148</v>
      </c>
      <c r="N7">
        <f ca="1">INDIRECT("N$"&amp;C7)+INDIRECT("P$"&amp;C7)*($B7-INDIRECT("B$"&amp;D7))</f>
        <v>35.269527777777775</v>
      </c>
      <c r="P7" s="3"/>
    </row>
    <row r="8" spans="1:16" x14ac:dyDescent="0.25">
      <c r="A8" s="4">
        <f>A7+5/24/3600</f>
        <v>0.41886574074074073</v>
      </c>
      <c r="B8" s="3">
        <f>B7+SECOND(A8-A7)</f>
        <v>1553300190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144849.09599999999</v>
      </c>
      <c r="F8">
        <f t="shared" ref="F8:F33" ca="1" si="7">INDIRECT("F$"&amp;C8)+INDIRECT("I$"&amp;C8)*($B8-INDIRECT("B$"&amp;D8))</f>
        <v>35269.812666666665</v>
      </c>
      <c r="G8">
        <f t="shared" ca="1" si="1"/>
        <v>9144</v>
      </c>
      <c r="H8" s="9">
        <f t="shared" ca="1" si="2"/>
        <v>-228.09039999999806</v>
      </c>
      <c r="I8" s="9">
        <f t="shared" ca="1" si="2"/>
        <v>43.604266666666078</v>
      </c>
      <c r="J8" s="9">
        <f t="shared" ca="1" si="2"/>
        <v>0</v>
      </c>
      <c r="K8" s="9">
        <f t="shared" ca="1" si="3"/>
        <v>232.22093498153183</v>
      </c>
      <c r="L8" s="9">
        <f t="shared" ca="1" si="4"/>
        <v>-79.177291937328988</v>
      </c>
      <c r="M8">
        <f t="shared" ref="M8:M71" ca="1" si="8">INDIRECT("M$"&amp;C8)+INDIRECT("O$"&amp;C8)*($B8-INDIRECT("B$"&amp;D8))</f>
        <v>56.165546296296291</v>
      </c>
      <c r="N8">
        <f t="shared" ref="N8:N71" ca="1" si="9">INDIRECT("N$"&amp;C8)+INDIRECT("P$"&amp;C8)*($B8-INDIRECT("B$"&amp;D8))</f>
        <v>35.25127777777778</v>
      </c>
      <c r="P8" s="3"/>
    </row>
    <row r="9" spans="1:16" x14ac:dyDescent="0.25">
      <c r="A9" s="4">
        <f t="shared" ref="A9:A72" si="10">A8+5/24/3600</f>
        <v>0.41892361111111109</v>
      </c>
      <c r="B9" s="3">
        <f t="shared" ref="B9:B72" si="11">B8+SECOND(A9-A8)</f>
        <v>1553300195</v>
      </c>
      <c r="C9">
        <f t="shared" si="5"/>
        <v>2</v>
      </c>
      <c r="D9">
        <f t="shared" si="5"/>
        <v>6</v>
      </c>
      <c r="E9">
        <f t="shared" ca="1" si="6"/>
        <v>143708.644</v>
      </c>
      <c r="F9">
        <f t="shared" ca="1" si="7"/>
        <v>35487.833999999995</v>
      </c>
      <c r="G9">
        <f t="shared" ca="1" si="1"/>
        <v>9144</v>
      </c>
      <c r="H9" s="9">
        <f t="shared" ca="1" si="2"/>
        <v>-228.09039999999806</v>
      </c>
      <c r="I9" s="9">
        <f t="shared" ca="1" si="2"/>
        <v>43.604266666667534</v>
      </c>
      <c r="J9" s="9">
        <f t="shared" ca="1" si="2"/>
        <v>0</v>
      </c>
      <c r="K9" s="9">
        <f t="shared" ca="1" si="3"/>
        <v>232.22093498153211</v>
      </c>
      <c r="L9" s="9">
        <f t="shared" ca="1" si="4"/>
        <v>-79.177291937328633</v>
      </c>
      <c r="M9">
        <f t="shared" ca="1" si="8"/>
        <v>56.167486111111103</v>
      </c>
      <c r="N9">
        <f t="shared" ca="1" si="9"/>
        <v>35.233027777777778</v>
      </c>
    </row>
    <row r="10" spans="1:16" x14ac:dyDescent="0.25">
      <c r="A10" s="4">
        <f t="shared" si="10"/>
        <v>0.41898148148148145</v>
      </c>
      <c r="B10" s="3">
        <f t="shared" si="11"/>
        <v>1553300200</v>
      </c>
      <c r="C10">
        <f t="shared" si="5"/>
        <v>2</v>
      </c>
      <c r="D10">
        <f t="shared" si="5"/>
        <v>6</v>
      </c>
      <c r="E10">
        <f t="shared" ca="1" si="6"/>
        <v>142568.19200000001</v>
      </c>
      <c r="F10">
        <f t="shared" ca="1" si="7"/>
        <v>35705.855333333333</v>
      </c>
      <c r="G10">
        <f t="shared" ca="1" si="1"/>
        <v>9144</v>
      </c>
      <c r="H10" s="9">
        <f t="shared" ca="1" si="2"/>
        <v>-228.09040000000385</v>
      </c>
      <c r="I10" s="9">
        <f t="shared" ca="1" si="2"/>
        <v>43.604266666666078</v>
      </c>
      <c r="J10" s="9">
        <f t="shared" ca="1" si="2"/>
        <v>0</v>
      </c>
      <c r="K10" s="9">
        <f t="shared" ca="1" si="3"/>
        <v>232.22093498153754</v>
      </c>
      <c r="L10" s="9">
        <f t="shared" ca="1" si="4"/>
        <v>-79.177291937329258</v>
      </c>
      <c r="M10">
        <f t="shared" ca="1" si="8"/>
        <v>56.169425925925921</v>
      </c>
      <c r="N10">
        <f t="shared" ca="1" si="9"/>
        <v>35.214777777777776</v>
      </c>
      <c r="P10" s="9"/>
    </row>
    <row r="11" spans="1:16" x14ac:dyDescent="0.25">
      <c r="A11" s="4">
        <f t="shared" si="10"/>
        <v>0.41903935185185182</v>
      </c>
      <c r="B11" s="3">
        <f t="shared" si="11"/>
        <v>1553300205</v>
      </c>
      <c r="C11">
        <f t="shared" si="5"/>
        <v>2</v>
      </c>
      <c r="D11">
        <f t="shared" si="5"/>
        <v>6</v>
      </c>
      <c r="E11">
        <f t="shared" ca="1" si="6"/>
        <v>141427.74</v>
      </c>
      <c r="F11">
        <f t="shared" ca="1" si="7"/>
        <v>35923.876666666663</v>
      </c>
      <c r="G11">
        <f t="shared" ca="1" si="1"/>
        <v>9144</v>
      </c>
      <c r="H11" s="9">
        <f t="shared" ca="1" si="2"/>
        <v>-228.09039999999806</v>
      </c>
      <c r="I11" s="9">
        <f t="shared" ca="1" si="2"/>
        <v>43.604266666667534</v>
      </c>
      <c r="J11" s="9">
        <f t="shared" ca="1" si="2"/>
        <v>0</v>
      </c>
      <c r="K11" s="9">
        <f t="shared" ca="1" si="3"/>
        <v>232.22093498153211</v>
      </c>
      <c r="L11" s="9">
        <f t="shared" ca="1" si="4"/>
        <v>-79.177291937328633</v>
      </c>
      <c r="M11">
        <f t="shared" ca="1" si="8"/>
        <v>56.17136574074074</v>
      </c>
      <c r="N11">
        <f t="shared" ca="1" si="9"/>
        <v>35.196527777777774</v>
      </c>
    </row>
    <row r="12" spans="1:16" x14ac:dyDescent="0.25">
      <c r="A12" s="4">
        <f t="shared" si="10"/>
        <v>0.41909722222222218</v>
      </c>
      <c r="B12" s="3">
        <f t="shared" si="11"/>
        <v>1553300210</v>
      </c>
      <c r="C12">
        <f t="shared" si="5"/>
        <v>2</v>
      </c>
      <c r="D12">
        <f t="shared" si="5"/>
        <v>6</v>
      </c>
      <c r="E12">
        <f t="shared" ca="1" si="6"/>
        <v>140287.288</v>
      </c>
      <c r="F12">
        <f t="shared" ca="1" si="7"/>
        <v>36141.898000000001</v>
      </c>
      <c r="G12">
        <f t="shared" ca="1" si="1"/>
        <v>9144</v>
      </c>
      <c r="H12" s="9">
        <f t="shared" ca="1" si="2"/>
        <v>-228.09039999999806</v>
      </c>
      <c r="I12" s="9">
        <f t="shared" ca="1" si="2"/>
        <v>43.604266666666078</v>
      </c>
      <c r="J12" s="9">
        <f t="shared" ca="1" si="2"/>
        <v>0</v>
      </c>
      <c r="K12" s="9">
        <f t="shared" ca="1" si="3"/>
        <v>232.22093498153183</v>
      </c>
      <c r="L12" s="9">
        <f t="shared" ca="1" si="4"/>
        <v>-79.177291937328988</v>
      </c>
      <c r="M12">
        <f t="shared" ca="1" si="8"/>
        <v>56.173305555555551</v>
      </c>
      <c r="N12">
        <f t="shared" ca="1" si="9"/>
        <v>35.17827777777778</v>
      </c>
    </row>
    <row r="13" spans="1:16" x14ac:dyDescent="0.25">
      <c r="A13" s="4">
        <f t="shared" si="10"/>
        <v>0.41915509259259254</v>
      </c>
      <c r="B13" s="3">
        <f t="shared" si="11"/>
        <v>1553300215</v>
      </c>
      <c r="C13">
        <f t="shared" si="5"/>
        <v>2</v>
      </c>
      <c r="D13">
        <f t="shared" si="5"/>
        <v>6</v>
      </c>
      <c r="E13">
        <f t="shared" ca="1" si="6"/>
        <v>139146.83600000001</v>
      </c>
      <c r="F13">
        <f t="shared" ca="1" si="7"/>
        <v>36359.919333333331</v>
      </c>
      <c r="G13">
        <f t="shared" ca="1" si="1"/>
        <v>9144</v>
      </c>
      <c r="H13" s="9">
        <f t="shared" ca="1" si="2"/>
        <v>-228.09040000000385</v>
      </c>
      <c r="I13" s="9">
        <f t="shared" ca="1" si="2"/>
        <v>43.604266666666078</v>
      </c>
      <c r="J13" s="9">
        <f t="shared" ca="1" si="2"/>
        <v>0</v>
      </c>
      <c r="K13" s="9">
        <f t="shared" ca="1" si="3"/>
        <v>232.22093498153754</v>
      </c>
      <c r="L13" s="9">
        <f t="shared" ca="1" si="4"/>
        <v>-79.177291937329258</v>
      </c>
      <c r="M13">
        <f t="shared" ca="1" si="8"/>
        <v>56.175245370370362</v>
      </c>
      <c r="N13">
        <f t="shared" ca="1" si="9"/>
        <v>35.160027777777778</v>
      </c>
    </row>
    <row r="14" spans="1:16" x14ac:dyDescent="0.25">
      <c r="A14" s="4">
        <f t="shared" si="10"/>
        <v>0.4192129629629629</v>
      </c>
      <c r="B14" s="3">
        <f t="shared" si="11"/>
        <v>1553300220</v>
      </c>
      <c r="C14">
        <f t="shared" si="5"/>
        <v>2</v>
      </c>
      <c r="D14">
        <f t="shared" si="5"/>
        <v>6</v>
      </c>
      <c r="E14">
        <f t="shared" ca="1" si="6"/>
        <v>138006.38399999999</v>
      </c>
      <c r="F14">
        <f t="shared" ca="1" si="7"/>
        <v>36577.940666666662</v>
      </c>
      <c r="G14">
        <f t="shared" ca="1" si="1"/>
        <v>9144</v>
      </c>
      <c r="H14" s="9">
        <f t="shared" ca="1" si="2"/>
        <v>-228.09039999999806</v>
      </c>
      <c r="I14" s="9">
        <f t="shared" ca="1" si="2"/>
        <v>43.604266666667534</v>
      </c>
      <c r="J14" s="9">
        <f t="shared" ca="1" si="2"/>
        <v>0</v>
      </c>
      <c r="K14" s="9">
        <f t="shared" ca="1" si="3"/>
        <v>232.22093498153211</v>
      </c>
      <c r="L14" s="9">
        <f t="shared" ca="1" si="4"/>
        <v>-79.177291937328633</v>
      </c>
      <c r="M14">
        <f t="shared" ca="1" si="8"/>
        <v>56.177185185185181</v>
      </c>
      <c r="N14">
        <f t="shared" ca="1" si="9"/>
        <v>35.141777777777776</v>
      </c>
    </row>
    <row r="15" spans="1:16" x14ac:dyDescent="0.25">
      <c r="A15" s="4">
        <f t="shared" si="10"/>
        <v>0.41927083333333326</v>
      </c>
      <c r="B15" s="3">
        <f t="shared" si="11"/>
        <v>1553300225</v>
      </c>
      <c r="C15">
        <f t="shared" si="5"/>
        <v>2</v>
      </c>
      <c r="D15">
        <f t="shared" si="5"/>
        <v>6</v>
      </c>
      <c r="E15">
        <f t="shared" ca="1" si="6"/>
        <v>136865.932</v>
      </c>
      <c r="F15">
        <f t="shared" ca="1" si="7"/>
        <v>36795.962</v>
      </c>
      <c r="G15">
        <f t="shared" ca="1" si="1"/>
        <v>9144</v>
      </c>
      <c r="H15" s="9">
        <f t="shared" ca="1" si="2"/>
        <v>-228.09039999999806</v>
      </c>
      <c r="I15" s="9">
        <f t="shared" ca="1" si="2"/>
        <v>43.604266666666078</v>
      </c>
      <c r="J15" s="9">
        <f t="shared" ca="1" si="2"/>
        <v>0</v>
      </c>
      <c r="K15" s="9">
        <f t="shared" ca="1" si="3"/>
        <v>232.22093498153183</v>
      </c>
      <c r="L15" s="9">
        <f t="shared" ca="1" si="4"/>
        <v>-79.177291937328988</v>
      </c>
      <c r="M15">
        <f t="shared" ca="1" si="8"/>
        <v>56.179124999999999</v>
      </c>
      <c r="N15">
        <f t="shared" ca="1" si="9"/>
        <v>35.123527777777774</v>
      </c>
    </row>
    <row r="16" spans="1:16" x14ac:dyDescent="0.25">
      <c r="A16" s="4">
        <f t="shared" si="10"/>
        <v>0.41932870370370362</v>
      </c>
      <c r="B16" s="3">
        <f t="shared" si="11"/>
        <v>1553300230</v>
      </c>
      <c r="C16">
        <f t="shared" si="5"/>
        <v>2</v>
      </c>
      <c r="D16">
        <f t="shared" si="5"/>
        <v>6</v>
      </c>
      <c r="E16">
        <f t="shared" ca="1" si="6"/>
        <v>135725.48000000001</v>
      </c>
      <c r="F16">
        <f t="shared" ca="1" si="7"/>
        <v>37013.98333333333</v>
      </c>
      <c r="G16">
        <f t="shared" ca="1" si="1"/>
        <v>9144</v>
      </c>
      <c r="H16" s="9">
        <f t="shared" ca="1" si="2"/>
        <v>-228.09040000000385</v>
      </c>
      <c r="I16" s="9">
        <f t="shared" ca="1" si="2"/>
        <v>43.604266666667534</v>
      </c>
      <c r="J16" s="9">
        <f t="shared" ca="1" si="2"/>
        <v>0</v>
      </c>
      <c r="K16" s="9">
        <f t="shared" ca="1" si="3"/>
        <v>232.22093498153779</v>
      </c>
      <c r="L16" s="9">
        <f t="shared" ca="1" si="4"/>
        <v>-79.177291937328903</v>
      </c>
      <c r="M16">
        <f t="shared" ca="1" si="8"/>
        <v>56.18106481481481</v>
      </c>
      <c r="N16">
        <f t="shared" ca="1" si="9"/>
        <v>35.105277777777779</v>
      </c>
    </row>
    <row r="17" spans="1:14" x14ac:dyDescent="0.25">
      <c r="A17" s="4">
        <f t="shared" si="10"/>
        <v>0.41938657407407398</v>
      </c>
      <c r="B17" s="3">
        <f t="shared" si="11"/>
        <v>1553300235</v>
      </c>
      <c r="C17">
        <f t="shared" si="5"/>
        <v>2</v>
      </c>
      <c r="D17">
        <f t="shared" si="5"/>
        <v>6</v>
      </c>
      <c r="E17">
        <f t="shared" ca="1" si="6"/>
        <v>134585.02799999999</v>
      </c>
      <c r="F17">
        <f t="shared" ca="1" si="7"/>
        <v>37232.004666666668</v>
      </c>
      <c r="G17">
        <f t="shared" ca="1" si="1"/>
        <v>9144</v>
      </c>
      <c r="H17" s="9">
        <f t="shared" ca="1" si="2"/>
        <v>-228.09039999999806</v>
      </c>
      <c r="I17" s="9">
        <f t="shared" ca="1" si="2"/>
        <v>43.604266666666078</v>
      </c>
      <c r="J17" s="9">
        <f t="shared" ca="1" si="2"/>
        <v>0</v>
      </c>
      <c r="K17" s="9">
        <f t="shared" ca="1" si="3"/>
        <v>232.22093498153183</v>
      </c>
      <c r="L17" s="9">
        <f t="shared" ca="1" si="4"/>
        <v>-79.177291937328988</v>
      </c>
      <c r="M17">
        <f t="shared" ca="1" si="8"/>
        <v>56.183004629629622</v>
      </c>
      <c r="N17">
        <f t="shared" ca="1" si="9"/>
        <v>35.087027777777777</v>
      </c>
    </row>
    <row r="18" spans="1:14" x14ac:dyDescent="0.25">
      <c r="A18" s="4">
        <f t="shared" si="10"/>
        <v>0.41944444444444434</v>
      </c>
      <c r="B18" s="3">
        <f t="shared" si="11"/>
        <v>1553300240</v>
      </c>
      <c r="C18">
        <f t="shared" si="5"/>
        <v>2</v>
      </c>
      <c r="D18">
        <f t="shared" si="5"/>
        <v>6</v>
      </c>
      <c r="E18">
        <f t="shared" ca="1" si="6"/>
        <v>133444.576</v>
      </c>
      <c r="F18">
        <f t="shared" ca="1" si="7"/>
        <v>37450.025999999998</v>
      </c>
      <c r="G18">
        <f t="shared" ca="1" si="1"/>
        <v>9144</v>
      </c>
      <c r="H18" s="9">
        <f t="shared" ca="1" si="2"/>
        <v>-228.09039999999806</v>
      </c>
      <c r="I18" s="9">
        <f t="shared" ca="1" si="2"/>
        <v>43.604266666666078</v>
      </c>
      <c r="J18" s="9">
        <f t="shared" ca="1" si="2"/>
        <v>0</v>
      </c>
      <c r="K18" s="9">
        <f t="shared" ca="1" si="3"/>
        <v>232.22093498153183</v>
      </c>
      <c r="L18" s="9">
        <f t="shared" ca="1" si="4"/>
        <v>-79.177291937328988</v>
      </c>
      <c r="M18">
        <f t="shared" ca="1" si="8"/>
        <v>56.18494444444444</v>
      </c>
      <c r="N18">
        <f t="shared" ca="1" si="9"/>
        <v>35.068777777777775</v>
      </c>
    </row>
    <row r="19" spans="1:14" x14ac:dyDescent="0.25">
      <c r="A19" s="4">
        <f t="shared" si="10"/>
        <v>0.4195023148148147</v>
      </c>
      <c r="B19" s="3">
        <f t="shared" si="11"/>
        <v>1553300245</v>
      </c>
      <c r="C19">
        <f t="shared" si="5"/>
        <v>2</v>
      </c>
      <c r="D19">
        <f t="shared" si="5"/>
        <v>6</v>
      </c>
      <c r="E19">
        <f t="shared" ca="1" si="6"/>
        <v>132304.12400000001</v>
      </c>
      <c r="F19">
        <f t="shared" ca="1" si="7"/>
        <v>37668.047333333328</v>
      </c>
      <c r="G19">
        <f t="shared" ca="1" si="1"/>
        <v>9144</v>
      </c>
      <c r="H19" s="9">
        <f t="shared" ca="1" si="2"/>
        <v>-228.09040000000385</v>
      </c>
      <c r="I19" s="9">
        <f t="shared" ca="1" si="2"/>
        <v>43.604266666667534</v>
      </c>
      <c r="J19" s="9">
        <f t="shared" ca="1" si="2"/>
        <v>0</v>
      </c>
      <c r="K19" s="9">
        <f t="shared" ca="1" si="3"/>
        <v>232.22093498153779</v>
      </c>
      <c r="L19" s="9">
        <f t="shared" ca="1" si="4"/>
        <v>-79.177291937328903</v>
      </c>
      <c r="M19">
        <f t="shared" ca="1" si="8"/>
        <v>56.186884259259259</v>
      </c>
      <c r="N19">
        <f t="shared" ca="1" si="9"/>
        <v>35.050527777777774</v>
      </c>
    </row>
    <row r="20" spans="1:14" x14ac:dyDescent="0.25">
      <c r="A20" s="4">
        <f t="shared" si="10"/>
        <v>0.41956018518518506</v>
      </c>
      <c r="B20" s="3">
        <f t="shared" si="11"/>
        <v>1553300250</v>
      </c>
      <c r="C20">
        <f t="shared" si="5"/>
        <v>2</v>
      </c>
      <c r="D20">
        <f t="shared" si="5"/>
        <v>6</v>
      </c>
      <c r="E20">
        <f t="shared" ca="1" si="6"/>
        <v>131163.67199999999</v>
      </c>
      <c r="F20">
        <f t="shared" ca="1" si="7"/>
        <v>37886.068666666666</v>
      </c>
      <c r="G20">
        <f t="shared" ca="1" si="1"/>
        <v>9144</v>
      </c>
      <c r="H20" s="9">
        <f t="shared" ca="1" si="2"/>
        <v>-228.09039999999806</v>
      </c>
      <c r="I20" s="9">
        <f t="shared" ca="1" si="2"/>
        <v>43.604266666666078</v>
      </c>
      <c r="J20" s="9">
        <f t="shared" ca="1" si="2"/>
        <v>0</v>
      </c>
      <c r="K20" s="9">
        <f t="shared" ca="1" si="3"/>
        <v>232.22093498153183</v>
      </c>
      <c r="L20" s="9">
        <f t="shared" ca="1" si="4"/>
        <v>-79.177291937328988</v>
      </c>
      <c r="M20">
        <f t="shared" ca="1" si="8"/>
        <v>56.18882407407407</v>
      </c>
      <c r="N20">
        <f t="shared" ca="1" si="9"/>
        <v>35.032277777777779</v>
      </c>
    </row>
    <row r="21" spans="1:14" x14ac:dyDescent="0.25">
      <c r="A21" s="4">
        <f t="shared" si="10"/>
        <v>0.41961805555555542</v>
      </c>
      <c r="B21" s="3">
        <f t="shared" si="11"/>
        <v>1553300255</v>
      </c>
      <c r="C21">
        <f t="shared" si="5"/>
        <v>2</v>
      </c>
      <c r="D21">
        <f t="shared" si="5"/>
        <v>6</v>
      </c>
      <c r="E21">
        <f t="shared" ca="1" si="6"/>
        <v>130023.22</v>
      </c>
      <c r="F21">
        <f t="shared" ca="1" si="7"/>
        <v>38104.089999999997</v>
      </c>
      <c r="G21">
        <f t="shared" ca="1" si="1"/>
        <v>9144</v>
      </c>
      <c r="H21" s="9">
        <f t="shared" ca="1" si="2"/>
        <v>-228.09040000000095</v>
      </c>
      <c r="I21" s="9">
        <f t="shared" ca="1" si="2"/>
        <v>43.604266666667534</v>
      </c>
      <c r="J21" s="9">
        <f t="shared" ca="1" si="2"/>
        <v>0</v>
      </c>
      <c r="K21" s="9">
        <f t="shared" ca="1" si="3"/>
        <v>232.22093498153495</v>
      </c>
      <c r="L21" s="9">
        <f t="shared" ca="1" si="4"/>
        <v>-79.177291937328761</v>
      </c>
      <c r="M21">
        <f t="shared" ca="1" si="8"/>
        <v>56.190763888888881</v>
      </c>
      <c r="N21">
        <f t="shared" ca="1" si="9"/>
        <v>35.014027777777777</v>
      </c>
    </row>
    <row r="22" spans="1:14" x14ac:dyDescent="0.25">
      <c r="A22" s="4">
        <f t="shared" si="10"/>
        <v>0.41967592592592579</v>
      </c>
      <c r="B22" s="3">
        <f t="shared" si="11"/>
        <v>1553300260</v>
      </c>
      <c r="C22">
        <f t="shared" si="5"/>
        <v>2</v>
      </c>
      <c r="D22">
        <f t="shared" si="5"/>
        <v>6</v>
      </c>
      <c r="E22">
        <f t="shared" ca="1" si="6"/>
        <v>128882.768</v>
      </c>
      <c r="F22">
        <f t="shared" ca="1" si="7"/>
        <v>38322.111333333334</v>
      </c>
      <c r="G22">
        <f t="shared" ca="1" si="1"/>
        <v>9144</v>
      </c>
      <c r="H22" s="9">
        <f t="shared" ca="1" si="2"/>
        <v>-228.09039999999806</v>
      </c>
      <c r="I22" s="9">
        <f t="shared" ca="1" si="2"/>
        <v>43.604266666666078</v>
      </c>
      <c r="J22" s="9">
        <f t="shared" ca="1" si="2"/>
        <v>0</v>
      </c>
      <c r="K22" s="9">
        <f t="shared" ca="1" si="3"/>
        <v>232.22093498153183</v>
      </c>
      <c r="L22" s="9">
        <f t="shared" ca="1" si="4"/>
        <v>-79.177291937328988</v>
      </c>
      <c r="M22">
        <f t="shared" ca="1" si="8"/>
        <v>56.1927037037037</v>
      </c>
      <c r="N22">
        <f t="shared" ca="1" si="9"/>
        <v>34.995777777777775</v>
      </c>
    </row>
    <row r="23" spans="1:14" x14ac:dyDescent="0.25">
      <c r="A23" s="4">
        <f t="shared" si="10"/>
        <v>0.41973379629629615</v>
      </c>
      <c r="B23" s="3">
        <f t="shared" si="11"/>
        <v>1553300265</v>
      </c>
      <c r="C23">
        <f t="shared" si="5"/>
        <v>2</v>
      </c>
      <c r="D23">
        <f t="shared" si="5"/>
        <v>6</v>
      </c>
      <c r="E23">
        <f t="shared" ca="1" si="6"/>
        <v>127742.31600000001</v>
      </c>
      <c r="F23">
        <f t="shared" ca="1" si="7"/>
        <v>38540.132666666665</v>
      </c>
      <c r="G23">
        <f t="shared" ca="1" si="1"/>
        <v>9144</v>
      </c>
      <c r="H23" s="9">
        <f t="shared" ca="1" si="2"/>
        <v>-228.09040000000095</v>
      </c>
      <c r="I23" s="9">
        <f t="shared" ca="1" si="2"/>
        <v>43.604266666666078</v>
      </c>
      <c r="J23" s="9">
        <f t="shared" ca="1" si="2"/>
        <v>0</v>
      </c>
      <c r="K23" s="9">
        <f t="shared" ca="1" si="3"/>
        <v>232.2209349815347</v>
      </c>
      <c r="L23" s="9">
        <f t="shared" ca="1" si="4"/>
        <v>-79.177291937329116</v>
      </c>
      <c r="M23">
        <f t="shared" ca="1" si="8"/>
        <v>56.194643518518518</v>
      </c>
      <c r="N23">
        <f t="shared" ca="1" si="9"/>
        <v>34.97752777777778</v>
      </c>
    </row>
    <row r="24" spans="1:14" x14ac:dyDescent="0.25">
      <c r="A24" s="4">
        <f t="shared" si="10"/>
        <v>0.41979166666666651</v>
      </c>
      <c r="B24" s="3">
        <f t="shared" si="11"/>
        <v>1553300270</v>
      </c>
      <c r="C24">
        <f t="shared" si="5"/>
        <v>2</v>
      </c>
      <c r="D24">
        <f t="shared" si="5"/>
        <v>6</v>
      </c>
      <c r="E24">
        <f t="shared" ca="1" si="6"/>
        <v>126601.864</v>
      </c>
      <c r="F24">
        <f t="shared" ca="1" si="7"/>
        <v>38758.153999999995</v>
      </c>
      <c r="G24">
        <f t="shared" ca="1" si="1"/>
        <v>9144</v>
      </c>
      <c r="H24" s="9">
        <f t="shared" ca="1" si="2"/>
        <v>-228.09040000000095</v>
      </c>
      <c r="I24" s="9">
        <f t="shared" ca="1" si="2"/>
        <v>43.604266666667534</v>
      </c>
      <c r="J24" s="9">
        <f t="shared" ca="1" si="2"/>
        <v>0</v>
      </c>
      <c r="K24" s="9">
        <f t="shared" ca="1" si="3"/>
        <v>232.22093498153495</v>
      </c>
      <c r="L24" s="9">
        <f t="shared" ca="1" si="4"/>
        <v>-79.177291937328761</v>
      </c>
      <c r="M24">
        <f t="shared" ca="1" si="8"/>
        <v>56.196583333333329</v>
      </c>
      <c r="N24">
        <f t="shared" ca="1" si="9"/>
        <v>34.959277777777778</v>
      </c>
    </row>
    <row r="25" spans="1:14" x14ac:dyDescent="0.25">
      <c r="A25" s="4">
        <f t="shared" si="10"/>
        <v>0.41984953703703687</v>
      </c>
      <c r="B25" s="3">
        <f t="shared" si="11"/>
        <v>1553300275</v>
      </c>
      <c r="C25">
        <f t="shared" si="5"/>
        <v>2</v>
      </c>
      <c r="D25">
        <f t="shared" si="5"/>
        <v>6</v>
      </c>
      <c r="E25">
        <f t="shared" ca="1" si="6"/>
        <v>125461.412</v>
      </c>
      <c r="F25">
        <f t="shared" ca="1" si="7"/>
        <v>38976.175333333333</v>
      </c>
      <c r="G25">
        <f t="shared" ca="1" si="1"/>
        <v>9144</v>
      </c>
      <c r="H25" s="9">
        <f t="shared" ca="1" si="2"/>
        <v>-228.09039999999806</v>
      </c>
      <c r="I25" s="9">
        <f t="shared" ca="1" si="2"/>
        <v>43.604266666666078</v>
      </c>
      <c r="J25" s="9">
        <f t="shared" ca="1" si="2"/>
        <v>0</v>
      </c>
      <c r="K25" s="9">
        <f t="shared" ca="1" si="3"/>
        <v>232.22093498153183</v>
      </c>
      <c r="L25" s="9">
        <f t="shared" ca="1" si="4"/>
        <v>-79.177291937328988</v>
      </c>
      <c r="M25">
        <f t="shared" ca="1" si="8"/>
        <v>56.198523148148141</v>
      </c>
      <c r="N25">
        <f t="shared" ca="1" si="9"/>
        <v>34.941027777777776</v>
      </c>
    </row>
    <row r="26" spans="1:14" x14ac:dyDescent="0.25">
      <c r="A26" s="4">
        <f t="shared" si="10"/>
        <v>0.41990740740740723</v>
      </c>
      <c r="B26" s="3">
        <f t="shared" si="11"/>
        <v>1553300280</v>
      </c>
      <c r="C26">
        <f t="shared" si="5"/>
        <v>2</v>
      </c>
      <c r="D26">
        <f t="shared" si="5"/>
        <v>6</v>
      </c>
      <c r="E26">
        <f t="shared" ca="1" si="6"/>
        <v>124320.96000000001</v>
      </c>
      <c r="F26">
        <f t="shared" ca="1" si="7"/>
        <v>39194.196666666663</v>
      </c>
      <c r="G26">
        <f t="shared" ca="1" si="1"/>
        <v>9144</v>
      </c>
      <c r="H26" s="9">
        <f t="shared" ca="1" si="2"/>
        <v>-228.09040000000095</v>
      </c>
      <c r="I26" s="9">
        <f t="shared" ca="1" si="2"/>
        <v>43.604266666667534</v>
      </c>
      <c r="J26" s="9">
        <f t="shared" ca="1" si="2"/>
        <v>0</v>
      </c>
      <c r="K26" s="9">
        <f t="shared" ca="1" si="3"/>
        <v>232.22093498153495</v>
      </c>
      <c r="L26" s="9">
        <f t="shared" ca="1" si="4"/>
        <v>-79.177291937328761</v>
      </c>
      <c r="M26">
        <f t="shared" ca="1" si="8"/>
        <v>56.200462962962959</v>
      </c>
      <c r="N26">
        <f t="shared" ca="1" si="9"/>
        <v>34.922777777777775</v>
      </c>
    </row>
    <row r="27" spans="1:14" x14ac:dyDescent="0.25">
      <c r="A27" s="4">
        <f t="shared" si="10"/>
        <v>0.41996527777777759</v>
      </c>
      <c r="B27" s="3">
        <f t="shared" si="11"/>
        <v>1553300285</v>
      </c>
      <c r="C27">
        <f t="shared" si="5"/>
        <v>2</v>
      </c>
      <c r="D27">
        <f t="shared" si="5"/>
        <v>6</v>
      </c>
      <c r="E27">
        <f t="shared" ca="1" si="6"/>
        <v>123180.508</v>
      </c>
      <c r="F27">
        <f t="shared" ca="1" si="7"/>
        <v>39412.218000000001</v>
      </c>
      <c r="G27">
        <f t="shared" ca="1" si="1"/>
        <v>9144</v>
      </c>
      <c r="H27" s="9">
        <f t="shared" ca="1" si="2"/>
        <v>-228.09040000000095</v>
      </c>
      <c r="I27" s="9">
        <f t="shared" ca="1" si="2"/>
        <v>43.604266666666078</v>
      </c>
      <c r="J27" s="9">
        <f t="shared" ca="1" si="2"/>
        <v>0</v>
      </c>
      <c r="K27" s="9">
        <f t="shared" ca="1" si="3"/>
        <v>232.2209349815347</v>
      </c>
      <c r="L27" s="9">
        <f t="shared" ca="1" si="4"/>
        <v>-79.177291937329116</v>
      </c>
      <c r="M27">
        <f t="shared" ca="1" si="8"/>
        <v>56.202402777777777</v>
      </c>
      <c r="N27">
        <f t="shared" ca="1" si="9"/>
        <v>34.90452777777778</v>
      </c>
    </row>
    <row r="28" spans="1:14" x14ac:dyDescent="0.25">
      <c r="A28" s="4">
        <f t="shared" si="10"/>
        <v>0.42002314814814795</v>
      </c>
      <c r="B28" s="3">
        <f t="shared" si="11"/>
        <v>1553300290</v>
      </c>
      <c r="C28">
        <f t="shared" si="5"/>
        <v>2</v>
      </c>
      <c r="D28">
        <f t="shared" si="5"/>
        <v>6</v>
      </c>
      <c r="E28">
        <f t="shared" ca="1" si="6"/>
        <v>122040.056</v>
      </c>
      <c r="F28">
        <f t="shared" ca="1" si="7"/>
        <v>39630.239333333331</v>
      </c>
      <c r="G28">
        <f t="shared" ca="1" si="1"/>
        <v>9144</v>
      </c>
      <c r="H28" s="9">
        <f t="shared" ca="1" si="2"/>
        <v>-228.09039999999806</v>
      </c>
      <c r="I28" s="9">
        <f t="shared" ca="1" si="2"/>
        <v>43.604266666667534</v>
      </c>
      <c r="J28" s="9">
        <f t="shared" ca="1" si="2"/>
        <v>0</v>
      </c>
      <c r="K28" s="9">
        <f t="shared" ca="1" si="3"/>
        <v>232.22093498153211</v>
      </c>
      <c r="L28" s="9">
        <f t="shared" ca="1" si="4"/>
        <v>-79.177291937328633</v>
      </c>
      <c r="M28">
        <f t="shared" ca="1" si="8"/>
        <v>56.204342592592589</v>
      </c>
      <c r="N28">
        <f t="shared" ca="1" si="9"/>
        <v>34.886277777777778</v>
      </c>
    </row>
    <row r="29" spans="1:14" x14ac:dyDescent="0.25">
      <c r="A29" s="4">
        <f t="shared" si="10"/>
        <v>0.42008101851851831</v>
      </c>
      <c r="B29" s="3">
        <f t="shared" si="11"/>
        <v>1553300295</v>
      </c>
      <c r="C29">
        <f t="shared" si="5"/>
        <v>2</v>
      </c>
      <c r="D29">
        <f t="shared" si="5"/>
        <v>6</v>
      </c>
      <c r="E29">
        <f t="shared" ca="1" si="6"/>
        <v>120899.60400000001</v>
      </c>
      <c r="F29">
        <f t="shared" ca="1" si="7"/>
        <v>39848.260666666669</v>
      </c>
      <c r="G29">
        <f t="shared" ca="1" si="1"/>
        <v>9144</v>
      </c>
      <c r="H29" s="9">
        <f t="shared" ca="1" si="2"/>
        <v>-228.09040000000095</v>
      </c>
      <c r="I29" s="9">
        <f t="shared" ca="1" si="2"/>
        <v>43.604266666666078</v>
      </c>
      <c r="J29" s="9">
        <f t="shared" ca="1" si="2"/>
        <v>0</v>
      </c>
      <c r="K29" s="9">
        <f t="shared" ca="1" si="3"/>
        <v>232.2209349815347</v>
      </c>
      <c r="L29" s="9">
        <f t="shared" ca="1" si="4"/>
        <v>-79.177291937329116</v>
      </c>
      <c r="M29">
        <f t="shared" ca="1" si="8"/>
        <v>56.2062824074074</v>
      </c>
      <c r="N29">
        <f t="shared" ca="1" si="9"/>
        <v>34.868027777777776</v>
      </c>
    </row>
    <row r="30" spans="1:14" x14ac:dyDescent="0.25">
      <c r="A30" s="4">
        <f t="shared" si="10"/>
        <v>0.42013888888888867</v>
      </c>
      <c r="B30" s="3">
        <f t="shared" si="11"/>
        <v>1553300300</v>
      </c>
      <c r="C30">
        <f t="shared" si="5"/>
        <v>2</v>
      </c>
      <c r="D30">
        <f t="shared" si="5"/>
        <v>6</v>
      </c>
      <c r="E30">
        <f t="shared" ca="1" si="6"/>
        <v>119759.152</v>
      </c>
      <c r="F30">
        <f t="shared" ca="1" si="7"/>
        <v>40066.281999999999</v>
      </c>
      <c r="G30">
        <f t="shared" ca="1" si="1"/>
        <v>9144</v>
      </c>
      <c r="H30" s="9">
        <f t="shared" ca="1" si="2"/>
        <v>-228.09040000000095</v>
      </c>
      <c r="I30" s="9">
        <f t="shared" ca="1" si="2"/>
        <v>43.604266666666078</v>
      </c>
      <c r="J30" s="9">
        <f t="shared" ca="1" si="2"/>
        <v>0</v>
      </c>
      <c r="K30" s="9">
        <f t="shared" ca="1" si="3"/>
        <v>232.2209349815347</v>
      </c>
      <c r="L30" s="9">
        <f t="shared" ca="1" si="4"/>
        <v>-79.177291937329116</v>
      </c>
      <c r="M30">
        <f t="shared" ca="1" si="8"/>
        <v>56.208222222222219</v>
      </c>
      <c r="N30">
        <f t="shared" ca="1" si="9"/>
        <v>34.849777777777774</v>
      </c>
    </row>
    <row r="31" spans="1:14" x14ac:dyDescent="0.25">
      <c r="A31" s="4">
        <f t="shared" si="10"/>
        <v>0.42019675925925903</v>
      </c>
      <c r="B31" s="3">
        <f t="shared" si="11"/>
        <v>1553300305</v>
      </c>
      <c r="C31">
        <f t="shared" si="5"/>
        <v>2</v>
      </c>
      <c r="D31">
        <f t="shared" si="5"/>
        <v>6</v>
      </c>
      <c r="E31">
        <f t="shared" ca="1" si="6"/>
        <v>118618.7</v>
      </c>
      <c r="F31">
        <f t="shared" ca="1" si="7"/>
        <v>40284.30333333333</v>
      </c>
      <c r="G31">
        <f t="shared" ca="1" si="1"/>
        <v>9144</v>
      </c>
      <c r="H31" s="9">
        <f t="shared" ca="1" si="2"/>
        <v>-228.09039999999806</v>
      </c>
      <c r="I31" s="9">
        <f t="shared" ca="1" si="2"/>
        <v>43.604266666667534</v>
      </c>
      <c r="J31" s="9">
        <f t="shared" ca="1" si="2"/>
        <v>0</v>
      </c>
      <c r="K31" s="9">
        <f t="shared" ca="1" si="3"/>
        <v>232.22093498153211</v>
      </c>
      <c r="L31" s="9">
        <f t="shared" ca="1" si="4"/>
        <v>-79.177291937328633</v>
      </c>
      <c r="M31">
        <f t="shared" ca="1" si="8"/>
        <v>56.210162037037037</v>
      </c>
      <c r="N31">
        <f t="shared" ca="1" si="9"/>
        <v>34.831527777777779</v>
      </c>
    </row>
    <row r="32" spans="1:14" x14ac:dyDescent="0.25">
      <c r="A32" s="4">
        <f t="shared" si="10"/>
        <v>0.42025462962962939</v>
      </c>
      <c r="B32" s="3">
        <f t="shared" si="11"/>
        <v>1553300310</v>
      </c>
      <c r="C32">
        <f t="shared" si="5"/>
        <v>2</v>
      </c>
      <c r="D32">
        <f t="shared" si="5"/>
        <v>6</v>
      </c>
      <c r="E32">
        <f t="shared" ca="1" si="6"/>
        <v>117478.24800000001</v>
      </c>
      <c r="F32">
        <f t="shared" ca="1" si="7"/>
        <v>40502.324666666667</v>
      </c>
      <c r="G32">
        <f t="shared" ca="1" si="1"/>
        <v>9144</v>
      </c>
      <c r="H32" s="9">
        <f t="shared" ca="1" si="2"/>
        <v>-228.09040000000095</v>
      </c>
      <c r="I32" s="9">
        <f t="shared" ca="1" si="2"/>
        <v>43.604266666666078</v>
      </c>
      <c r="J32" s="9">
        <f t="shared" ca="1" si="2"/>
        <v>0</v>
      </c>
      <c r="K32" s="9">
        <f t="shared" ca="1" si="3"/>
        <v>232.2209349815347</v>
      </c>
      <c r="L32" s="9">
        <f t="shared" ca="1" si="4"/>
        <v>-79.177291937329116</v>
      </c>
      <c r="M32">
        <f t="shared" ca="1" si="8"/>
        <v>56.212101851851848</v>
      </c>
      <c r="N32">
        <f t="shared" ca="1" si="9"/>
        <v>34.813277777777778</v>
      </c>
    </row>
    <row r="33" spans="1:14" x14ac:dyDescent="0.25">
      <c r="A33" s="4">
        <f>A32+5/24/3600</f>
        <v>0.42031249999999976</v>
      </c>
      <c r="B33" s="3">
        <f t="shared" si="11"/>
        <v>1553300315</v>
      </c>
      <c r="C33">
        <f t="shared" si="5"/>
        <v>2</v>
      </c>
      <c r="D33">
        <f t="shared" si="5"/>
        <v>6</v>
      </c>
      <c r="E33">
        <f t="shared" ca="1" si="6"/>
        <v>116337.796</v>
      </c>
      <c r="F33">
        <f t="shared" ca="1" si="7"/>
        <v>40720.345999999998</v>
      </c>
      <c r="G33">
        <f t="shared" ca="1" si="1"/>
        <v>9144</v>
      </c>
      <c r="H33" s="9">
        <f t="shared" ca="1" si="2"/>
        <v>-228.09040000000095</v>
      </c>
      <c r="I33" s="9">
        <f t="shared" ca="1" si="2"/>
        <v>43.604266666667534</v>
      </c>
      <c r="J33" s="9">
        <f t="shared" ca="1" si="2"/>
        <v>0</v>
      </c>
      <c r="K33" s="9">
        <f t="shared" ca="1" si="3"/>
        <v>232.22093498153495</v>
      </c>
      <c r="L33" s="9">
        <f t="shared" ca="1" si="4"/>
        <v>-79.177291937328761</v>
      </c>
      <c r="M33">
        <f t="shared" ca="1" si="8"/>
        <v>56.21404166666666</v>
      </c>
      <c r="N33">
        <f t="shared" ca="1" si="9"/>
        <v>34.795027777777776</v>
      </c>
    </row>
    <row r="34" spans="1:14" x14ac:dyDescent="0.25">
      <c r="A34" s="4">
        <f t="shared" si="10"/>
        <v>0.42037037037037012</v>
      </c>
      <c r="B34" s="3">
        <f t="shared" si="11"/>
        <v>1553300320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115197.344</v>
      </c>
      <c r="F34">
        <f ca="1">INDIRECT("F$"&amp;C34)+INDIRECT("I$"&amp;C34)*($B34-INDIRECT("B$"&amp;D34))</f>
        <v>40938.367333333335</v>
      </c>
      <c r="G34">
        <f t="shared" ca="1" si="1"/>
        <v>9144</v>
      </c>
      <c r="H34" s="9">
        <f t="shared" ca="1" si="2"/>
        <v>-228.09040000000095</v>
      </c>
      <c r="I34" s="9">
        <f t="shared" ca="1" si="2"/>
        <v>43.604266666666078</v>
      </c>
      <c r="J34" s="9">
        <f t="shared" ca="1" si="2"/>
        <v>0</v>
      </c>
      <c r="K34" s="9">
        <f t="shared" ca="1" si="3"/>
        <v>232.2209349815347</v>
      </c>
      <c r="L34" s="9">
        <f t="shared" ca="1" si="4"/>
        <v>-79.177291937329116</v>
      </c>
      <c r="M34">
        <f t="shared" ca="1" si="8"/>
        <v>56.215981481481478</v>
      </c>
      <c r="N34">
        <f t="shared" ca="1" si="9"/>
        <v>34.776777777777774</v>
      </c>
    </row>
    <row r="35" spans="1:14" x14ac:dyDescent="0.25">
      <c r="A35" s="4">
        <f t="shared" si="10"/>
        <v>0.42042824074074048</v>
      </c>
      <c r="B35" s="3">
        <f t="shared" si="11"/>
        <v>1553300325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114056.89199999999</v>
      </c>
      <c r="F35">
        <f ca="1">INDIRECT("F$"&amp;C35)+INDIRECT("I$"&amp;C35)*($B35-INDIRECT("B$"&amp;D35))</f>
        <v>41156.388666666666</v>
      </c>
      <c r="G35">
        <f t="shared" ca="1" si="1"/>
        <v>9144</v>
      </c>
      <c r="H35" s="9">
        <f t="shared" ca="1" si="2"/>
        <v>-228.09039999999806</v>
      </c>
      <c r="I35" s="9">
        <f t="shared" ca="1" si="2"/>
        <v>43.604266666667534</v>
      </c>
      <c r="J35" s="9">
        <f t="shared" ca="1" si="2"/>
        <v>0</v>
      </c>
      <c r="K35" s="9">
        <f t="shared" ca="1" si="3"/>
        <v>232.22093498153211</v>
      </c>
      <c r="L35" s="9">
        <f t="shared" ca="1" si="4"/>
        <v>-79.177291937328633</v>
      </c>
      <c r="M35">
        <f t="shared" ca="1" si="8"/>
        <v>56.217921296296296</v>
      </c>
      <c r="N35">
        <f t="shared" ca="1" si="9"/>
        <v>34.758527777777779</v>
      </c>
    </row>
    <row r="36" spans="1:14" x14ac:dyDescent="0.25">
      <c r="A36" s="4">
        <f t="shared" si="10"/>
        <v>0.42048611111111084</v>
      </c>
      <c r="B36" s="3">
        <f t="shared" si="11"/>
        <v>1553300330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112916.44</v>
      </c>
      <c r="F36">
        <f t="shared" ref="F36:F99" ca="1" si="13">INDIRECT("F$"&amp;C36)+INDIRECT("I$"&amp;C36)*($B36-INDIRECT("B$"&amp;D36))</f>
        <v>41374.410000000003</v>
      </c>
      <c r="G36">
        <f t="shared" ca="1" si="1"/>
        <v>9144</v>
      </c>
      <c r="H36" s="9">
        <f t="shared" ca="1" si="2"/>
        <v>-228.09039999999806</v>
      </c>
      <c r="I36" s="9">
        <f t="shared" ca="1" si="2"/>
        <v>43.604266666666078</v>
      </c>
      <c r="J36" s="9">
        <f t="shared" ca="1" si="2"/>
        <v>0</v>
      </c>
      <c r="K36" s="9">
        <f t="shared" ca="1" si="3"/>
        <v>232.22093498153183</v>
      </c>
      <c r="L36" s="9">
        <f t="shared" ca="1" si="4"/>
        <v>-79.177291937328988</v>
      </c>
      <c r="M36">
        <f t="shared" ca="1" si="8"/>
        <v>56.219861111111108</v>
      </c>
      <c r="N36">
        <f t="shared" ca="1" si="9"/>
        <v>34.740277777777777</v>
      </c>
    </row>
    <row r="37" spans="1:14" x14ac:dyDescent="0.25">
      <c r="A37" s="4">
        <f t="shared" si="10"/>
        <v>0.4205439814814812</v>
      </c>
      <c r="B37" s="3">
        <f t="shared" si="11"/>
        <v>1553300335</v>
      </c>
      <c r="C37">
        <f t="shared" si="5"/>
        <v>2</v>
      </c>
      <c r="D37">
        <f t="shared" si="5"/>
        <v>6</v>
      </c>
      <c r="E37">
        <f t="shared" ca="1" si="12"/>
        <v>111775.98800000001</v>
      </c>
      <c r="F37">
        <f t="shared" ca="1" si="13"/>
        <v>41592.431333333334</v>
      </c>
      <c r="G37">
        <f t="shared" ca="1" si="1"/>
        <v>9144</v>
      </c>
      <c r="H37" s="9">
        <f t="shared" ca="1" si="2"/>
        <v>-228.09040000000385</v>
      </c>
      <c r="I37" s="9">
        <f t="shared" ca="1" si="2"/>
        <v>43.604266666666078</v>
      </c>
      <c r="J37" s="9">
        <f t="shared" ca="1" si="2"/>
        <v>0</v>
      </c>
      <c r="K37" s="9">
        <f t="shared" ca="1" si="3"/>
        <v>232.22093498153754</v>
      </c>
      <c r="L37" s="9">
        <f t="shared" ca="1" si="4"/>
        <v>-79.177291937329258</v>
      </c>
      <c r="M37">
        <f t="shared" ca="1" si="8"/>
        <v>56.221800925925919</v>
      </c>
      <c r="N37">
        <f t="shared" ca="1" si="9"/>
        <v>34.722027777777775</v>
      </c>
    </row>
    <row r="38" spans="1:14" x14ac:dyDescent="0.25">
      <c r="A38" s="4">
        <f t="shared" si="10"/>
        <v>0.42060185185185156</v>
      </c>
      <c r="B38" s="3">
        <f t="shared" si="11"/>
        <v>1553300340</v>
      </c>
      <c r="C38">
        <f t="shared" si="5"/>
        <v>2</v>
      </c>
      <c r="D38">
        <f t="shared" si="5"/>
        <v>6</v>
      </c>
      <c r="E38">
        <f t="shared" ca="1" si="12"/>
        <v>110635.53599999999</v>
      </c>
      <c r="F38">
        <f t="shared" ca="1" si="13"/>
        <v>41810.452666666664</v>
      </c>
      <c r="G38">
        <f t="shared" ca="1" si="1"/>
        <v>9144</v>
      </c>
      <c r="H38" s="9">
        <f t="shared" ca="1" si="2"/>
        <v>-228.09039999999806</v>
      </c>
      <c r="I38" s="9">
        <f t="shared" ca="1" si="2"/>
        <v>43.604266666667534</v>
      </c>
      <c r="J38" s="9">
        <f t="shared" ca="1" si="2"/>
        <v>0</v>
      </c>
      <c r="K38" s="9">
        <f t="shared" ca="1" si="3"/>
        <v>232.22093498153211</v>
      </c>
      <c r="L38" s="9">
        <f t="shared" ca="1" si="4"/>
        <v>-79.177291937328633</v>
      </c>
      <c r="M38">
        <f t="shared" ca="1" si="8"/>
        <v>56.223740740740737</v>
      </c>
      <c r="N38">
        <f t="shared" ca="1" si="9"/>
        <v>34.70377777777778</v>
      </c>
    </row>
    <row r="39" spans="1:14" x14ac:dyDescent="0.25">
      <c r="A39" s="4">
        <f t="shared" si="10"/>
        <v>0.42065972222222192</v>
      </c>
      <c r="B39" s="3">
        <f t="shared" si="11"/>
        <v>1553300345</v>
      </c>
      <c r="C39">
        <f t="shared" si="5"/>
        <v>2</v>
      </c>
      <c r="D39">
        <f t="shared" si="5"/>
        <v>6</v>
      </c>
      <c r="E39">
        <f t="shared" ca="1" si="12"/>
        <v>109495.084</v>
      </c>
      <c r="F39">
        <f t="shared" ca="1" si="13"/>
        <v>42028.474000000002</v>
      </c>
      <c r="G39">
        <f t="shared" ca="1" si="1"/>
        <v>9144</v>
      </c>
      <c r="H39" s="9">
        <f t="shared" ca="1" si="2"/>
        <v>-228.09039999999806</v>
      </c>
      <c r="I39" s="9">
        <f t="shared" ca="1" si="2"/>
        <v>43.604266666666078</v>
      </c>
      <c r="J39" s="9">
        <f t="shared" ca="1" si="2"/>
        <v>0</v>
      </c>
      <c r="K39" s="9">
        <f t="shared" ca="1" si="3"/>
        <v>232.22093498153183</v>
      </c>
      <c r="L39" s="9">
        <f t="shared" ca="1" si="4"/>
        <v>-79.177291937328988</v>
      </c>
      <c r="M39">
        <f t="shared" ca="1" si="8"/>
        <v>56.225680555555556</v>
      </c>
      <c r="N39">
        <f t="shared" ca="1" si="9"/>
        <v>34.685527777777779</v>
      </c>
    </row>
    <row r="40" spans="1:14" x14ac:dyDescent="0.25">
      <c r="A40" s="4">
        <f t="shared" si="10"/>
        <v>0.42071759259259228</v>
      </c>
      <c r="B40" s="3">
        <f t="shared" si="11"/>
        <v>1553300350</v>
      </c>
      <c r="C40">
        <f t="shared" si="5"/>
        <v>2</v>
      </c>
      <c r="D40">
        <f t="shared" si="5"/>
        <v>6</v>
      </c>
      <c r="E40">
        <f t="shared" ca="1" si="12"/>
        <v>108354.63200000001</v>
      </c>
      <c r="F40">
        <f t="shared" ca="1" si="13"/>
        <v>42246.495333333332</v>
      </c>
      <c r="G40">
        <f t="shared" ca="1" si="1"/>
        <v>9144</v>
      </c>
      <c r="H40" s="9">
        <f t="shared" ca="1" si="2"/>
        <v>-228.09040000000385</v>
      </c>
      <c r="I40" s="9">
        <f t="shared" ca="1" si="2"/>
        <v>43.604266666667534</v>
      </c>
      <c r="J40" s="9">
        <f t="shared" ca="1" si="2"/>
        <v>0</v>
      </c>
      <c r="K40" s="9">
        <f t="shared" ca="1" si="3"/>
        <v>232.22093498153779</v>
      </c>
      <c r="L40" s="9">
        <f t="shared" ca="1" si="4"/>
        <v>-79.177291937328903</v>
      </c>
      <c r="M40">
        <f t="shared" ca="1" si="8"/>
        <v>56.227620370370367</v>
      </c>
      <c r="N40">
        <f t="shared" ca="1" si="9"/>
        <v>34.667277777777777</v>
      </c>
    </row>
    <row r="41" spans="1:14" x14ac:dyDescent="0.25">
      <c r="A41" s="4">
        <f t="shared" si="10"/>
        <v>0.42077546296296264</v>
      </c>
      <c r="B41" s="3">
        <f t="shared" si="11"/>
        <v>1553300355</v>
      </c>
      <c r="C41">
        <f t="shared" si="5"/>
        <v>2</v>
      </c>
      <c r="D41">
        <f t="shared" si="5"/>
        <v>6</v>
      </c>
      <c r="E41">
        <f t="shared" ca="1" si="12"/>
        <v>107214.18</v>
      </c>
      <c r="F41">
        <f t="shared" ca="1" si="13"/>
        <v>42464.51666666667</v>
      </c>
      <c r="G41">
        <f t="shared" ca="1" si="1"/>
        <v>9144</v>
      </c>
      <c r="H41" s="9">
        <f t="shared" ca="1" si="2"/>
        <v>-228.09039999999806</v>
      </c>
      <c r="I41" s="9">
        <f t="shared" ca="1" si="2"/>
        <v>43.604266666666078</v>
      </c>
      <c r="J41" s="9">
        <f t="shared" ca="1" si="2"/>
        <v>0</v>
      </c>
      <c r="K41" s="9">
        <f t="shared" ca="1" si="3"/>
        <v>232.22093498153183</v>
      </c>
      <c r="L41" s="9">
        <f t="shared" ca="1" si="4"/>
        <v>-79.177291937328988</v>
      </c>
      <c r="M41">
        <f t="shared" ca="1" si="8"/>
        <v>56.229560185185179</v>
      </c>
      <c r="N41">
        <f t="shared" ca="1" si="9"/>
        <v>34.649027777777775</v>
      </c>
    </row>
    <row r="42" spans="1:14" x14ac:dyDescent="0.25">
      <c r="A42" s="4">
        <f t="shared" si="10"/>
        <v>0.420833333333333</v>
      </c>
      <c r="B42" s="3">
        <f t="shared" si="11"/>
        <v>1553300360</v>
      </c>
      <c r="C42">
        <f t="shared" si="5"/>
        <v>2</v>
      </c>
      <c r="D42">
        <f t="shared" si="5"/>
        <v>6</v>
      </c>
      <c r="E42">
        <f t="shared" ca="1" si="12"/>
        <v>106073.728</v>
      </c>
      <c r="F42">
        <f t="shared" ca="1" si="13"/>
        <v>42682.538</v>
      </c>
      <c r="G42">
        <f t="shared" ca="1" si="1"/>
        <v>9144</v>
      </c>
      <c r="H42" s="9">
        <f t="shared" ca="1" si="2"/>
        <v>-228.09039999999806</v>
      </c>
      <c r="I42" s="9">
        <f t="shared" ca="1" si="2"/>
        <v>43.604266666667534</v>
      </c>
      <c r="J42" s="9">
        <f t="shared" ca="1" si="2"/>
        <v>0</v>
      </c>
      <c r="K42" s="9">
        <f t="shared" ca="1" si="3"/>
        <v>232.22093498153211</v>
      </c>
      <c r="L42" s="9">
        <f t="shared" ca="1" si="4"/>
        <v>-79.177291937328633</v>
      </c>
      <c r="M42">
        <f t="shared" ca="1" si="8"/>
        <v>56.231499999999997</v>
      </c>
      <c r="N42">
        <f t="shared" ca="1" si="9"/>
        <v>34.63077777777778</v>
      </c>
    </row>
    <row r="43" spans="1:14" x14ac:dyDescent="0.25">
      <c r="A43" s="4">
        <f t="shared" si="10"/>
        <v>0.42089120370370336</v>
      </c>
      <c r="B43" s="3">
        <f t="shared" si="11"/>
        <v>1553300365</v>
      </c>
      <c r="C43">
        <f t="shared" si="5"/>
        <v>2</v>
      </c>
      <c r="D43">
        <f t="shared" si="5"/>
        <v>6</v>
      </c>
      <c r="E43">
        <f t="shared" ca="1" si="12"/>
        <v>104933.27600000001</v>
      </c>
      <c r="F43">
        <f t="shared" ca="1" si="13"/>
        <v>42900.559333333338</v>
      </c>
      <c r="G43">
        <f t="shared" ca="1" si="1"/>
        <v>9144</v>
      </c>
      <c r="H43" s="9">
        <f t="shared" ca="1" si="2"/>
        <v>-228.09040000000385</v>
      </c>
      <c r="I43" s="9">
        <f t="shared" ca="1" si="2"/>
        <v>43.604266666666078</v>
      </c>
      <c r="J43" s="9">
        <f t="shared" ca="1" si="2"/>
        <v>0</v>
      </c>
      <c r="K43" s="9">
        <f t="shared" ca="1" si="3"/>
        <v>232.22093498153754</v>
      </c>
      <c r="L43" s="9">
        <f t="shared" ca="1" si="4"/>
        <v>-79.177291937329258</v>
      </c>
      <c r="M43">
        <f t="shared" ca="1" si="8"/>
        <v>56.233439814814815</v>
      </c>
      <c r="N43">
        <f t="shared" ca="1" si="9"/>
        <v>34.612527777777778</v>
      </c>
    </row>
    <row r="44" spans="1:14" x14ac:dyDescent="0.25">
      <c r="A44" s="4">
        <f t="shared" si="10"/>
        <v>0.42094907407407373</v>
      </c>
      <c r="B44" s="3">
        <f t="shared" si="11"/>
        <v>1553300370</v>
      </c>
      <c r="C44">
        <f t="shared" si="5"/>
        <v>2</v>
      </c>
      <c r="D44">
        <f t="shared" si="5"/>
        <v>6</v>
      </c>
      <c r="E44">
        <f t="shared" ca="1" si="12"/>
        <v>103792.82399999999</v>
      </c>
      <c r="F44">
        <f t="shared" ca="1" si="13"/>
        <v>43118.580666666669</v>
      </c>
      <c r="G44">
        <f t="shared" ca="1" si="1"/>
        <v>9144</v>
      </c>
      <c r="H44" s="9">
        <f t="shared" ca="1" si="2"/>
        <v>-228.09039999999806</v>
      </c>
      <c r="I44" s="9">
        <f t="shared" ca="1" si="2"/>
        <v>43.604266666666078</v>
      </c>
      <c r="J44" s="9">
        <f t="shared" ca="1" si="2"/>
        <v>0</v>
      </c>
      <c r="K44" s="9">
        <f t="shared" ca="1" si="3"/>
        <v>232.22093498153183</v>
      </c>
      <c r="L44" s="9">
        <f t="shared" ca="1" si="4"/>
        <v>-79.177291937328988</v>
      </c>
      <c r="M44">
        <f t="shared" ca="1" si="8"/>
        <v>56.235379629629627</v>
      </c>
      <c r="N44">
        <f t="shared" ca="1" si="9"/>
        <v>34.594277777777776</v>
      </c>
    </row>
    <row r="45" spans="1:14" x14ac:dyDescent="0.25">
      <c r="A45" s="4">
        <f t="shared" si="10"/>
        <v>0.42100694444444409</v>
      </c>
      <c r="B45" s="3">
        <f t="shared" si="11"/>
        <v>1553300375</v>
      </c>
      <c r="C45">
        <f t="shared" si="5"/>
        <v>2</v>
      </c>
      <c r="D45">
        <f t="shared" si="5"/>
        <v>6</v>
      </c>
      <c r="E45">
        <f t="shared" ca="1" si="12"/>
        <v>102652.372</v>
      </c>
      <c r="F45">
        <f t="shared" ca="1" si="13"/>
        <v>43336.601999999999</v>
      </c>
      <c r="G45">
        <f t="shared" ca="1" si="1"/>
        <v>9144</v>
      </c>
      <c r="H45" s="9">
        <f t="shared" ca="1" si="2"/>
        <v>-228.09039999999806</v>
      </c>
      <c r="I45" s="9">
        <f t="shared" ca="1" si="2"/>
        <v>43.604266666667534</v>
      </c>
      <c r="J45" s="9">
        <f t="shared" ca="1" si="2"/>
        <v>0</v>
      </c>
      <c r="K45" s="9">
        <f t="shared" ca="1" si="3"/>
        <v>232.22093498153211</v>
      </c>
      <c r="L45" s="9">
        <f t="shared" ca="1" si="4"/>
        <v>-79.177291937328633</v>
      </c>
      <c r="M45">
        <f t="shared" ca="1" si="8"/>
        <v>56.237319444444438</v>
      </c>
      <c r="N45">
        <f t="shared" ca="1" si="9"/>
        <v>34.576027777777774</v>
      </c>
    </row>
    <row r="46" spans="1:14" x14ac:dyDescent="0.25">
      <c r="A46" s="4">
        <f t="shared" si="10"/>
        <v>0.42106481481481445</v>
      </c>
      <c r="B46" s="3">
        <f t="shared" si="11"/>
        <v>1553300380</v>
      </c>
      <c r="C46">
        <f t="shared" si="5"/>
        <v>2</v>
      </c>
      <c r="D46">
        <f t="shared" si="5"/>
        <v>6</v>
      </c>
      <c r="E46">
        <f t="shared" ca="1" si="12"/>
        <v>101511.92000000001</v>
      </c>
      <c r="F46">
        <f t="shared" ca="1" si="13"/>
        <v>43554.623333333337</v>
      </c>
      <c r="G46">
        <f t="shared" ca="1" si="1"/>
        <v>9144</v>
      </c>
      <c r="H46" s="9">
        <f t="shared" ca="1" si="2"/>
        <v>-228.09040000000385</v>
      </c>
      <c r="I46" s="9">
        <f t="shared" ca="1" si="2"/>
        <v>43.604266666666078</v>
      </c>
      <c r="J46" s="9">
        <f t="shared" ca="1" si="2"/>
        <v>0</v>
      </c>
      <c r="K46" s="9">
        <f t="shared" ca="1" si="3"/>
        <v>232.22093498153754</v>
      </c>
      <c r="L46" s="9">
        <f t="shared" ca="1" si="4"/>
        <v>-79.177291937329258</v>
      </c>
      <c r="M46">
        <f t="shared" ca="1" si="8"/>
        <v>56.239259259259256</v>
      </c>
      <c r="N46">
        <f t="shared" ca="1" si="9"/>
        <v>34.55777777777778</v>
      </c>
    </row>
    <row r="47" spans="1:14" x14ac:dyDescent="0.25">
      <c r="A47" s="4">
        <f t="shared" si="10"/>
        <v>0.42112268518518481</v>
      </c>
      <c r="B47" s="3">
        <f t="shared" si="11"/>
        <v>1553300385</v>
      </c>
      <c r="C47">
        <f t="shared" si="5"/>
        <v>2</v>
      </c>
      <c r="D47">
        <f t="shared" si="5"/>
        <v>6</v>
      </c>
      <c r="E47">
        <f t="shared" ca="1" si="12"/>
        <v>100371.46799999999</v>
      </c>
      <c r="F47">
        <f t="shared" ca="1" si="13"/>
        <v>43772.644666666667</v>
      </c>
      <c r="G47">
        <f t="shared" ca="1" si="1"/>
        <v>9144</v>
      </c>
      <c r="H47" s="9">
        <f t="shared" ca="1" si="2"/>
        <v>-228.09039999999806</v>
      </c>
      <c r="I47" s="9">
        <f t="shared" ca="1" si="2"/>
        <v>43.604266666666078</v>
      </c>
      <c r="J47" s="9">
        <f t="shared" ca="1" si="2"/>
        <v>0</v>
      </c>
      <c r="K47" s="9">
        <f t="shared" ca="1" si="3"/>
        <v>232.22093498153183</v>
      </c>
      <c r="L47" s="9">
        <f t="shared" ca="1" si="4"/>
        <v>-79.177291937328988</v>
      </c>
      <c r="M47">
        <f t="shared" ca="1" si="8"/>
        <v>56.241199074074075</v>
      </c>
      <c r="N47">
        <f t="shared" ca="1" si="9"/>
        <v>34.539527777777778</v>
      </c>
    </row>
    <row r="48" spans="1:14" x14ac:dyDescent="0.25">
      <c r="A48" s="4">
        <f t="shared" si="10"/>
        <v>0.42118055555555517</v>
      </c>
      <c r="B48" s="3">
        <f t="shared" si="11"/>
        <v>1553300390</v>
      </c>
      <c r="C48">
        <f t="shared" si="5"/>
        <v>2</v>
      </c>
      <c r="D48">
        <f t="shared" si="5"/>
        <v>6</v>
      </c>
      <c r="E48">
        <f t="shared" ca="1" si="12"/>
        <v>99231.016000000003</v>
      </c>
      <c r="F48">
        <f t="shared" ca="1" si="13"/>
        <v>43990.665999999997</v>
      </c>
      <c r="G48">
        <f t="shared" ca="1" si="1"/>
        <v>9144</v>
      </c>
      <c r="H48" s="9">
        <f t="shared" ca="1" si="2"/>
        <v>-228.09039999999806</v>
      </c>
      <c r="I48" s="9">
        <f t="shared" ca="1" si="2"/>
        <v>43.604266666667534</v>
      </c>
      <c r="J48" s="9">
        <f t="shared" ca="1" si="2"/>
        <v>0</v>
      </c>
      <c r="K48" s="9">
        <f t="shared" ca="1" si="3"/>
        <v>232.22093498153211</v>
      </c>
      <c r="L48" s="9">
        <f t="shared" ca="1" si="4"/>
        <v>-79.177291937328633</v>
      </c>
      <c r="M48">
        <f t="shared" ca="1" si="8"/>
        <v>56.243138888888886</v>
      </c>
      <c r="N48">
        <f t="shared" ca="1" si="9"/>
        <v>34.521277777777776</v>
      </c>
    </row>
    <row r="49" spans="1:19" x14ac:dyDescent="0.25">
      <c r="A49" s="4">
        <f t="shared" si="10"/>
        <v>0.42123842592592553</v>
      </c>
      <c r="B49" s="3">
        <f t="shared" si="11"/>
        <v>1553300395</v>
      </c>
      <c r="C49">
        <f t="shared" si="5"/>
        <v>2</v>
      </c>
      <c r="D49">
        <f t="shared" si="5"/>
        <v>6</v>
      </c>
      <c r="E49">
        <f t="shared" ca="1" si="12"/>
        <v>98090.564000000013</v>
      </c>
      <c r="F49">
        <f t="shared" ca="1" si="13"/>
        <v>44208.687333333335</v>
      </c>
      <c r="G49">
        <f t="shared" ca="1" si="1"/>
        <v>9144</v>
      </c>
      <c r="H49" s="9">
        <f t="shared" ca="1" si="2"/>
        <v>-228.09040000000385</v>
      </c>
      <c r="I49" s="9">
        <f t="shared" ca="1" si="2"/>
        <v>43.604266666667534</v>
      </c>
      <c r="J49" s="9">
        <f t="shared" ca="1" si="2"/>
        <v>0</v>
      </c>
      <c r="K49" s="9">
        <f t="shared" ca="1" si="3"/>
        <v>232.22093498153779</v>
      </c>
      <c r="L49" s="9">
        <f t="shared" ca="1" si="4"/>
        <v>-79.177291937328903</v>
      </c>
      <c r="M49">
        <f t="shared" ca="1" si="8"/>
        <v>56.245078703703697</v>
      </c>
      <c r="N49">
        <f t="shared" ca="1" si="9"/>
        <v>34.503027777777774</v>
      </c>
    </row>
    <row r="50" spans="1:19" x14ac:dyDescent="0.25">
      <c r="A50" s="4">
        <f t="shared" si="10"/>
        <v>0.42129629629629589</v>
      </c>
      <c r="B50" s="3">
        <f t="shared" si="11"/>
        <v>1553300400</v>
      </c>
      <c r="C50">
        <f t="shared" si="5"/>
        <v>2</v>
      </c>
      <c r="D50">
        <f t="shared" si="5"/>
        <v>6</v>
      </c>
      <c r="E50">
        <f t="shared" ca="1" si="12"/>
        <v>96950.111999999994</v>
      </c>
      <c r="F50">
        <f t="shared" ca="1" si="13"/>
        <v>44426.708666666673</v>
      </c>
      <c r="G50">
        <f t="shared" ca="1" si="1"/>
        <v>9144</v>
      </c>
      <c r="H50" s="9">
        <f t="shared" ca="1" si="2"/>
        <v>-228.09039999999806</v>
      </c>
      <c r="I50" s="9">
        <f t="shared" ca="1" si="2"/>
        <v>43.604266666666078</v>
      </c>
      <c r="J50" s="9">
        <f t="shared" ca="1" si="2"/>
        <v>0</v>
      </c>
      <c r="K50" s="9">
        <f t="shared" ca="1" si="3"/>
        <v>232.22093498153183</v>
      </c>
      <c r="L50" s="9">
        <f t="shared" ca="1" si="4"/>
        <v>-79.177291937328988</v>
      </c>
      <c r="M50">
        <f t="shared" ca="1" si="8"/>
        <v>56.247018518518516</v>
      </c>
      <c r="N50">
        <f t="shared" ca="1" si="9"/>
        <v>34.484777777777779</v>
      </c>
    </row>
    <row r="51" spans="1:19" x14ac:dyDescent="0.25">
      <c r="A51" s="4">
        <f t="shared" si="10"/>
        <v>0.42135416666666625</v>
      </c>
      <c r="B51" s="3">
        <f t="shared" si="11"/>
        <v>1553300405</v>
      </c>
      <c r="C51">
        <f t="shared" si="5"/>
        <v>2</v>
      </c>
      <c r="D51">
        <f t="shared" si="5"/>
        <v>6</v>
      </c>
      <c r="E51">
        <f t="shared" ca="1" si="12"/>
        <v>95809.66</v>
      </c>
      <c r="F51">
        <f t="shared" ca="1" si="13"/>
        <v>44644.73</v>
      </c>
      <c r="G51">
        <f t="shared" ca="1" si="1"/>
        <v>9144</v>
      </c>
      <c r="H51" s="9">
        <f t="shared" ca="1" si="2"/>
        <v>-228.09039999999806</v>
      </c>
      <c r="I51" s="9">
        <f t="shared" ca="1" si="2"/>
        <v>43.604266666666078</v>
      </c>
      <c r="J51" s="9">
        <f t="shared" ca="1" si="2"/>
        <v>0</v>
      </c>
      <c r="K51" s="9">
        <f t="shared" ca="1" si="3"/>
        <v>232.22093498153183</v>
      </c>
      <c r="L51" s="9">
        <f t="shared" ca="1" si="4"/>
        <v>-79.177291937328988</v>
      </c>
      <c r="M51">
        <f t="shared" ca="1" si="8"/>
        <v>56.248958333333334</v>
      </c>
      <c r="N51">
        <f t="shared" ca="1" si="9"/>
        <v>34.466527777777777</v>
      </c>
      <c r="O51" s="13"/>
      <c r="P51" s="13"/>
      <c r="Q51" s="13"/>
      <c r="R51" s="13"/>
      <c r="S51" s="13"/>
    </row>
    <row r="52" spans="1:19" x14ac:dyDescent="0.25">
      <c r="A52" s="4">
        <f>A51+5/24/3600</f>
        <v>0.42141203703703661</v>
      </c>
      <c r="B52" s="3">
        <f t="shared" si="11"/>
        <v>1553300410</v>
      </c>
      <c r="C52">
        <f t="shared" si="5"/>
        <v>2</v>
      </c>
      <c r="D52">
        <f t="shared" si="5"/>
        <v>6</v>
      </c>
      <c r="E52">
        <f t="shared" ca="1" si="12"/>
        <v>94669.208000000013</v>
      </c>
      <c r="F52">
        <f t="shared" ca="1" si="13"/>
        <v>44862.751333333334</v>
      </c>
      <c r="G52">
        <f t="shared" ca="1" si="1"/>
        <v>9144</v>
      </c>
      <c r="H52" s="9">
        <f t="shared" ca="1" si="2"/>
        <v>-228.09040000000385</v>
      </c>
      <c r="I52" s="9">
        <f t="shared" ca="1" si="2"/>
        <v>43.604266666667534</v>
      </c>
      <c r="J52" s="9">
        <f t="shared" ca="1" si="2"/>
        <v>0</v>
      </c>
      <c r="K52" s="9">
        <f t="shared" ca="1" si="3"/>
        <v>232.22093498153779</v>
      </c>
      <c r="L52" s="9">
        <f t="shared" ca="1" si="4"/>
        <v>-79.177291937328903</v>
      </c>
      <c r="M52">
        <f t="shared" ca="1" si="8"/>
        <v>56.250898148148146</v>
      </c>
      <c r="N52">
        <f t="shared" ca="1" si="9"/>
        <v>34.448277777777776</v>
      </c>
    </row>
    <row r="53" spans="1:19" x14ac:dyDescent="0.25">
      <c r="A53" s="4">
        <f t="shared" si="10"/>
        <v>0.42146990740740697</v>
      </c>
      <c r="B53" s="3">
        <f t="shared" si="11"/>
        <v>1553300415</v>
      </c>
      <c r="C53">
        <f t="shared" si="5"/>
        <v>2</v>
      </c>
      <c r="D53">
        <f t="shared" si="5"/>
        <v>6</v>
      </c>
      <c r="E53">
        <f t="shared" ca="1" si="12"/>
        <v>93528.755999999994</v>
      </c>
      <c r="F53">
        <f t="shared" ca="1" si="13"/>
        <v>45080.772666666671</v>
      </c>
      <c r="G53">
        <f t="shared" ca="1" si="1"/>
        <v>9144</v>
      </c>
      <c r="H53" s="9">
        <f t="shared" ca="1" si="2"/>
        <v>-228.09039999999806</v>
      </c>
      <c r="I53" s="9">
        <f t="shared" ca="1" si="2"/>
        <v>43.604266666666078</v>
      </c>
      <c r="J53" s="9">
        <f t="shared" ca="1" si="2"/>
        <v>0</v>
      </c>
      <c r="K53" s="9">
        <f t="shared" ca="1" si="3"/>
        <v>232.22093498153183</v>
      </c>
      <c r="L53" s="9">
        <f t="shared" ca="1" si="4"/>
        <v>-79.177291937328988</v>
      </c>
      <c r="M53">
        <f t="shared" ca="1" si="8"/>
        <v>56.252837962962957</v>
      </c>
      <c r="N53">
        <f t="shared" ca="1" si="9"/>
        <v>34.430027777777781</v>
      </c>
    </row>
    <row r="54" spans="1:19" x14ac:dyDescent="0.25">
      <c r="A54" s="8">
        <f t="shared" si="10"/>
        <v>0.42152777777777733</v>
      </c>
      <c r="B54" s="3">
        <f t="shared" si="11"/>
        <v>1553300420</v>
      </c>
      <c r="C54">
        <f t="shared" si="5"/>
        <v>2</v>
      </c>
      <c r="D54">
        <f t="shared" si="5"/>
        <v>6</v>
      </c>
      <c r="E54">
        <f t="shared" ca="1" si="12"/>
        <v>92388.304000000004</v>
      </c>
      <c r="F54">
        <f t="shared" ca="1" si="13"/>
        <v>45298.794000000002</v>
      </c>
      <c r="G54">
        <f t="shared" ca="1" si="1"/>
        <v>9144</v>
      </c>
      <c r="H54" s="9">
        <f t="shared" ca="1" si="2"/>
        <v>-228.09039999999806</v>
      </c>
      <c r="I54" s="9">
        <f t="shared" ca="1" si="2"/>
        <v>43.604266666666078</v>
      </c>
      <c r="J54" s="9">
        <f t="shared" ca="1" si="2"/>
        <v>0</v>
      </c>
      <c r="K54" s="9">
        <f t="shared" ca="1" si="3"/>
        <v>232.22093498153183</v>
      </c>
      <c r="L54" s="9">
        <f t="shared" ca="1" si="4"/>
        <v>-79.177291937328988</v>
      </c>
      <c r="M54">
        <f t="shared" ca="1" si="8"/>
        <v>56.254777777777775</v>
      </c>
      <c r="N54">
        <f t="shared" ca="1" si="9"/>
        <v>34.411777777777779</v>
      </c>
    </row>
    <row r="55" spans="1:19" x14ac:dyDescent="0.25">
      <c r="A55" s="4">
        <f t="shared" si="10"/>
        <v>0.4215856481481477</v>
      </c>
      <c r="B55" s="3">
        <f t="shared" si="11"/>
        <v>1553300425</v>
      </c>
      <c r="C55">
        <f t="shared" si="5"/>
        <v>2</v>
      </c>
      <c r="D55">
        <f t="shared" si="5"/>
        <v>6</v>
      </c>
      <c r="E55">
        <f t="shared" ca="1" si="12"/>
        <v>91247.852000000014</v>
      </c>
      <c r="F55">
        <f t="shared" ca="1" si="13"/>
        <v>45516.815333333332</v>
      </c>
      <c r="G55">
        <f t="shared" ca="1" si="1"/>
        <v>9144</v>
      </c>
      <c r="H55" s="9">
        <f t="shared" ca="1" si="2"/>
        <v>-228.09040000000385</v>
      </c>
      <c r="I55" s="9">
        <f t="shared" ca="1" si="2"/>
        <v>43.604266666667534</v>
      </c>
      <c r="J55" s="9">
        <f t="shared" ca="1" si="2"/>
        <v>0</v>
      </c>
      <c r="K55" s="9">
        <f t="shared" ca="1" si="3"/>
        <v>232.22093498153779</v>
      </c>
      <c r="L55" s="9">
        <f t="shared" ca="1" si="4"/>
        <v>-79.177291937328903</v>
      </c>
      <c r="M55">
        <f t="shared" ca="1" si="8"/>
        <v>56.256717592592594</v>
      </c>
      <c r="N55">
        <f t="shared" ca="1" si="9"/>
        <v>34.393527777777777</v>
      </c>
    </row>
    <row r="56" spans="1:19" x14ac:dyDescent="0.25">
      <c r="A56" s="4">
        <f t="shared" si="10"/>
        <v>0.42164351851851806</v>
      </c>
      <c r="B56" s="3">
        <f t="shared" si="11"/>
        <v>1553300430</v>
      </c>
      <c r="C56">
        <f t="shared" si="5"/>
        <v>2</v>
      </c>
      <c r="D56">
        <f t="shared" si="5"/>
        <v>6</v>
      </c>
      <c r="E56">
        <f t="shared" ca="1" si="12"/>
        <v>90107.4</v>
      </c>
      <c r="F56">
        <f t="shared" ca="1" si="13"/>
        <v>45734.83666666667</v>
      </c>
      <c r="G56">
        <f t="shared" ca="1" si="1"/>
        <v>9144</v>
      </c>
      <c r="H56" s="9">
        <f t="shared" ca="1" si="2"/>
        <v>-228.09039999999806</v>
      </c>
      <c r="I56" s="9">
        <f t="shared" ca="1" si="2"/>
        <v>43.604266666666078</v>
      </c>
      <c r="J56" s="9">
        <f t="shared" ca="1" si="2"/>
        <v>0</v>
      </c>
      <c r="K56" s="9">
        <f t="shared" ca="1" si="3"/>
        <v>232.22093498153183</v>
      </c>
      <c r="L56" s="9">
        <f t="shared" ca="1" si="4"/>
        <v>-79.177291937328988</v>
      </c>
      <c r="M56">
        <f t="shared" ca="1" si="8"/>
        <v>56.258657407407405</v>
      </c>
      <c r="N56">
        <f t="shared" ca="1" si="9"/>
        <v>34.375277777777775</v>
      </c>
    </row>
    <row r="57" spans="1:19" x14ac:dyDescent="0.25">
      <c r="A57" s="4">
        <f t="shared" si="10"/>
        <v>0.42170138888888842</v>
      </c>
      <c r="B57" s="3">
        <f t="shared" si="11"/>
        <v>1553300435</v>
      </c>
      <c r="C57">
        <f t="shared" si="5"/>
        <v>2</v>
      </c>
      <c r="D57">
        <f t="shared" si="5"/>
        <v>6</v>
      </c>
      <c r="E57">
        <f t="shared" ca="1" si="12"/>
        <v>88966.948000000004</v>
      </c>
      <c r="F57">
        <f t="shared" ca="1" si="13"/>
        <v>45952.858</v>
      </c>
      <c r="G57">
        <f t="shared" ca="1" si="1"/>
        <v>9144</v>
      </c>
      <c r="H57" s="9">
        <f t="shared" ca="1" si="2"/>
        <v>-228.09039999999806</v>
      </c>
      <c r="I57" s="9">
        <f t="shared" ca="1" si="2"/>
        <v>43.604266666667534</v>
      </c>
      <c r="J57" s="9">
        <f t="shared" ca="1" si="2"/>
        <v>0</v>
      </c>
      <c r="K57" s="9">
        <f t="shared" ca="1" si="3"/>
        <v>232.22093498153211</v>
      </c>
      <c r="L57" s="9">
        <f t="shared" ca="1" si="4"/>
        <v>-79.177291937328633</v>
      </c>
      <c r="M57">
        <f t="shared" ca="1" si="8"/>
        <v>56.260597222222216</v>
      </c>
      <c r="N57">
        <f t="shared" ca="1" si="9"/>
        <v>34.35702777777778</v>
      </c>
    </row>
    <row r="58" spans="1:19" x14ac:dyDescent="0.25">
      <c r="A58" s="4">
        <f t="shared" si="10"/>
        <v>0.42175925925925878</v>
      </c>
      <c r="B58" s="3">
        <f t="shared" si="11"/>
        <v>1553300440</v>
      </c>
      <c r="C58">
        <f t="shared" si="5"/>
        <v>2</v>
      </c>
      <c r="D58">
        <f t="shared" si="5"/>
        <v>6</v>
      </c>
      <c r="E58">
        <f t="shared" ca="1" si="12"/>
        <v>87826.496000000014</v>
      </c>
      <c r="F58">
        <f t="shared" ca="1" si="13"/>
        <v>46170.879333333338</v>
      </c>
      <c r="G58">
        <f t="shared" ca="1" si="1"/>
        <v>9144</v>
      </c>
      <c r="H58" s="9">
        <f t="shared" ca="1" si="2"/>
        <v>-228.09040000000385</v>
      </c>
      <c r="I58" s="9">
        <f t="shared" ca="1" si="2"/>
        <v>43.604266666666078</v>
      </c>
      <c r="J58" s="9">
        <f t="shared" ca="1" si="2"/>
        <v>0</v>
      </c>
      <c r="K58" s="9">
        <f t="shared" ca="1" si="3"/>
        <v>232.22093498153754</v>
      </c>
      <c r="L58" s="9">
        <f t="shared" ca="1" si="4"/>
        <v>-79.177291937329258</v>
      </c>
      <c r="M58">
        <f t="shared" ca="1" si="8"/>
        <v>56.262537037037035</v>
      </c>
      <c r="N58">
        <f t="shared" ca="1" si="9"/>
        <v>34.338777777777779</v>
      </c>
    </row>
    <row r="59" spans="1:19" x14ac:dyDescent="0.25">
      <c r="A59" s="4">
        <f t="shared" si="10"/>
        <v>0.42181712962962914</v>
      </c>
      <c r="B59" s="3">
        <f t="shared" si="11"/>
        <v>1553300445</v>
      </c>
      <c r="C59">
        <f t="shared" si="5"/>
        <v>2</v>
      </c>
      <c r="D59">
        <f t="shared" si="5"/>
        <v>6</v>
      </c>
      <c r="E59">
        <f t="shared" ca="1" si="12"/>
        <v>86686.043999999994</v>
      </c>
      <c r="F59">
        <f t="shared" ca="1" si="13"/>
        <v>46388.900666666668</v>
      </c>
      <c r="G59">
        <f t="shared" ca="1" si="1"/>
        <v>9144</v>
      </c>
      <c r="H59" s="9">
        <f t="shared" ca="1" si="2"/>
        <v>-228.09039999999806</v>
      </c>
      <c r="I59" s="9">
        <f t="shared" ca="1" si="2"/>
        <v>43.604266666667534</v>
      </c>
      <c r="J59" s="9">
        <f t="shared" ca="1" si="2"/>
        <v>0</v>
      </c>
      <c r="K59" s="9">
        <f t="shared" ca="1" si="3"/>
        <v>232.22093498153211</v>
      </c>
      <c r="L59" s="9">
        <f t="shared" ca="1" si="4"/>
        <v>-79.177291937328633</v>
      </c>
      <c r="M59">
        <f t="shared" ca="1" si="8"/>
        <v>56.264476851851853</v>
      </c>
      <c r="N59">
        <f t="shared" ca="1" si="9"/>
        <v>34.320527777777777</v>
      </c>
    </row>
    <row r="60" spans="1:19" x14ac:dyDescent="0.25">
      <c r="A60" s="4">
        <f t="shared" si="10"/>
        <v>0.4218749999999995</v>
      </c>
      <c r="B60" s="3">
        <f t="shared" si="11"/>
        <v>1553300450</v>
      </c>
      <c r="C60">
        <f t="shared" si="5"/>
        <v>2</v>
      </c>
      <c r="D60">
        <f t="shared" si="5"/>
        <v>6</v>
      </c>
      <c r="E60">
        <f t="shared" ca="1" si="12"/>
        <v>85545.592000000004</v>
      </c>
      <c r="F60">
        <f t="shared" ca="1" si="13"/>
        <v>46606.922000000006</v>
      </c>
      <c r="G60">
        <f t="shared" ca="1" si="1"/>
        <v>9144</v>
      </c>
      <c r="H60" s="9">
        <f t="shared" ca="1" si="2"/>
        <v>-228.09039999999806</v>
      </c>
      <c r="I60" s="9">
        <f t="shared" ca="1" si="2"/>
        <v>43.604266666666078</v>
      </c>
      <c r="J60" s="9">
        <f t="shared" ca="1" si="2"/>
        <v>0</v>
      </c>
      <c r="K60" s="9">
        <f t="shared" ca="1" si="3"/>
        <v>232.22093498153183</v>
      </c>
      <c r="L60" s="9">
        <f t="shared" ca="1" si="4"/>
        <v>-79.177291937328988</v>
      </c>
      <c r="M60">
        <f t="shared" ca="1" si="8"/>
        <v>56.266416666666665</v>
      </c>
      <c r="N60">
        <f t="shared" ca="1" si="9"/>
        <v>34.302277777777775</v>
      </c>
    </row>
    <row r="61" spans="1:19" x14ac:dyDescent="0.25">
      <c r="A61" s="4">
        <f t="shared" si="10"/>
        <v>0.42193287037036986</v>
      </c>
      <c r="B61" s="3">
        <f t="shared" si="11"/>
        <v>1553300455</v>
      </c>
      <c r="C61">
        <f t="shared" si="5"/>
        <v>2</v>
      </c>
      <c r="D61">
        <f t="shared" si="5"/>
        <v>6</v>
      </c>
      <c r="E61">
        <f t="shared" ca="1" si="12"/>
        <v>84405.140000000014</v>
      </c>
      <c r="F61">
        <f t="shared" ca="1" si="13"/>
        <v>46824.943333333336</v>
      </c>
      <c r="G61">
        <f t="shared" ca="1" si="1"/>
        <v>9144</v>
      </c>
      <c r="H61" s="9">
        <f t="shared" ca="1" si="2"/>
        <v>-228.09040000000385</v>
      </c>
      <c r="I61" s="9">
        <f t="shared" ca="1" si="2"/>
        <v>43.604266666666078</v>
      </c>
      <c r="J61" s="9">
        <f t="shared" ca="1" si="2"/>
        <v>0</v>
      </c>
      <c r="K61" s="9">
        <f t="shared" ca="1" si="3"/>
        <v>232.22093498153754</v>
      </c>
      <c r="L61" s="9">
        <f t="shared" ca="1" si="4"/>
        <v>-79.177291937329258</v>
      </c>
      <c r="M61">
        <f t="shared" ca="1" si="8"/>
        <v>56.268356481481476</v>
      </c>
      <c r="N61">
        <f t="shared" ca="1" si="9"/>
        <v>34.28402777777778</v>
      </c>
    </row>
    <row r="62" spans="1:19" x14ac:dyDescent="0.25">
      <c r="A62" s="4">
        <f t="shared" si="10"/>
        <v>0.42199074074074022</v>
      </c>
      <c r="B62" s="3">
        <f t="shared" si="11"/>
        <v>1553300460</v>
      </c>
      <c r="C62">
        <f t="shared" si="5"/>
        <v>2</v>
      </c>
      <c r="D62">
        <f t="shared" si="5"/>
        <v>6</v>
      </c>
      <c r="E62">
        <f t="shared" ca="1" si="12"/>
        <v>83264.687999999995</v>
      </c>
      <c r="F62">
        <f t="shared" ca="1" si="13"/>
        <v>47042.964666666667</v>
      </c>
      <c r="G62">
        <f t="shared" ca="1" si="1"/>
        <v>9144</v>
      </c>
      <c r="H62" s="9">
        <f t="shared" ca="1" si="2"/>
        <v>-228.09039999999806</v>
      </c>
      <c r="I62" s="9">
        <f t="shared" ca="1" si="2"/>
        <v>43.604266666667534</v>
      </c>
      <c r="J62" s="9">
        <f t="shared" ca="1" si="2"/>
        <v>0</v>
      </c>
      <c r="K62" s="9">
        <f t="shared" ca="1" si="3"/>
        <v>232.22093498153211</v>
      </c>
      <c r="L62" s="9">
        <f t="shared" ca="1" si="4"/>
        <v>-79.177291937328633</v>
      </c>
      <c r="M62">
        <f t="shared" ca="1" si="8"/>
        <v>56.270296296296294</v>
      </c>
      <c r="N62">
        <f t="shared" ca="1" si="9"/>
        <v>34.265777777777778</v>
      </c>
    </row>
    <row r="63" spans="1:19" x14ac:dyDescent="0.25">
      <c r="A63" s="4">
        <f t="shared" si="10"/>
        <v>0.42204861111111058</v>
      </c>
      <c r="B63" s="3">
        <f t="shared" si="11"/>
        <v>1553300465</v>
      </c>
      <c r="C63">
        <f t="shared" si="5"/>
        <v>2</v>
      </c>
      <c r="D63">
        <f t="shared" si="5"/>
        <v>6</v>
      </c>
      <c r="E63">
        <f t="shared" ca="1" si="12"/>
        <v>82124.236000000004</v>
      </c>
      <c r="F63">
        <f t="shared" ca="1" si="13"/>
        <v>47260.986000000004</v>
      </c>
      <c r="G63">
        <f t="shared" ca="1" si="1"/>
        <v>9144</v>
      </c>
      <c r="H63" s="9">
        <f t="shared" ca="1" si="2"/>
        <v>-228.09040000000095</v>
      </c>
      <c r="I63" s="9">
        <f t="shared" ca="1" si="2"/>
        <v>43.604266666666078</v>
      </c>
      <c r="J63" s="9">
        <f t="shared" ca="1" si="2"/>
        <v>0</v>
      </c>
      <c r="K63" s="9">
        <f t="shared" ca="1" si="3"/>
        <v>232.2209349815347</v>
      </c>
      <c r="L63" s="9">
        <f t="shared" ca="1" si="4"/>
        <v>-79.177291937329116</v>
      </c>
      <c r="M63">
        <f t="shared" ca="1" si="8"/>
        <v>56.272236111111113</v>
      </c>
      <c r="N63">
        <f t="shared" ca="1" si="9"/>
        <v>34.247527777777776</v>
      </c>
    </row>
    <row r="64" spans="1:19" x14ac:dyDescent="0.25">
      <c r="A64" s="4">
        <f t="shared" si="10"/>
        <v>0.42210648148148094</v>
      </c>
      <c r="B64" s="3">
        <f t="shared" si="11"/>
        <v>1553300470</v>
      </c>
      <c r="C64">
        <f t="shared" si="5"/>
        <v>2</v>
      </c>
      <c r="D64">
        <f t="shared" si="5"/>
        <v>6</v>
      </c>
      <c r="E64">
        <f t="shared" ca="1" si="12"/>
        <v>80983.784</v>
      </c>
      <c r="F64">
        <f t="shared" ca="1" si="13"/>
        <v>47479.007333333335</v>
      </c>
      <c r="G64">
        <f t="shared" ca="1" si="1"/>
        <v>9144</v>
      </c>
      <c r="H64" s="9">
        <f t="shared" ca="1" si="2"/>
        <v>-228.56144821428461</v>
      </c>
      <c r="I64" s="9">
        <f t="shared" ca="1" si="2"/>
        <v>42.776764583332991</v>
      </c>
      <c r="J64" s="9">
        <f t="shared" ca="1" si="2"/>
        <v>0</v>
      </c>
      <c r="K64" s="9">
        <f t="shared" ca="1" si="3"/>
        <v>232.52997053719548</v>
      </c>
      <c r="L64" s="9">
        <f t="shared" ca="1" si="4"/>
        <v>-79.39935764698977</v>
      </c>
      <c r="M64">
        <f t="shared" ca="1" si="8"/>
        <v>56.274175925925924</v>
      </c>
      <c r="N64">
        <f t="shared" ca="1" si="9"/>
        <v>34.229277777777774</v>
      </c>
    </row>
    <row r="65" spans="1:15" x14ac:dyDescent="0.25">
      <c r="A65" s="4">
        <f t="shared" si="10"/>
        <v>0.4221643518518513</v>
      </c>
      <c r="B65" s="3">
        <f t="shared" si="11"/>
        <v>1553300475</v>
      </c>
      <c r="C65">
        <f t="shared" si="5"/>
        <v>2</v>
      </c>
      <c r="D65">
        <f t="shared" si="5"/>
        <v>6</v>
      </c>
      <c r="E65" s="16">
        <f ca="1">(1-$O65)*(1-$O65)*E64+2*$O65*(1-$O65)*INDIRECT("E"&amp;C66)+$O65*$O65*E68</f>
        <v>79840.976758928577</v>
      </c>
      <c r="F65" s="16">
        <f ca="1">(1-$O65)*(1-$O65)*F64+2*$O65*(1-$O65)*INDIRECT("F"&amp;C66)+$O65*$O65*F68</f>
        <v>47692.89115625</v>
      </c>
      <c r="G65" s="16">
        <f t="shared" ca="1" si="1"/>
        <v>9144</v>
      </c>
      <c r="H65" s="17">
        <f t="shared" ca="1" si="2"/>
        <v>-229.50354464285775</v>
      </c>
      <c r="I65" s="17">
        <f t="shared" ca="1" si="2"/>
        <v>41.121760416668259</v>
      </c>
      <c r="J65" s="17">
        <f t="shared" ca="1" si="2"/>
        <v>0</v>
      </c>
      <c r="K65" s="17">
        <f t="shared" ca="1" si="3"/>
        <v>233.15847868649783</v>
      </c>
      <c r="L65" s="17">
        <f t="shared" ca="1" si="4"/>
        <v>-79.841706475143255</v>
      </c>
      <c r="M65" s="16">
        <f ca="1">(1-$O65)*(1-$O65)*M64+2*$O65*(1-$O65)*INDIRECT("M"&amp;C66)+$O65*$O65*M68</f>
        <v>56.276077876984125</v>
      </c>
      <c r="N65" s="16">
        <f ca="1">(1-$O65)*(1-$O65)*N64+2*$O65*(1-$O65)*INDIRECT("N"&amp;C66)+$O65*$O65*N68</f>
        <v>34.210990079365075</v>
      </c>
      <c r="O65" s="16">
        <f>(B65-B64)/(B68-B64)</f>
        <v>0.25</v>
      </c>
    </row>
    <row r="66" spans="1:15" x14ac:dyDescent="0.25">
      <c r="A66" s="5">
        <f t="shared" si="10"/>
        <v>0.42222222222222167</v>
      </c>
      <c r="B66" s="3">
        <f t="shared" si="11"/>
        <v>1553300480</v>
      </c>
      <c r="C66">
        <v>3</v>
      </c>
      <c r="D66">
        <f>ROW()</f>
        <v>66</v>
      </c>
      <c r="E66" s="16">
        <f ca="1">(1-$O66)*(1-$O66)*E64+2*$O66*(1-$O66)*INDIRECT("E"&amp;C66)+$O66*$O66*E68</f>
        <v>78693.459035714288</v>
      </c>
      <c r="F66" s="16">
        <f ca="1">(1-$O66)*(1-$O66)*F64+2*$O66*(1-$O66)*INDIRECT("F"&amp;C66)+$O66*$O66*F68</f>
        <v>47898.499958333341</v>
      </c>
      <c r="G66" s="16">
        <f t="shared" ca="1" si="1"/>
        <v>9144</v>
      </c>
      <c r="H66" s="17">
        <f t="shared" ca="1" si="2"/>
        <v>-230.44564107142796</v>
      </c>
      <c r="I66" s="17">
        <f t="shared" ca="1" si="2"/>
        <v>39.466756249999165</v>
      </c>
      <c r="J66" s="17">
        <f t="shared" ca="1" si="2"/>
        <v>1.4514285714285506</v>
      </c>
      <c r="K66" s="17">
        <f t="shared" ca="1" si="3"/>
        <v>233.80080910407099</v>
      </c>
      <c r="L66" s="17">
        <f t="shared" ca="1" si="4"/>
        <v>-80.281650841861236</v>
      </c>
      <c r="M66" s="16">
        <f ca="1">(1-$O66)*(1-$O66)*M64+2*$O66*(1-$O66)*INDIRECT("M"&amp;C66)+$O66*$O66*M68</f>
        <v>56.277904100529099</v>
      </c>
      <c r="N66" s="16">
        <f ca="1">(1-$O66)*(1-$O66)*N64+2*$O66*(1-$O66)*INDIRECT("N"&amp;C66)+$O66*$O66*N68</f>
        <v>34.192626984126989</v>
      </c>
      <c r="O66" s="16">
        <f>(B66-B64)/(B68-B64)</f>
        <v>0.5</v>
      </c>
    </row>
    <row r="67" spans="1:15" x14ac:dyDescent="0.25">
      <c r="A67" s="4">
        <f t="shared" si="10"/>
        <v>0.42228009259259203</v>
      </c>
      <c r="B67" s="3">
        <f t="shared" si="11"/>
        <v>1553300485</v>
      </c>
      <c r="C67">
        <f t="shared" si="5"/>
        <v>3</v>
      </c>
      <c r="D67">
        <f t="shared" si="5"/>
        <v>66</v>
      </c>
      <c r="E67" s="16">
        <f ca="1">(1-$O67)*(1-$O67)*E64+2*$O67*(1-$O67)*INDIRECT("E"&amp;C66)+$O67*$O67*E68</f>
        <v>77541.230830357148</v>
      </c>
      <c r="F67" s="16">
        <f ca="1">(1-$O67)*(1-$O67)*F64+2*$O67*(1-$O67)*INDIRECT("F"&amp;C66)+$O67*$O67*F68</f>
        <v>48095.833739583337</v>
      </c>
      <c r="G67" s="16">
        <f t="shared" ca="1" si="1"/>
        <v>9151.2571428571428</v>
      </c>
      <c r="H67" s="17">
        <f t="shared" ca="1" si="2"/>
        <v>-231.38773750000109</v>
      </c>
      <c r="I67" s="17">
        <f t="shared" ca="1" si="2"/>
        <v>37.811752083332976</v>
      </c>
      <c r="J67" s="17">
        <f t="shared" ca="1" si="2"/>
        <v>1.4514285714285506</v>
      </c>
      <c r="K67" s="17">
        <f t="shared" ca="1" si="3"/>
        <v>234.45684818529153</v>
      </c>
      <c r="L67" s="17">
        <f t="shared" ca="1" si="4"/>
        <v>-80.719158847753533</v>
      </c>
      <c r="M67" s="16">
        <f ca="1">(1-$O67)*(1-$O67)*M64+2*$O67*(1-$O67)*INDIRECT("M"&amp;C66)+$O67*$O67*M68</f>
        <v>56.279654596560846</v>
      </c>
      <c r="N67" s="16">
        <f ca="1">(1-$O67)*(1-$O67)*N64+2*$O67*(1-$O67)*INDIRECT("N"&amp;C66)+$O67*$O67*N68</f>
        <v>34.174188492063493</v>
      </c>
      <c r="O67" s="16">
        <f>(B67-B64)/(B68-B64)</f>
        <v>0.75</v>
      </c>
    </row>
    <row r="68" spans="1:15" x14ac:dyDescent="0.25">
      <c r="A68" s="4">
        <f t="shared" si="10"/>
        <v>0.42233796296296239</v>
      </c>
      <c r="B68" s="3">
        <f t="shared" si="11"/>
        <v>1553300490</v>
      </c>
      <c r="C68">
        <f t="shared" si="5"/>
        <v>3</v>
      </c>
      <c r="D68">
        <f t="shared" si="5"/>
        <v>66</v>
      </c>
      <c r="E68">
        <f t="shared" ca="1" si="12"/>
        <v>76384.292142857143</v>
      </c>
      <c r="F68">
        <f t="shared" ca="1" si="13"/>
        <v>48284.892500000002</v>
      </c>
      <c r="G68">
        <f t="shared" ca="1" si="1"/>
        <v>9158.5142857142855</v>
      </c>
      <c r="H68" s="9">
        <f t="shared" ca="1" si="2"/>
        <v>-231.85878571428475</v>
      </c>
      <c r="I68" s="9">
        <f t="shared" ca="1" si="2"/>
        <v>36.984249999999882</v>
      </c>
      <c r="J68" s="9">
        <f t="shared" ca="1" si="2"/>
        <v>1.4514285714285506</v>
      </c>
      <c r="K68" s="9">
        <f t="shared" ca="1" si="3"/>
        <v>234.78997265847005</v>
      </c>
      <c r="L68" s="9">
        <f t="shared" ca="1" si="4"/>
        <v>-80.936989654112935</v>
      </c>
      <c r="M68">
        <f t="shared" ca="1" si="8"/>
        <v>56.281329365079365</v>
      </c>
      <c r="N68">
        <f t="shared" ca="1" si="9"/>
        <v>34.155674603174603</v>
      </c>
    </row>
    <row r="69" spans="1:15" x14ac:dyDescent="0.25">
      <c r="A69" s="4">
        <f t="shared" si="10"/>
        <v>0.42239583333333275</v>
      </c>
      <c r="B69" s="3">
        <f t="shared" si="11"/>
        <v>1553300495</v>
      </c>
      <c r="C69">
        <f t="shared" si="5"/>
        <v>3</v>
      </c>
      <c r="D69">
        <f t="shared" si="5"/>
        <v>66</v>
      </c>
      <c r="E69">
        <f t="shared" ca="1" si="12"/>
        <v>75224.998214285719</v>
      </c>
      <c r="F69">
        <f t="shared" ca="1" si="13"/>
        <v>48469.813750000001</v>
      </c>
      <c r="G69">
        <f t="shared" ca="1" si="1"/>
        <v>9165.7714285714283</v>
      </c>
      <c r="H69" s="9">
        <f t="shared" ca="1" si="2"/>
        <v>-231.85878571428475</v>
      </c>
      <c r="I69" s="9">
        <f t="shared" ca="1" si="2"/>
        <v>36.984249999999882</v>
      </c>
      <c r="J69" s="9">
        <f t="shared" ca="1" si="2"/>
        <v>1.4514285714285506</v>
      </c>
      <c r="K69" s="9">
        <f t="shared" ca="1" si="3"/>
        <v>234.78997265847005</v>
      </c>
      <c r="L69" s="9">
        <f t="shared" ca="1" si="4"/>
        <v>-80.936989654112935</v>
      </c>
      <c r="M69">
        <f t="shared" ca="1" si="8"/>
        <v>56.282966269841268</v>
      </c>
      <c r="N69">
        <f t="shared" ca="1" si="9"/>
        <v>34.137123015873016</v>
      </c>
    </row>
    <row r="70" spans="1:15" x14ac:dyDescent="0.25">
      <c r="A70" s="4">
        <f>A69+5/24/3600</f>
        <v>0.42245370370370311</v>
      </c>
      <c r="B70" s="3">
        <f t="shared" si="11"/>
        <v>1553300500</v>
      </c>
      <c r="C70">
        <f t="shared" si="5"/>
        <v>3</v>
      </c>
      <c r="D70">
        <f t="shared" si="5"/>
        <v>66</v>
      </c>
      <c r="E70">
        <f t="shared" ca="1" si="12"/>
        <v>74065.704285714295</v>
      </c>
      <c r="F70">
        <f t="shared" ca="1" si="13"/>
        <v>48654.735000000001</v>
      </c>
      <c r="G70">
        <f t="shared" ca="1" si="1"/>
        <v>9173.028571428571</v>
      </c>
      <c r="H70" s="9">
        <f t="shared" ca="1" si="2"/>
        <v>-231.85878571428765</v>
      </c>
      <c r="I70" s="9">
        <f t="shared" ca="1" si="2"/>
        <v>36.984249999999882</v>
      </c>
      <c r="J70" s="9">
        <f t="shared" ca="1" si="2"/>
        <v>1.4514285714285506</v>
      </c>
      <c r="K70" s="9">
        <f t="shared" ca="1" si="3"/>
        <v>234.78997265847289</v>
      </c>
      <c r="L70" s="9">
        <f t="shared" ca="1" si="4"/>
        <v>-80.936989654113049</v>
      </c>
      <c r="M70">
        <f t="shared" ca="1" si="8"/>
        <v>56.28460317460317</v>
      </c>
      <c r="N70">
        <f t="shared" ca="1" si="9"/>
        <v>34.118571428571428</v>
      </c>
    </row>
    <row r="71" spans="1:15" x14ac:dyDescent="0.25">
      <c r="A71" s="4">
        <f t="shared" si="10"/>
        <v>0.42251157407407347</v>
      </c>
      <c r="B71" s="3">
        <f t="shared" si="11"/>
        <v>1553300505</v>
      </c>
      <c r="C71">
        <f t="shared" si="5"/>
        <v>3</v>
      </c>
      <c r="D71">
        <f t="shared" si="5"/>
        <v>66</v>
      </c>
      <c r="E71">
        <f t="shared" ca="1" si="12"/>
        <v>72906.410357142857</v>
      </c>
      <c r="F71">
        <f t="shared" ca="1" si="13"/>
        <v>48839.65625</v>
      </c>
      <c r="G71">
        <f t="shared" ref="G71:G134" ca="1" si="14">INDIRECT("G$"&amp;C71)+INDIRECT("J$"&amp;C71)*($B71-INDIRECT("B$"&amp;D71))</f>
        <v>9180.2857142857138</v>
      </c>
      <c r="H71" s="9">
        <f t="shared" ref="H71:J134" ca="1" si="15">(E72-E71)/($B72-$B71)</f>
        <v>-231.85878571428475</v>
      </c>
      <c r="I71" s="9">
        <f t="shared" ca="1" si="15"/>
        <v>36.984249999999882</v>
      </c>
      <c r="J71" s="9">
        <f t="shared" ca="1" si="15"/>
        <v>1.4514285714285506</v>
      </c>
      <c r="K71" s="9">
        <f t="shared" ref="K71:K134" ca="1" si="16">SQRT(H71*H71+I71*I71)</f>
        <v>234.78997265847005</v>
      </c>
      <c r="L71" s="9">
        <f t="shared" ref="L71:L134" ca="1" si="17">DEGREES(ATAN2(I71,H71))</f>
        <v>-80.936989654112935</v>
      </c>
      <c r="M71">
        <f t="shared" ca="1" si="8"/>
        <v>56.286240079365079</v>
      </c>
      <c r="N71">
        <f t="shared" ca="1" si="9"/>
        <v>34.100019841269841</v>
      </c>
    </row>
    <row r="72" spans="1:15" x14ac:dyDescent="0.25">
      <c r="A72" s="4">
        <f t="shared" si="10"/>
        <v>0.42256944444444383</v>
      </c>
      <c r="B72" s="3">
        <f t="shared" si="11"/>
        <v>1553300510</v>
      </c>
      <c r="C72">
        <f t="shared" ref="C72:D135" si="18">C71</f>
        <v>3</v>
      </c>
      <c r="D72">
        <f t="shared" si="18"/>
        <v>66</v>
      </c>
      <c r="E72">
        <f t="shared" ca="1" si="12"/>
        <v>71747.116428571433</v>
      </c>
      <c r="F72">
        <f t="shared" ca="1" si="13"/>
        <v>49024.577499999999</v>
      </c>
      <c r="G72">
        <f t="shared" ca="1" si="14"/>
        <v>9187.5428571428565</v>
      </c>
      <c r="H72" s="9">
        <f t="shared" ca="1" si="15"/>
        <v>-231.85878571428475</v>
      </c>
      <c r="I72" s="9">
        <f t="shared" ca="1" si="15"/>
        <v>36.984250000001339</v>
      </c>
      <c r="J72" s="9">
        <f t="shared" ca="1" si="15"/>
        <v>1.4514285714285506</v>
      </c>
      <c r="K72" s="9">
        <f t="shared" ca="1" si="16"/>
        <v>234.78997265847025</v>
      </c>
      <c r="L72" s="9">
        <f t="shared" ca="1" si="17"/>
        <v>-80.936989654112594</v>
      </c>
      <c r="M72">
        <f t="shared" ref="M72:M135" ca="1" si="19">INDIRECT("M$"&amp;C72)+INDIRECT("O$"&amp;C72)*($B72-INDIRECT("B$"&amp;D72))</f>
        <v>56.287876984126981</v>
      </c>
      <c r="N72">
        <f t="shared" ref="N72:N135" ca="1" si="20">INDIRECT("N$"&amp;C72)+INDIRECT("P$"&amp;C72)*($B72-INDIRECT("B$"&amp;D72))</f>
        <v>34.081468253968254</v>
      </c>
    </row>
    <row r="73" spans="1:15" x14ac:dyDescent="0.25">
      <c r="A73" s="4">
        <f t="shared" ref="A73:A102" si="21">A72+5/24/3600</f>
        <v>0.42262731481481419</v>
      </c>
      <c r="B73" s="3">
        <f t="shared" ref="B73:B136" si="22">B72+SECOND(A73-A72)</f>
        <v>1553300515</v>
      </c>
      <c r="C73">
        <f t="shared" si="18"/>
        <v>3</v>
      </c>
      <c r="D73">
        <f t="shared" si="18"/>
        <v>66</v>
      </c>
      <c r="E73">
        <f t="shared" ca="1" si="12"/>
        <v>70587.822500000009</v>
      </c>
      <c r="F73">
        <f t="shared" ca="1" si="13"/>
        <v>49209.498750000006</v>
      </c>
      <c r="G73">
        <f t="shared" ca="1" si="14"/>
        <v>9194.7999999999993</v>
      </c>
      <c r="H73" s="9">
        <f t="shared" ca="1" si="15"/>
        <v>-231.85878571428765</v>
      </c>
      <c r="I73" s="9">
        <f t="shared" ca="1" si="15"/>
        <v>36.984249999999882</v>
      </c>
      <c r="J73" s="9">
        <f t="shared" ca="1" si="15"/>
        <v>1.4514285714285506</v>
      </c>
      <c r="K73" s="9">
        <f t="shared" ca="1" si="16"/>
        <v>234.78997265847289</v>
      </c>
      <c r="L73" s="9">
        <f t="shared" ca="1" si="17"/>
        <v>-80.936989654113049</v>
      </c>
      <c r="M73">
        <f t="shared" ca="1" si="19"/>
        <v>56.289513888888884</v>
      </c>
      <c r="N73">
        <f t="shared" ca="1" si="20"/>
        <v>34.062916666666666</v>
      </c>
    </row>
    <row r="74" spans="1:15" x14ac:dyDescent="0.25">
      <c r="A74" s="4">
        <f t="shared" si="21"/>
        <v>0.42268518518518455</v>
      </c>
      <c r="B74" s="3">
        <f t="shared" si="22"/>
        <v>1553300520</v>
      </c>
      <c r="C74">
        <f t="shared" si="18"/>
        <v>3</v>
      </c>
      <c r="D74">
        <f t="shared" si="18"/>
        <v>66</v>
      </c>
      <c r="E74">
        <f t="shared" ca="1" si="12"/>
        <v>69428.528571428571</v>
      </c>
      <c r="F74">
        <f t="shared" ca="1" si="13"/>
        <v>49394.420000000006</v>
      </c>
      <c r="G74">
        <f t="shared" ca="1" si="14"/>
        <v>9202.057142857142</v>
      </c>
      <c r="H74" s="9">
        <f t="shared" ca="1" si="15"/>
        <v>-231.85878571428475</v>
      </c>
      <c r="I74" s="9">
        <f t="shared" ca="1" si="15"/>
        <v>36.984249999999882</v>
      </c>
      <c r="J74" s="9">
        <f t="shared" ca="1" si="15"/>
        <v>1.4514285714289143</v>
      </c>
      <c r="K74" s="9">
        <f t="shared" ca="1" si="16"/>
        <v>234.78997265847005</v>
      </c>
      <c r="L74" s="9">
        <f t="shared" ca="1" si="17"/>
        <v>-80.936989654112935</v>
      </c>
      <c r="M74">
        <f t="shared" ca="1" si="19"/>
        <v>56.291150793650793</v>
      </c>
      <c r="N74">
        <f t="shared" ca="1" si="20"/>
        <v>34.044365079365079</v>
      </c>
    </row>
    <row r="75" spans="1:15" x14ac:dyDescent="0.25">
      <c r="A75" s="4">
        <f t="shared" si="21"/>
        <v>0.42274305555555491</v>
      </c>
      <c r="B75" s="3">
        <f t="shared" si="22"/>
        <v>1553300525</v>
      </c>
      <c r="C75">
        <f t="shared" si="18"/>
        <v>3</v>
      </c>
      <c r="D75">
        <f t="shared" si="18"/>
        <v>66</v>
      </c>
      <c r="E75">
        <f t="shared" ca="1" si="12"/>
        <v>68269.234642857147</v>
      </c>
      <c r="F75">
        <f t="shared" ca="1" si="13"/>
        <v>49579.341250000005</v>
      </c>
      <c r="G75">
        <f t="shared" ca="1" si="14"/>
        <v>9209.3142857142866</v>
      </c>
      <c r="H75" s="9">
        <f t="shared" ca="1" si="15"/>
        <v>-231.85878571428475</v>
      </c>
      <c r="I75" s="9">
        <f t="shared" ca="1" si="15"/>
        <v>36.984249999999882</v>
      </c>
      <c r="J75" s="9">
        <f t="shared" ca="1" si="15"/>
        <v>1.4514285714285506</v>
      </c>
      <c r="K75" s="9">
        <f t="shared" ca="1" si="16"/>
        <v>234.78997265847005</v>
      </c>
      <c r="L75" s="9">
        <f t="shared" ca="1" si="17"/>
        <v>-80.936989654112935</v>
      </c>
      <c r="M75">
        <f t="shared" ca="1" si="19"/>
        <v>56.292787698412695</v>
      </c>
      <c r="N75">
        <f t="shared" ca="1" si="20"/>
        <v>34.025813492063492</v>
      </c>
    </row>
    <row r="76" spans="1:15" x14ac:dyDescent="0.25">
      <c r="A76" s="4">
        <f t="shared" si="21"/>
        <v>0.42280092592592528</v>
      </c>
      <c r="B76" s="3">
        <f t="shared" si="22"/>
        <v>1553300530</v>
      </c>
      <c r="C76">
        <f t="shared" si="18"/>
        <v>3</v>
      </c>
      <c r="D76">
        <f t="shared" si="18"/>
        <v>66</v>
      </c>
      <c r="E76">
        <f t="shared" ca="1" si="12"/>
        <v>67109.940714285724</v>
      </c>
      <c r="F76">
        <f t="shared" ca="1" si="13"/>
        <v>49764.262500000004</v>
      </c>
      <c r="G76">
        <f t="shared" ca="1" si="14"/>
        <v>9216.5714285714294</v>
      </c>
      <c r="H76" s="9">
        <f t="shared" ca="1" si="15"/>
        <v>-231.85878571428765</v>
      </c>
      <c r="I76" s="9">
        <f t="shared" ca="1" si="15"/>
        <v>36.984249999999882</v>
      </c>
      <c r="J76" s="9">
        <f t="shared" ca="1" si="15"/>
        <v>1.4514285714285506</v>
      </c>
      <c r="K76" s="9">
        <f t="shared" ca="1" si="16"/>
        <v>234.78997265847289</v>
      </c>
      <c r="L76" s="9">
        <f t="shared" ca="1" si="17"/>
        <v>-80.936989654113049</v>
      </c>
      <c r="M76">
        <f t="shared" ca="1" si="19"/>
        <v>56.294424603174605</v>
      </c>
      <c r="N76">
        <f t="shared" ca="1" si="20"/>
        <v>34.007261904761904</v>
      </c>
    </row>
    <row r="77" spans="1:15" x14ac:dyDescent="0.25">
      <c r="A77" s="4">
        <f t="shared" si="21"/>
        <v>0.42285879629629564</v>
      </c>
      <c r="B77" s="3">
        <f t="shared" si="22"/>
        <v>1553300535</v>
      </c>
      <c r="C77">
        <f t="shared" si="18"/>
        <v>3</v>
      </c>
      <c r="D77">
        <f t="shared" si="18"/>
        <v>66</v>
      </c>
      <c r="E77">
        <f t="shared" ca="1" si="12"/>
        <v>65950.646785714285</v>
      </c>
      <c r="F77">
        <f t="shared" ca="1" si="13"/>
        <v>49949.183750000004</v>
      </c>
      <c r="G77">
        <f t="shared" ca="1" si="14"/>
        <v>9223.8285714285721</v>
      </c>
      <c r="H77" s="9">
        <f t="shared" ca="1" si="15"/>
        <v>-231.85878571428475</v>
      </c>
      <c r="I77" s="9">
        <f t="shared" ca="1" si="15"/>
        <v>36.984249999999882</v>
      </c>
      <c r="J77" s="9">
        <f t="shared" ca="1" si="15"/>
        <v>1.4514285714285506</v>
      </c>
      <c r="K77" s="9">
        <f t="shared" ca="1" si="16"/>
        <v>234.78997265847005</v>
      </c>
      <c r="L77" s="9">
        <f t="shared" ca="1" si="17"/>
        <v>-80.936989654112935</v>
      </c>
      <c r="M77">
        <f t="shared" ca="1" si="19"/>
        <v>56.296061507936507</v>
      </c>
      <c r="N77">
        <f t="shared" ca="1" si="20"/>
        <v>33.988710317460317</v>
      </c>
    </row>
    <row r="78" spans="1:15" x14ac:dyDescent="0.25">
      <c r="A78" s="4">
        <f t="shared" si="21"/>
        <v>0.422916666666666</v>
      </c>
      <c r="B78" s="3">
        <f t="shared" si="22"/>
        <v>1553300540</v>
      </c>
      <c r="C78">
        <f t="shared" si="18"/>
        <v>3</v>
      </c>
      <c r="D78">
        <f t="shared" si="18"/>
        <v>66</v>
      </c>
      <c r="E78">
        <f t="shared" ca="1" si="12"/>
        <v>64791.352857142861</v>
      </c>
      <c r="F78">
        <f t="shared" ca="1" si="13"/>
        <v>50134.105000000003</v>
      </c>
      <c r="G78">
        <f t="shared" ca="1" si="14"/>
        <v>9231.0857142857149</v>
      </c>
      <c r="H78" s="9">
        <f t="shared" ca="1" si="15"/>
        <v>-231.8587857142862</v>
      </c>
      <c r="I78" s="9">
        <f t="shared" ca="1" si="15"/>
        <v>36.984249999999882</v>
      </c>
      <c r="J78" s="9">
        <f t="shared" ca="1" si="15"/>
        <v>1.4514285714285506</v>
      </c>
      <c r="K78" s="9">
        <f t="shared" ca="1" si="16"/>
        <v>234.78997265847147</v>
      </c>
      <c r="L78" s="9">
        <f t="shared" ca="1" si="17"/>
        <v>-80.936989654112992</v>
      </c>
      <c r="M78">
        <f t="shared" ca="1" si="19"/>
        <v>56.297698412698409</v>
      </c>
      <c r="N78">
        <f t="shared" ca="1" si="20"/>
        <v>33.97015873015873</v>
      </c>
    </row>
    <row r="79" spans="1:15" x14ac:dyDescent="0.25">
      <c r="A79" s="4">
        <f t="shared" si="21"/>
        <v>0.42297453703703636</v>
      </c>
      <c r="B79" s="3">
        <f t="shared" si="22"/>
        <v>1553300545</v>
      </c>
      <c r="C79">
        <f t="shared" si="18"/>
        <v>3</v>
      </c>
      <c r="D79">
        <f t="shared" si="18"/>
        <v>66</v>
      </c>
      <c r="E79">
        <f t="shared" ca="1" si="12"/>
        <v>63632.05892857143</v>
      </c>
      <c r="F79">
        <f t="shared" ca="1" si="13"/>
        <v>50319.026250000003</v>
      </c>
      <c r="G79">
        <f t="shared" ca="1" si="14"/>
        <v>9238.3428571428576</v>
      </c>
      <c r="H79" s="9">
        <f t="shared" ca="1" si="15"/>
        <v>-231.85878571428475</v>
      </c>
      <c r="I79" s="9">
        <f t="shared" ca="1" si="15"/>
        <v>36.984249999999882</v>
      </c>
      <c r="J79" s="9">
        <f t="shared" ca="1" si="15"/>
        <v>1.4514285714285506</v>
      </c>
      <c r="K79" s="9">
        <f t="shared" ca="1" si="16"/>
        <v>234.78997265847005</v>
      </c>
      <c r="L79" s="9">
        <f t="shared" ca="1" si="17"/>
        <v>-80.936989654112935</v>
      </c>
      <c r="M79">
        <f t="shared" ca="1" si="19"/>
        <v>56.299335317460319</v>
      </c>
      <c r="N79">
        <f t="shared" ca="1" si="20"/>
        <v>33.951607142857142</v>
      </c>
    </row>
    <row r="80" spans="1:15" x14ac:dyDescent="0.25">
      <c r="A80" s="4">
        <f t="shared" si="21"/>
        <v>0.42303240740740672</v>
      </c>
      <c r="B80" s="3">
        <f t="shared" si="22"/>
        <v>1553300550</v>
      </c>
      <c r="C80">
        <f t="shared" si="18"/>
        <v>3</v>
      </c>
      <c r="D80">
        <f t="shared" si="18"/>
        <v>66</v>
      </c>
      <c r="E80">
        <f t="shared" ca="1" si="12"/>
        <v>62472.765000000007</v>
      </c>
      <c r="F80">
        <f t="shared" ca="1" si="13"/>
        <v>50503.947500000002</v>
      </c>
      <c r="G80">
        <f t="shared" ca="1" si="14"/>
        <v>9245.6</v>
      </c>
      <c r="H80" s="9">
        <f t="shared" ca="1" si="15"/>
        <v>-231.8587857142862</v>
      </c>
      <c r="I80" s="9">
        <f t="shared" ca="1" si="15"/>
        <v>36.984249999999882</v>
      </c>
      <c r="J80" s="9">
        <f t="shared" ca="1" si="15"/>
        <v>1.4514285714285506</v>
      </c>
      <c r="K80" s="9">
        <f t="shared" ca="1" si="16"/>
        <v>234.78997265847147</v>
      </c>
      <c r="L80" s="9">
        <f t="shared" ca="1" si="17"/>
        <v>-80.936989654112992</v>
      </c>
      <c r="M80">
        <f t="shared" ca="1" si="19"/>
        <v>56.300972222222221</v>
      </c>
      <c r="N80">
        <f t="shared" ca="1" si="20"/>
        <v>33.933055555555555</v>
      </c>
    </row>
    <row r="81" spans="1:14" x14ac:dyDescent="0.25">
      <c r="A81" s="4">
        <f t="shared" si="21"/>
        <v>0.42309027777777708</v>
      </c>
      <c r="B81" s="3">
        <f t="shared" si="22"/>
        <v>1553300555</v>
      </c>
      <c r="C81">
        <f t="shared" si="18"/>
        <v>3</v>
      </c>
      <c r="D81">
        <f t="shared" si="18"/>
        <v>66</v>
      </c>
      <c r="E81">
        <f t="shared" ca="1" si="12"/>
        <v>61313.471071428576</v>
      </c>
      <c r="F81">
        <f t="shared" ca="1" si="13"/>
        <v>50688.868750000001</v>
      </c>
      <c r="G81">
        <f t="shared" ca="1" si="14"/>
        <v>9252.8571428571431</v>
      </c>
      <c r="H81" s="9">
        <f t="shared" ca="1" si="15"/>
        <v>-231.85878571428475</v>
      </c>
      <c r="I81" s="9">
        <f t="shared" ca="1" si="15"/>
        <v>36.984249999999882</v>
      </c>
      <c r="J81" s="9">
        <f t="shared" ca="1" si="15"/>
        <v>1.4514285714285506</v>
      </c>
      <c r="K81" s="9">
        <f t="shared" ca="1" si="16"/>
        <v>234.78997265847005</v>
      </c>
      <c r="L81" s="9">
        <f t="shared" ca="1" si="17"/>
        <v>-80.936989654112935</v>
      </c>
      <c r="M81">
        <f t="shared" ca="1" si="19"/>
        <v>56.302609126984123</v>
      </c>
      <c r="N81">
        <f t="shared" ca="1" si="20"/>
        <v>33.914503968253968</v>
      </c>
    </row>
    <row r="82" spans="1:14" x14ac:dyDescent="0.25">
      <c r="A82" s="4">
        <f t="shared" si="21"/>
        <v>0.42314814814814744</v>
      </c>
      <c r="B82" s="3">
        <f t="shared" si="22"/>
        <v>1553300560</v>
      </c>
      <c r="C82">
        <f t="shared" si="18"/>
        <v>3</v>
      </c>
      <c r="D82">
        <f t="shared" si="18"/>
        <v>66</v>
      </c>
      <c r="E82">
        <f t="shared" ca="1" si="12"/>
        <v>60154.177142857152</v>
      </c>
      <c r="F82">
        <f t="shared" ca="1" si="13"/>
        <v>50873.79</v>
      </c>
      <c r="G82">
        <f t="shared" ca="1" si="14"/>
        <v>9260.1142857142859</v>
      </c>
      <c r="H82" s="9">
        <f t="shared" ca="1" si="15"/>
        <v>-231.85878571428765</v>
      </c>
      <c r="I82" s="9">
        <f t="shared" ca="1" si="15"/>
        <v>36.984249999999882</v>
      </c>
      <c r="J82" s="9">
        <f t="shared" ca="1" si="15"/>
        <v>1.4514285714285506</v>
      </c>
      <c r="K82" s="9">
        <f t="shared" ca="1" si="16"/>
        <v>234.78997265847289</v>
      </c>
      <c r="L82" s="9">
        <f t="shared" ca="1" si="17"/>
        <v>-80.936989654113049</v>
      </c>
      <c r="M82">
        <f t="shared" ca="1" si="19"/>
        <v>56.304246031746032</v>
      </c>
      <c r="N82">
        <f t="shared" ca="1" si="20"/>
        <v>33.89595238095238</v>
      </c>
    </row>
    <row r="83" spans="1:14" x14ac:dyDescent="0.25">
      <c r="A83" s="4">
        <f t="shared" si="21"/>
        <v>0.4232060185185178</v>
      </c>
      <c r="B83" s="3">
        <f t="shared" si="22"/>
        <v>1553300565</v>
      </c>
      <c r="C83">
        <f t="shared" si="18"/>
        <v>3</v>
      </c>
      <c r="D83">
        <f t="shared" si="18"/>
        <v>66</v>
      </c>
      <c r="E83">
        <f t="shared" ca="1" si="12"/>
        <v>58994.883214285714</v>
      </c>
      <c r="F83">
        <f t="shared" ca="1" si="13"/>
        <v>51058.71125</v>
      </c>
      <c r="G83">
        <f t="shared" ca="1" si="14"/>
        <v>9267.3714285714286</v>
      </c>
      <c r="H83" s="9">
        <f t="shared" ca="1" si="15"/>
        <v>-231.85878571428475</v>
      </c>
      <c r="I83" s="9">
        <f t="shared" ca="1" si="15"/>
        <v>36.984250000001339</v>
      </c>
      <c r="J83" s="9">
        <f t="shared" ca="1" si="15"/>
        <v>1.4514285714285506</v>
      </c>
      <c r="K83" s="9">
        <f t="shared" ca="1" si="16"/>
        <v>234.78997265847025</v>
      </c>
      <c r="L83" s="9">
        <f t="shared" ca="1" si="17"/>
        <v>-80.936989654112594</v>
      </c>
      <c r="M83">
        <f t="shared" ca="1" si="19"/>
        <v>56.305882936507935</v>
      </c>
      <c r="N83">
        <f t="shared" ca="1" si="20"/>
        <v>33.877400793650793</v>
      </c>
    </row>
    <row r="84" spans="1:14" x14ac:dyDescent="0.25">
      <c r="A84" s="4">
        <f t="shared" si="21"/>
        <v>0.42326388888888816</v>
      </c>
      <c r="B84" s="3">
        <f t="shared" si="22"/>
        <v>1553300570</v>
      </c>
      <c r="C84">
        <f t="shared" si="18"/>
        <v>3</v>
      </c>
      <c r="D84">
        <f t="shared" si="18"/>
        <v>66</v>
      </c>
      <c r="E84">
        <f t="shared" ca="1" si="12"/>
        <v>57835.58928571429</v>
      </c>
      <c r="F84">
        <f t="shared" ca="1" si="13"/>
        <v>51243.632500000007</v>
      </c>
      <c r="G84">
        <f t="shared" ca="1" si="14"/>
        <v>9274.6285714285714</v>
      </c>
      <c r="H84" s="9">
        <f t="shared" ca="1" si="15"/>
        <v>-231.85878571428475</v>
      </c>
      <c r="I84" s="9">
        <f t="shared" ca="1" si="15"/>
        <v>36.984249999999882</v>
      </c>
      <c r="J84" s="9">
        <f t="shared" ca="1" si="15"/>
        <v>1.4514285714285506</v>
      </c>
      <c r="K84" s="9">
        <f t="shared" ca="1" si="16"/>
        <v>234.78997265847005</v>
      </c>
      <c r="L84" s="9">
        <f t="shared" ca="1" si="17"/>
        <v>-80.936989654112935</v>
      </c>
      <c r="M84">
        <f t="shared" ca="1" si="19"/>
        <v>56.307519841269837</v>
      </c>
      <c r="N84">
        <f t="shared" ca="1" si="20"/>
        <v>33.858849206349205</v>
      </c>
    </row>
    <row r="85" spans="1:14" x14ac:dyDescent="0.25">
      <c r="A85" s="4">
        <f t="shared" si="21"/>
        <v>0.42332175925925852</v>
      </c>
      <c r="B85" s="3">
        <f t="shared" si="22"/>
        <v>1553300575</v>
      </c>
      <c r="C85">
        <f t="shared" si="18"/>
        <v>3</v>
      </c>
      <c r="D85">
        <f t="shared" si="18"/>
        <v>66</v>
      </c>
      <c r="E85">
        <f t="shared" ca="1" si="12"/>
        <v>56676.295357142866</v>
      </c>
      <c r="F85">
        <f t="shared" ca="1" si="13"/>
        <v>51428.553750000006</v>
      </c>
      <c r="G85">
        <f t="shared" ca="1" si="14"/>
        <v>9281.8857142857141</v>
      </c>
      <c r="H85" s="9">
        <f t="shared" ca="1" si="15"/>
        <v>-231.85878571428765</v>
      </c>
      <c r="I85" s="9">
        <f t="shared" ca="1" si="15"/>
        <v>36.984249999999882</v>
      </c>
      <c r="J85" s="9">
        <f t="shared" ca="1" si="15"/>
        <v>1.4514285714285506</v>
      </c>
      <c r="K85" s="9">
        <f t="shared" ca="1" si="16"/>
        <v>234.78997265847289</v>
      </c>
      <c r="L85" s="9">
        <f t="shared" ca="1" si="17"/>
        <v>-80.936989654113049</v>
      </c>
      <c r="M85">
        <f t="shared" ca="1" si="19"/>
        <v>56.309156746031746</v>
      </c>
      <c r="N85">
        <f t="shared" ca="1" si="20"/>
        <v>33.840297619047618</v>
      </c>
    </row>
    <row r="86" spans="1:14" x14ac:dyDescent="0.25">
      <c r="A86" s="4">
        <f t="shared" si="21"/>
        <v>0.42337962962962888</v>
      </c>
      <c r="B86" s="3">
        <f t="shared" si="22"/>
        <v>1553300580</v>
      </c>
      <c r="C86">
        <f t="shared" si="18"/>
        <v>3</v>
      </c>
      <c r="D86">
        <f t="shared" si="18"/>
        <v>66</v>
      </c>
      <c r="E86">
        <f t="shared" ca="1" si="12"/>
        <v>55517.001428571428</v>
      </c>
      <c r="F86">
        <f t="shared" ca="1" si="13"/>
        <v>51613.475000000006</v>
      </c>
      <c r="G86">
        <f t="shared" ca="1" si="14"/>
        <v>9289.1428571428569</v>
      </c>
      <c r="H86" s="9">
        <f t="shared" ca="1" si="15"/>
        <v>-231.85878571428475</v>
      </c>
      <c r="I86" s="9">
        <f t="shared" ca="1" si="15"/>
        <v>36.984249999999882</v>
      </c>
      <c r="J86" s="9">
        <f t="shared" ca="1" si="15"/>
        <v>1.4514285714285506</v>
      </c>
      <c r="K86" s="9">
        <f t="shared" ca="1" si="16"/>
        <v>234.78997265847005</v>
      </c>
      <c r="L86" s="9">
        <f t="shared" ca="1" si="17"/>
        <v>-80.936989654112935</v>
      </c>
      <c r="M86">
        <f t="shared" ca="1" si="19"/>
        <v>56.310793650793649</v>
      </c>
      <c r="N86">
        <f t="shared" ca="1" si="20"/>
        <v>33.821746031746031</v>
      </c>
    </row>
    <row r="87" spans="1:14" x14ac:dyDescent="0.25">
      <c r="A87" s="4">
        <f t="shared" si="21"/>
        <v>0.42343749999999925</v>
      </c>
      <c r="B87" s="3">
        <f t="shared" si="22"/>
        <v>1553300585</v>
      </c>
      <c r="C87">
        <f t="shared" si="18"/>
        <v>3</v>
      </c>
      <c r="D87">
        <f t="shared" si="18"/>
        <v>66</v>
      </c>
      <c r="E87">
        <f t="shared" ca="1" si="12"/>
        <v>54357.707500000004</v>
      </c>
      <c r="F87">
        <f t="shared" ca="1" si="13"/>
        <v>51798.396250000005</v>
      </c>
      <c r="G87">
        <f t="shared" ca="1" si="14"/>
        <v>9296.4</v>
      </c>
      <c r="H87" s="9">
        <f t="shared" ca="1" si="15"/>
        <v>-231.85878571428475</v>
      </c>
      <c r="I87" s="9">
        <f t="shared" ca="1" si="15"/>
        <v>36.984249999999882</v>
      </c>
      <c r="J87" s="9">
        <f t="shared" ca="1" si="15"/>
        <v>1.4514285714285506</v>
      </c>
      <c r="K87" s="9">
        <f t="shared" ca="1" si="16"/>
        <v>234.78997265847005</v>
      </c>
      <c r="L87" s="9">
        <f t="shared" ca="1" si="17"/>
        <v>-80.936989654112935</v>
      </c>
      <c r="M87">
        <f t="shared" ca="1" si="19"/>
        <v>56.312430555555551</v>
      </c>
      <c r="N87">
        <f t="shared" ca="1" si="20"/>
        <v>33.803194444444443</v>
      </c>
    </row>
    <row r="88" spans="1:14" x14ac:dyDescent="0.25">
      <c r="A88" s="4">
        <f t="shared" si="21"/>
        <v>0.42349537037036961</v>
      </c>
      <c r="B88" s="3">
        <f t="shared" si="22"/>
        <v>1553300590</v>
      </c>
      <c r="C88">
        <f t="shared" si="18"/>
        <v>3</v>
      </c>
      <c r="D88">
        <f t="shared" si="18"/>
        <v>66</v>
      </c>
      <c r="E88">
        <f t="shared" ca="1" si="12"/>
        <v>53198.41357142858</v>
      </c>
      <c r="F88">
        <f t="shared" ca="1" si="13"/>
        <v>51983.317500000005</v>
      </c>
      <c r="G88">
        <f t="shared" ca="1" si="14"/>
        <v>9303.6571428571424</v>
      </c>
      <c r="H88" s="9">
        <f t="shared" ca="1" si="15"/>
        <v>-231.85878571428765</v>
      </c>
      <c r="I88" s="9">
        <f t="shared" ca="1" si="15"/>
        <v>36.984249999999882</v>
      </c>
      <c r="J88" s="9">
        <f t="shared" ca="1" si="15"/>
        <v>1.4514285714285506</v>
      </c>
      <c r="K88" s="9">
        <f t="shared" ca="1" si="16"/>
        <v>234.78997265847289</v>
      </c>
      <c r="L88" s="9">
        <f t="shared" ca="1" si="17"/>
        <v>-80.936989654113049</v>
      </c>
      <c r="M88">
        <f t="shared" ca="1" si="19"/>
        <v>56.31406746031746</v>
      </c>
      <c r="N88">
        <f t="shared" ca="1" si="20"/>
        <v>33.784642857142856</v>
      </c>
    </row>
    <row r="89" spans="1:14" x14ac:dyDescent="0.25">
      <c r="A89" s="4">
        <f t="shared" si="21"/>
        <v>0.42355324074073997</v>
      </c>
      <c r="B89" s="3">
        <f t="shared" si="22"/>
        <v>1553300595</v>
      </c>
      <c r="C89">
        <f t="shared" si="18"/>
        <v>3</v>
      </c>
      <c r="D89">
        <f t="shared" si="18"/>
        <v>66</v>
      </c>
      <c r="E89">
        <f t="shared" ca="1" si="12"/>
        <v>52039.119642857142</v>
      </c>
      <c r="F89">
        <f t="shared" ca="1" si="13"/>
        <v>52168.238750000004</v>
      </c>
      <c r="G89">
        <f t="shared" ca="1" si="14"/>
        <v>9310.9142857142851</v>
      </c>
      <c r="H89" s="9">
        <f t="shared" ca="1" si="15"/>
        <v>-231.85878571428475</v>
      </c>
      <c r="I89" s="9">
        <f t="shared" ca="1" si="15"/>
        <v>36.984249999999882</v>
      </c>
      <c r="J89" s="9">
        <f t="shared" ca="1" si="15"/>
        <v>1.4514285714285506</v>
      </c>
      <c r="K89" s="9">
        <f t="shared" ca="1" si="16"/>
        <v>234.78997265847005</v>
      </c>
      <c r="L89" s="9">
        <f t="shared" ca="1" si="17"/>
        <v>-80.936989654112935</v>
      </c>
      <c r="M89">
        <f t="shared" ca="1" si="19"/>
        <v>56.315704365079363</v>
      </c>
      <c r="N89">
        <f t="shared" ca="1" si="20"/>
        <v>33.766091269841269</v>
      </c>
    </row>
    <row r="90" spans="1:14" x14ac:dyDescent="0.25">
      <c r="A90" s="4">
        <f t="shared" si="21"/>
        <v>0.42361111111111033</v>
      </c>
      <c r="B90" s="3">
        <f t="shared" si="22"/>
        <v>1553300600</v>
      </c>
      <c r="C90">
        <f t="shared" si="18"/>
        <v>3</v>
      </c>
      <c r="D90">
        <f t="shared" si="18"/>
        <v>66</v>
      </c>
      <c r="E90">
        <f t="shared" ca="1" si="12"/>
        <v>50879.825714285718</v>
      </c>
      <c r="F90">
        <f t="shared" ca="1" si="13"/>
        <v>52353.16</v>
      </c>
      <c r="G90">
        <f t="shared" ca="1" si="14"/>
        <v>9318.1714285714279</v>
      </c>
      <c r="H90" s="9">
        <f t="shared" ca="1" si="15"/>
        <v>-231.85878571428475</v>
      </c>
      <c r="I90" s="9">
        <f t="shared" ca="1" si="15"/>
        <v>36.984249999999882</v>
      </c>
      <c r="J90" s="9">
        <f t="shared" ca="1" si="15"/>
        <v>1.4514285714289143</v>
      </c>
      <c r="K90" s="9">
        <f t="shared" ca="1" si="16"/>
        <v>234.78997265847005</v>
      </c>
      <c r="L90" s="9">
        <f t="shared" ca="1" si="17"/>
        <v>-80.936989654112935</v>
      </c>
      <c r="M90">
        <f t="shared" ca="1" si="19"/>
        <v>56.317341269841265</v>
      </c>
      <c r="N90">
        <f t="shared" ca="1" si="20"/>
        <v>33.747539682539681</v>
      </c>
    </row>
    <row r="91" spans="1:14" x14ac:dyDescent="0.25">
      <c r="A91" s="4">
        <f t="shared" si="21"/>
        <v>0.42366898148148069</v>
      </c>
      <c r="B91" s="3">
        <f t="shared" si="22"/>
        <v>1553300605</v>
      </c>
      <c r="C91">
        <f t="shared" si="18"/>
        <v>3</v>
      </c>
      <c r="D91">
        <f t="shared" si="18"/>
        <v>66</v>
      </c>
      <c r="E91">
        <f t="shared" ca="1" si="12"/>
        <v>49720.531785714295</v>
      </c>
      <c r="F91">
        <f t="shared" ca="1" si="13"/>
        <v>52538.081250000003</v>
      </c>
      <c r="G91">
        <f t="shared" ca="1" si="14"/>
        <v>9325.4285714285725</v>
      </c>
      <c r="H91" s="9">
        <f t="shared" ca="1" si="15"/>
        <v>-231.85878571428765</v>
      </c>
      <c r="I91" s="9">
        <f t="shared" ca="1" si="15"/>
        <v>36.984249999999882</v>
      </c>
      <c r="J91" s="9">
        <f t="shared" ca="1" si="15"/>
        <v>1.4514285714285506</v>
      </c>
      <c r="K91" s="9">
        <f t="shared" ca="1" si="16"/>
        <v>234.78997265847289</v>
      </c>
      <c r="L91" s="9">
        <f t="shared" ca="1" si="17"/>
        <v>-80.936989654113049</v>
      </c>
      <c r="M91">
        <f t="shared" ca="1" si="19"/>
        <v>56.318978174603174</v>
      </c>
      <c r="N91">
        <f t="shared" ca="1" si="20"/>
        <v>33.728988095238094</v>
      </c>
    </row>
    <row r="92" spans="1:14" x14ac:dyDescent="0.25">
      <c r="A92" s="4">
        <f t="shared" si="21"/>
        <v>0.42372685185185105</v>
      </c>
      <c r="B92" s="3">
        <f t="shared" si="22"/>
        <v>1553300610</v>
      </c>
      <c r="C92">
        <f t="shared" si="18"/>
        <v>3</v>
      </c>
      <c r="D92">
        <f t="shared" si="18"/>
        <v>66</v>
      </c>
      <c r="E92">
        <f t="shared" ca="1" si="12"/>
        <v>48561.237857142856</v>
      </c>
      <c r="F92">
        <f t="shared" ca="1" si="13"/>
        <v>52723.002500000002</v>
      </c>
      <c r="G92">
        <f t="shared" ca="1" si="14"/>
        <v>9332.6857142857152</v>
      </c>
      <c r="H92" s="9">
        <f t="shared" ca="1" si="15"/>
        <v>-231.85878571428475</v>
      </c>
      <c r="I92" s="9">
        <f t="shared" ca="1" si="15"/>
        <v>36.984249999999882</v>
      </c>
      <c r="J92" s="9">
        <f t="shared" ca="1" si="15"/>
        <v>1.4514285714285506</v>
      </c>
      <c r="K92" s="9">
        <f t="shared" ca="1" si="16"/>
        <v>234.78997265847005</v>
      </c>
      <c r="L92" s="9">
        <f t="shared" ca="1" si="17"/>
        <v>-80.936989654112935</v>
      </c>
      <c r="M92">
        <f t="shared" ca="1" si="19"/>
        <v>56.320615079365076</v>
      </c>
      <c r="N92">
        <f t="shared" ca="1" si="20"/>
        <v>33.710436507936507</v>
      </c>
    </row>
    <row r="93" spans="1:14" x14ac:dyDescent="0.25">
      <c r="A93" s="4">
        <f t="shared" si="21"/>
        <v>0.42378472222222141</v>
      </c>
      <c r="B93" s="3">
        <f t="shared" si="22"/>
        <v>1553300615</v>
      </c>
      <c r="C93">
        <f t="shared" si="18"/>
        <v>3</v>
      </c>
      <c r="D93">
        <f t="shared" si="18"/>
        <v>66</v>
      </c>
      <c r="E93">
        <f t="shared" ca="1" si="12"/>
        <v>47401.943928571432</v>
      </c>
      <c r="F93">
        <f t="shared" ca="1" si="13"/>
        <v>52907.923750000002</v>
      </c>
      <c r="G93">
        <f t="shared" ca="1" si="14"/>
        <v>9339.942857142858</v>
      </c>
      <c r="H93" s="9">
        <f t="shared" ca="1" si="15"/>
        <v>-231.85878571428475</v>
      </c>
      <c r="I93" s="9">
        <f t="shared" ca="1" si="15"/>
        <v>36.984249999999882</v>
      </c>
      <c r="J93" s="9">
        <f t="shared" ca="1" si="15"/>
        <v>1.4514285714285506</v>
      </c>
      <c r="K93" s="9">
        <f t="shared" ca="1" si="16"/>
        <v>234.78997265847005</v>
      </c>
      <c r="L93" s="9">
        <f t="shared" ca="1" si="17"/>
        <v>-80.936989654112935</v>
      </c>
      <c r="M93">
        <f t="shared" ca="1" si="19"/>
        <v>56.322251984126979</v>
      </c>
      <c r="N93">
        <f t="shared" ca="1" si="20"/>
        <v>33.691884920634919</v>
      </c>
    </row>
    <row r="94" spans="1:14" x14ac:dyDescent="0.25">
      <c r="A94" s="4">
        <f t="shared" si="21"/>
        <v>0.42384259259259177</v>
      </c>
      <c r="B94" s="3">
        <f t="shared" si="22"/>
        <v>1553300620</v>
      </c>
      <c r="C94">
        <f t="shared" si="18"/>
        <v>3</v>
      </c>
      <c r="D94">
        <f t="shared" si="18"/>
        <v>66</v>
      </c>
      <c r="E94">
        <f t="shared" ca="1" si="12"/>
        <v>46242.650000000009</v>
      </c>
      <c r="F94">
        <f t="shared" ca="1" si="13"/>
        <v>53092.845000000001</v>
      </c>
      <c r="G94">
        <f t="shared" ca="1" si="14"/>
        <v>9347.2000000000007</v>
      </c>
      <c r="H94" s="9">
        <f t="shared" ca="1" si="15"/>
        <v>-231.8587857142862</v>
      </c>
      <c r="I94" s="9">
        <f t="shared" ca="1" si="15"/>
        <v>36.984249999999882</v>
      </c>
      <c r="J94" s="9">
        <f t="shared" ca="1" si="15"/>
        <v>1.4514285714285506</v>
      </c>
      <c r="K94" s="9">
        <f t="shared" ca="1" si="16"/>
        <v>234.78997265847147</v>
      </c>
      <c r="L94" s="9">
        <f t="shared" ca="1" si="17"/>
        <v>-80.936989654112992</v>
      </c>
      <c r="M94">
        <f t="shared" ca="1" si="19"/>
        <v>56.323888888888888</v>
      </c>
      <c r="N94">
        <f t="shared" ca="1" si="20"/>
        <v>33.673333333333332</v>
      </c>
    </row>
    <row r="95" spans="1:14" x14ac:dyDescent="0.25">
      <c r="A95" s="4">
        <f>A94+5/24/3600</f>
        <v>0.42390046296296213</v>
      </c>
      <c r="B95" s="3">
        <f t="shared" si="22"/>
        <v>1553300625</v>
      </c>
      <c r="C95">
        <f t="shared" si="18"/>
        <v>3</v>
      </c>
      <c r="D95">
        <f t="shared" si="18"/>
        <v>66</v>
      </c>
      <c r="E95">
        <f t="shared" ca="1" si="12"/>
        <v>45083.356071428578</v>
      </c>
      <c r="F95">
        <f t="shared" ca="1" si="13"/>
        <v>53277.766250000001</v>
      </c>
      <c r="G95">
        <f t="shared" ca="1" si="14"/>
        <v>9354.4571428571435</v>
      </c>
      <c r="H95" s="9">
        <f t="shared" ca="1" si="15"/>
        <v>-231.8587857142862</v>
      </c>
      <c r="I95" s="9">
        <f t="shared" ca="1" si="15"/>
        <v>36.984249999999882</v>
      </c>
      <c r="J95" s="9">
        <f t="shared" ca="1" si="15"/>
        <v>1.4514285714285506</v>
      </c>
      <c r="K95" s="9">
        <f t="shared" ca="1" si="16"/>
        <v>234.78997265847147</v>
      </c>
      <c r="L95" s="9">
        <f t="shared" ca="1" si="17"/>
        <v>-80.936989654112992</v>
      </c>
      <c r="M95">
        <f t="shared" ca="1" si="19"/>
        <v>56.32552579365079</v>
      </c>
      <c r="N95">
        <f t="shared" ca="1" si="20"/>
        <v>33.654781746031745</v>
      </c>
    </row>
    <row r="96" spans="1:14" x14ac:dyDescent="0.25">
      <c r="A96" s="4">
        <f t="shared" si="21"/>
        <v>0.42395833333333249</v>
      </c>
      <c r="B96" s="3">
        <f t="shared" si="22"/>
        <v>1553300630</v>
      </c>
      <c r="C96">
        <f t="shared" si="18"/>
        <v>3</v>
      </c>
      <c r="D96">
        <f t="shared" si="18"/>
        <v>66</v>
      </c>
      <c r="E96">
        <f t="shared" ca="1" si="12"/>
        <v>43924.062142857147</v>
      </c>
      <c r="F96">
        <f t="shared" ca="1" si="13"/>
        <v>53462.6875</v>
      </c>
      <c r="G96">
        <f t="shared" ca="1" si="14"/>
        <v>9361.7142857142862</v>
      </c>
      <c r="H96" s="9">
        <f t="shared" ca="1" si="15"/>
        <v>-231.8587857142862</v>
      </c>
      <c r="I96" s="9">
        <f t="shared" ca="1" si="15"/>
        <v>36.984249999999882</v>
      </c>
      <c r="J96" s="9">
        <f t="shared" ca="1" si="15"/>
        <v>1.4514285714285506</v>
      </c>
      <c r="K96" s="9">
        <f t="shared" ca="1" si="16"/>
        <v>234.78997265847147</v>
      </c>
      <c r="L96" s="9">
        <f t="shared" ca="1" si="17"/>
        <v>-80.936989654112992</v>
      </c>
      <c r="M96">
        <f t="shared" ca="1" si="19"/>
        <v>56.3271626984127</v>
      </c>
      <c r="N96">
        <f t="shared" ca="1" si="20"/>
        <v>33.636230158730157</v>
      </c>
    </row>
    <row r="97" spans="1:14" x14ac:dyDescent="0.25">
      <c r="A97" s="4">
        <f t="shared" si="21"/>
        <v>0.42401620370370285</v>
      </c>
      <c r="B97" s="3">
        <f t="shared" si="22"/>
        <v>1553300635</v>
      </c>
      <c r="C97">
        <f t="shared" si="18"/>
        <v>3</v>
      </c>
      <c r="D97">
        <f t="shared" si="18"/>
        <v>66</v>
      </c>
      <c r="E97">
        <f t="shared" ca="1" si="12"/>
        <v>42764.768214285716</v>
      </c>
      <c r="F97">
        <f t="shared" ca="1" si="13"/>
        <v>53647.608749999999</v>
      </c>
      <c r="G97">
        <f t="shared" ca="1" si="14"/>
        <v>9368.971428571429</v>
      </c>
      <c r="H97" s="9">
        <f t="shared" ca="1" si="15"/>
        <v>-231.85878571428475</v>
      </c>
      <c r="I97" s="9">
        <f t="shared" ca="1" si="15"/>
        <v>36.984250000001339</v>
      </c>
      <c r="J97" s="9">
        <f t="shared" ca="1" si="15"/>
        <v>1.4514285714285506</v>
      </c>
      <c r="K97" s="9">
        <f t="shared" ca="1" si="16"/>
        <v>234.78997265847025</v>
      </c>
      <c r="L97" s="9">
        <f t="shared" ca="1" si="17"/>
        <v>-80.936989654112594</v>
      </c>
      <c r="M97">
        <f t="shared" ca="1" si="19"/>
        <v>56.328799603174602</v>
      </c>
      <c r="N97">
        <f t="shared" ca="1" si="20"/>
        <v>33.61767857142857</v>
      </c>
    </row>
    <row r="98" spans="1:14" x14ac:dyDescent="0.25">
      <c r="A98" s="4">
        <f t="shared" si="21"/>
        <v>0.42407407407407322</v>
      </c>
      <c r="B98" s="3">
        <f t="shared" si="22"/>
        <v>1553300640</v>
      </c>
      <c r="C98">
        <f t="shared" si="18"/>
        <v>3</v>
      </c>
      <c r="D98">
        <f t="shared" si="18"/>
        <v>66</v>
      </c>
      <c r="E98">
        <f t="shared" ca="1" si="12"/>
        <v>41605.474285714292</v>
      </c>
      <c r="F98">
        <f t="shared" ca="1" si="13"/>
        <v>53832.530000000006</v>
      </c>
      <c r="G98">
        <f t="shared" ca="1" si="14"/>
        <v>9376.2285714285717</v>
      </c>
      <c r="H98" s="9">
        <f t="shared" ca="1" si="15"/>
        <v>-231.8587857142862</v>
      </c>
      <c r="I98" s="9">
        <f t="shared" ca="1" si="15"/>
        <v>36.984249999999882</v>
      </c>
      <c r="J98" s="9">
        <f t="shared" ca="1" si="15"/>
        <v>1.4514285714285506</v>
      </c>
      <c r="K98" s="9">
        <f t="shared" ca="1" si="16"/>
        <v>234.78997265847147</v>
      </c>
      <c r="L98" s="9">
        <f t="shared" ca="1" si="17"/>
        <v>-80.936989654112992</v>
      </c>
      <c r="M98">
        <f t="shared" ca="1" si="19"/>
        <v>56.330436507936504</v>
      </c>
      <c r="N98">
        <f t="shared" ca="1" si="20"/>
        <v>33.599126984126983</v>
      </c>
    </row>
    <row r="99" spans="1:14" x14ac:dyDescent="0.25">
      <c r="A99" s="4">
        <f t="shared" si="21"/>
        <v>0.42413194444444358</v>
      </c>
      <c r="B99" s="3">
        <f t="shared" si="22"/>
        <v>1553300645</v>
      </c>
      <c r="C99">
        <f t="shared" si="18"/>
        <v>3</v>
      </c>
      <c r="D99">
        <f t="shared" si="18"/>
        <v>66</v>
      </c>
      <c r="E99">
        <f t="shared" ca="1" si="12"/>
        <v>40446.180357142861</v>
      </c>
      <c r="F99">
        <f t="shared" ca="1" si="13"/>
        <v>54017.451250000006</v>
      </c>
      <c r="G99">
        <f t="shared" ca="1" si="14"/>
        <v>9383.4857142857145</v>
      </c>
      <c r="H99" s="9">
        <f t="shared" ca="1" si="15"/>
        <v>-231.8587857142862</v>
      </c>
      <c r="I99" s="9">
        <f t="shared" ca="1" si="15"/>
        <v>36.984249999999882</v>
      </c>
      <c r="J99" s="9">
        <f t="shared" ca="1" si="15"/>
        <v>1.4514285714285506</v>
      </c>
      <c r="K99" s="9">
        <f t="shared" ca="1" si="16"/>
        <v>234.78997265847147</v>
      </c>
      <c r="L99" s="9">
        <f t="shared" ca="1" si="17"/>
        <v>-80.936989654112992</v>
      </c>
      <c r="M99">
        <f t="shared" ca="1" si="19"/>
        <v>56.332073412698414</v>
      </c>
      <c r="N99">
        <f t="shared" ca="1" si="20"/>
        <v>33.580575396825395</v>
      </c>
    </row>
    <row r="100" spans="1:14" x14ac:dyDescent="0.25">
      <c r="A100" s="4">
        <f t="shared" si="21"/>
        <v>0.42418981481481394</v>
      </c>
      <c r="B100" s="3">
        <f t="shared" si="22"/>
        <v>1553300650</v>
      </c>
      <c r="C100">
        <f t="shared" si="18"/>
        <v>3</v>
      </c>
      <c r="D100">
        <f t="shared" si="18"/>
        <v>66</v>
      </c>
      <c r="E100">
        <f t="shared" ref="E100:E163" ca="1" si="23">INDIRECT("E$"&amp;C100)+INDIRECT("H$"&amp;C100)*($B100-INDIRECT("B$"&amp;D100))</f>
        <v>39286.88642857143</v>
      </c>
      <c r="F100">
        <f t="shared" ref="F100:F163" ca="1" si="24">INDIRECT("F$"&amp;C100)+INDIRECT("I$"&amp;C100)*($B100-INDIRECT("B$"&amp;D100))</f>
        <v>54202.372500000005</v>
      </c>
      <c r="G100">
        <f t="shared" ca="1" si="14"/>
        <v>9390.7428571428572</v>
      </c>
      <c r="H100" s="9">
        <f t="shared" ca="1" si="15"/>
        <v>-231.85878571428475</v>
      </c>
      <c r="I100" s="9">
        <f t="shared" ca="1" si="15"/>
        <v>36.984249999999882</v>
      </c>
      <c r="J100" s="9">
        <f t="shared" ca="1" si="15"/>
        <v>1.4514285714285506</v>
      </c>
      <c r="K100" s="9">
        <f t="shared" ca="1" si="16"/>
        <v>234.78997265847005</v>
      </c>
      <c r="L100" s="9">
        <f t="shared" ca="1" si="17"/>
        <v>-80.936989654112935</v>
      </c>
      <c r="M100">
        <f t="shared" ca="1" si="19"/>
        <v>56.333710317460316</v>
      </c>
      <c r="N100">
        <f t="shared" ca="1" si="20"/>
        <v>33.562023809523808</v>
      </c>
    </row>
    <row r="101" spans="1:14" x14ac:dyDescent="0.25">
      <c r="A101" s="4">
        <f t="shared" si="21"/>
        <v>0.4242476851851843</v>
      </c>
      <c r="B101" s="3">
        <f t="shared" si="22"/>
        <v>1553300655</v>
      </c>
      <c r="C101">
        <f t="shared" si="18"/>
        <v>3</v>
      </c>
      <c r="D101">
        <f t="shared" si="18"/>
        <v>66</v>
      </c>
      <c r="E101">
        <f t="shared" ca="1" si="23"/>
        <v>38127.592500000006</v>
      </c>
      <c r="F101">
        <f t="shared" ca="1" si="24"/>
        <v>54387.293750000004</v>
      </c>
      <c r="G101">
        <f t="shared" ca="1" si="14"/>
        <v>9398</v>
      </c>
      <c r="H101" s="9">
        <f t="shared" ca="1" si="15"/>
        <v>-231.8587857142862</v>
      </c>
      <c r="I101" s="9">
        <f t="shared" ca="1" si="15"/>
        <v>36.984249999999882</v>
      </c>
      <c r="J101" s="9">
        <f t="shared" ca="1" si="15"/>
        <v>1.4514285714285506</v>
      </c>
      <c r="K101" s="9">
        <f t="shared" ca="1" si="16"/>
        <v>234.78997265847147</v>
      </c>
      <c r="L101" s="9">
        <f t="shared" ca="1" si="17"/>
        <v>-80.936989654112992</v>
      </c>
      <c r="M101">
        <f t="shared" ca="1" si="19"/>
        <v>56.335347222222218</v>
      </c>
      <c r="N101">
        <f t="shared" ca="1" si="20"/>
        <v>33.543472222222221</v>
      </c>
    </row>
    <row r="102" spans="1:14" x14ac:dyDescent="0.25">
      <c r="A102" s="4">
        <f t="shared" si="21"/>
        <v>0.42430555555555466</v>
      </c>
      <c r="B102" s="3">
        <f t="shared" si="22"/>
        <v>1553300660</v>
      </c>
      <c r="C102">
        <f t="shared" si="18"/>
        <v>3</v>
      </c>
      <c r="D102">
        <f t="shared" si="18"/>
        <v>66</v>
      </c>
      <c r="E102">
        <f t="shared" ca="1" si="23"/>
        <v>36968.298571428575</v>
      </c>
      <c r="F102">
        <f t="shared" ca="1" si="24"/>
        <v>54572.215000000004</v>
      </c>
      <c r="G102">
        <f t="shared" ca="1" si="14"/>
        <v>9405.2571428571428</v>
      </c>
      <c r="H102" s="9">
        <f t="shared" ca="1" si="15"/>
        <v>-231.8587857142862</v>
      </c>
      <c r="I102" s="9">
        <f t="shared" ca="1" si="15"/>
        <v>36.984249999999882</v>
      </c>
      <c r="J102" s="9">
        <f t="shared" ca="1" si="15"/>
        <v>1.4514285714285506</v>
      </c>
      <c r="K102" s="9">
        <f t="shared" ca="1" si="16"/>
        <v>234.78997265847147</v>
      </c>
      <c r="L102" s="9">
        <f t="shared" ca="1" si="17"/>
        <v>-80.936989654112992</v>
      </c>
      <c r="M102">
        <f t="shared" ca="1" si="19"/>
        <v>56.336984126984127</v>
      </c>
      <c r="N102">
        <f t="shared" ca="1" si="20"/>
        <v>33.524920634920633</v>
      </c>
    </row>
    <row r="103" spans="1:14" x14ac:dyDescent="0.25">
      <c r="A103" s="4">
        <f>A102+5/24/3600</f>
        <v>0.42436342592592502</v>
      </c>
      <c r="B103" s="3">
        <f t="shared" si="22"/>
        <v>1553300665</v>
      </c>
      <c r="C103">
        <f t="shared" si="18"/>
        <v>3</v>
      </c>
      <c r="D103">
        <f t="shared" si="18"/>
        <v>66</v>
      </c>
      <c r="E103">
        <f t="shared" ca="1" si="23"/>
        <v>35809.004642857144</v>
      </c>
      <c r="F103">
        <f t="shared" ca="1" si="24"/>
        <v>54757.136250000003</v>
      </c>
      <c r="G103">
        <f t="shared" ca="1" si="14"/>
        <v>9412.5142857142855</v>
      </c>
      <c r="H103" s="9">
        <f t="shared" ca="1" si="15"/>
        <v>-231.85878571428475</v>
      </c>
      <c r="I103" s="9">
        <f t="shared" ca="1" si="15"/>
        <v>36.984249999999882</v>
      </c>
      <c r="J103" s="9">
        <f t="shared" ca="1" si="15"/>
        <v>1.4514285714285506</v>
      </c>
      <c r="K103" s="9">
        <f t="shared" ca="1" si="16"/>
        <v>234.78997265847005</v>
      </c>
      <c r="L103" s="9">
        <f t="shared" ca="1" si="17"/>
        <v>-80.936989654112935</v>
      </c>
      <c r="M103">
        <f t="shared" ca="1" si="19"/>
        <v>56.33862103174603</v>
      </c>
      <c r="N103">
        <f t="shared" ca="1" si="20"/>
        <v>33.506369047619046</v>
      </c>
    </row>
    <row r="104" spans="1:14" x14ac:dyDescent="0.25">
      <c r="A104" s="4">
        <f t="shared" ref="A104:A120" si="25">A103+5/24/3600</f>
        <v>0.42442129629629538</v>
      </c>
      <c r="B104" s="3">
        <f t="shared" si="22"/>
        <v>1553300670</v>
      </c>
      <c r="C104">
        <f t="shared" si="18"/>
        <v>3</v>
      </c>
      <c r="D104">
        <f t="shared" si="18"/>
        <v>66</v>
      </c>
      <c r="E104">
        <f t="shared" ca="1" si="23"/>
        <v>34649.71071428572</v>
      </c>
      <c r="F104">
        <f t="shared" ca="1" si="24"/>
        <v>54942.057500000003</v>
      </c>
      <c r="G104">
        <f t="shared" ca="1" si="14"/>
        <v>9419.7714285714283</v>
      </c>
      <c r="H104" s="9">
        <f t="shared" ca="1" si="15"/>
        <v>-231.8587857142862</v>
      </c>
      <c r="I104" s="9">
        <f t="shared" ca="1" si="15"/>
        <v>36.984249999999882</v>
      </c>
      <c r="J104" s="9">
        <f t="shared" ca="1" si="15"/>
        <v>1.4514285714285506</v>
      </c>
      <c r="K104" s="9">
        <f t="shared" ca="1" si="16"/>
        <v>234.78997265847147</v>
      </c>
      <c r="L104" s="9">
        <f t="shared" ca="1" si="17"/>
        <v>-80.936989654112992</v>
      </c>
      <c r="M104">
        <f t="shared" ca="1" si="19"/>
        <v>56.340257936507932</v>
      </c>
      <c r="N104">
        <f t="shared" ca="1" si="20"/>
        <v>33.487817460317459</v>
      </c>
    </row>
    <row r="105" spans="1:14" x14ac:dyDescent="0.25">
      <c r="A105" s="4">
        <f t="shared" si="25"/>
        <v>0.42447916666666574</v>
      </c>
      <c r="B105" s="3">
        <f t="shared" si="22"/>
        <v>1553300675</v>
      </c>
      <c r="C105">
        <f t="shared" si="18"/>
        <v>3</v>
      </c>
      <c r="D105">
        <f t="shared" si="18"/>
        <v>66</v>
      </c>
      <c r="E105">
        <f t="shared" ca="1" si="23"/>
        <v>33490.416785714289</v>
      </c>
      <c r="F105">
        <f t="shared" ca="1" si="24"/>
        <v>55126.978750000002</v>
      </c>
      <c r="G105">
        <f t="shared" ca="1" si="14"/>
        <v>9427.028571428571</v>
      </c>
      <c r="H105" s="9">
        <f t="shared" ca="1" si="15"/>
        <v>-231.8587857142862</v>
      </c>
      <c r="I105" s="9">
        <f t="shared" ca="1" si="15"/>
        <v>36.984249999999882</v>
      </c>
      <c r="J105" s="9">
        <f t="shared" ca="1" si="15"/>
        <v>1.4514285714285506</v>
      </c>
      <c r="K105" s="9">
        <f t="shared" ca="1" si="16"/>
        <v>234.78997265847147</v>
      </c>
      <c r="L105" s="9">
        <f t="shared" ca="1" si="17"/>
        <v>-80.936989654112992</v>
      </c>
      <c r="M105">
        <f t="shared" ca="1" si="19"/>
        <v>56.341894841269841</v>
      </c>
      <c r="N105">
        <f t="shared" ca="1" si="20"/>
        <v>33.469265873015871</v>
      </c>
    </row>
    <row r="106" spans="1:14" x14ac:dyDescent="0.25">
      <c r="A106" s="4">
        <f t="shared" si="25"/>
        <v>0.4245370370370361</v>
      </c>
      <c r="B106" s="3">
        <f t="shared" si="22"/>
        <v>1553300680</v>
      </c>
      <c r="C106">
        <f t="shared" si="18"/>
        <v>3</v>
      </c>
      <c r="D106">
        <f t="shared" si="18"/>
        <v>66</v>
      </c>
      <c r="E106">
        <f t="shared" ca="1" si="23"/>
        <v>32331.122857142858</v>
      </c>
      <c r="F106">
        <f t="shared" ca="1" si="24"/>
        <v>55311.9</v>
      </c>
      <c r="G106">
        <f t="shared" ca="1" si="14"/>
        <v>9434.2857142857138</v>
      </c>
      <c r="H106" s="9">
        <f t="shared" ca="1" si="15"/>
        <v>-231.85878571428475</v>
      </c>
      <c r="I106" s="9">
        <f t="shared" ca="1" si="15"/>
        <v>36.984249999999882</v>
      </c>
      <c r="J106" s="9">
        <f t="shared" ca="1" si="15"/>
        <v>1.4514285714285506</v>
      </c>
      <c r="K106" s="9">
        <f t="shared" ca="1" si="16"/>
        <v>234.78997265847005</v>
      </c>
      <c r="L106" s="9">
        <f t="shared" ca="1" si="17"/>
        <v>-80.936989654112935</v>
      </c>
      <c r="M106">
        <f t="shared" ca="1" si="19"/>
        <v>56.343531746031744</v>
      </c>
      <c r="N106">
        <f t="shared" ca="1" si="20"/>
        <v>33.450714285714284</v>
      </c>
    </row>
    <row r="107" spans="1:14" x14ac:dyDescent="0.25">
      <c r="A107" s="4">
        <f t="shared" si="25"/>
        <v>0.42459490740740646</v>
      </c>
      <c r="B107" s="3">
        <f t="shared" si="22"/>
        <v>1553300685</v>
      </c>
      <c r="C107">
        <f t="shared" si="18"/>
        <v>3</v>
      </c>
      <c r="D107">
        <f t="shared" si="18"/>
        <v>66</v>
      </c>
      <c r="E107">
        <f t="shared" ca="1" si="23"/>
        <v>31171.828928571435</v>
      </c>
      <c r="F107">
        <f t="shared" ca="1" si="24"/>
        <v>55496.821250000001</v>
      </c>
      <c r="G107">
        <f t="shared" ca="1" si="14"/>
        <v>9441.5428571428565</v>
      </c>
      <c r="H107" s="9">
        <f t="shared" ca="1" si="15"/>
        <v>-231.8587857142862</v>
      </c>
      <c r="I107" s="9">
        <f t="shared" ca="1" si="15"/>
        <v>36.984250000001339</v>
      </c>
      <c r="J107" s="9">
        <f t="shared" ca="1" si="15"/>
        <v>1.4514285714285506</v>
      </c>
      <c r="K107" s="9">
        <f t="shared" ca="1" si="16"/>
        <v>234.7899726584717</v>
      </c>
      <c r="L107" s="9">
        <f t="shared" ca="1" si="17"/>
        <v>-80.936989654112637</v>
      </c>
      <c r="M107">
        <f t="shared" ca="1" si="19"/>
        <v>56.345168650793646</v>
      </c>
      <c r="N107">
        <f t="shared" ca="1" si="20"/>
        <v>33.432162698412696</v>
      </c>
    </row>
    <row r="108" spans="1:14" x14ac:dyDescent="0.25">
      <c r="A108" s="4">
        <f t="shared" si="25"/>
        <v>0.42465277777777682</v>
      </c>
      <c r="B108" s="3">
        <f t="shared" si="22"/>
        <v>1553300690</v>
      </c>
      <c r="C108">
        <f t="shared" si="18"/>
        <v>3</v>
      </c>
      <c r="D108">
        <f t="shared" si="18"/>
        <v>66</v>
      </c>
      <c r="E108">
        <f t="shared" ca="1" si="23"/>
        <v>30012.535000000003</v>
      </c>
      <c r="F108">
        <f t="shared" ca="1" si="24"/>
        <v>55681.742500000008</v>
      </c>
      <c r="G108">
        <f t="shared" ca="1" si="14"/>
        <v>9448.7999999999993</v>
      </c>
      <c r="H108" s="9">
        <f t="shared" ca="1" si="15"/>
        <v>-231.8587857142862</v>
      </c>
      <c r="I108" s="9">
        <f t="shared" ca="1" si="15"/>
        <v>36.984249999999882</v>
      </c>
      <c r="J108" s="9">
        <f t="shared" ca="1" si="15"/>
        <v>1.4514285714289143</v>
      </c>
      <c r="K108" s="9">
        <f t="shared" ca="1" si="16"/>
        <v>234.78997265847147</v>
      </c>
      <c r="L108" s="9">
        <f t="shared" ca="1" si="17"/>
        <v>-80.936989654112992</v>
      </c>
      <c r="M108">
        <f t="shared" ca="1" si="19"/>
        <v>56.346805555555555</v>
      </c>
      <c r="N108">
        <f t="shared" ca="1" si="20"/>
        <v>33.413611111111109</v>
      </c>
    </row>
    <row r="109" spans="1:14" x14ac:dyDescent="0.25">
      <c r="A109" s="4">
        <f t="shared" si="25"/>
        <v>0.42471064814814719</v>
      </c>
      <c r="B109" s="3">
        <f t="shared" si="22"/>
        <v>1553300695</v>
      </c>
      <c r="C109">
        <f t="shared" si="18"/>
        <v>3</v>
      </c>
      <c r="D109">
        <f t="shared" si="18"/>
        <v>66</v>
      </c>
      <c r="E109">
        <f t="shared" ca="1" si="23"/>
        <v>28853.241071428572</v>
      </c>
      <c r="F109">
        <f t="shared" ca="1" si="24"/>
        <v>55866.663750000007</v>
      </c>
      <c r="G109">
        <f t="shared" ca="1" si="14"/>
        <v>9456.0571428571438</v>
      </c>
      <c r="H109" s="9">
        <f t="shared" ca="1" si="15"/>
        <v>-231.85878571428475</v>
      </c>
      <c r="I109" s="9">
        <f t="shared" ca="1" si="15"/>
        <v>36.984249999999882</v>
      </c>
      <c r="J109" s="9">
        <f t="shared" ca="1" si="15"/>
        <v>1.4514285714285506</v>
      </c>
      <c r="K109" s="9">
        <f t="shared" ca="1" si="16"/>
        <v>234.78997265847005</v>
      </c>
      <c r="L109" s="9">
        <f t="shared" ca="1" si="17"/>
        <v>-80.936989654112935</v>
      </c>
      <c r="M109">
        <f t="shared" ca="1" si="19"/>
        <v>56.348442460317457</v>
      </c>
      <c r="N109">
        <f t="shared" ca="1" si="20"/>
        <v>33.395059523809522</v>
      </c>
    </row>
    <row r="110" spans="1:14" x14ac:dyDescent="0.25">
      <c r="A110" s="4">
        <f t="shared" si="25"/>
        <v>0.42476851851851755</v>
      </c>
      <c r="B110" s="3">
        <f t="shared" si="22"/>
        <v>1553300700</v>
      </c>
      <c r="C110">
        <f t="shared" si="18"/>
        <v>3</v>
      </c>
      <c r="D110">
        <f t="shared" si="18"/>
        <v>66</v>
      </c>
      <c r="E110">
        <f t="shared" ca="1" si="23"/>
        <v>27693.947142857149</v>
      </c>
      <c r="F110">
        <f t="shared" ca="1" si="24"/>
        <v>56051.585000000006</v>
      </c>
      <c r="G110">
        <f t="shared" ca="1" si="14"/>
        <v>9463.3142857142866</v>
      </c>
      <c r="H110" s="9">
        <f t="shared" ca="1" si="15"/>
        <v>-231.8587857142862</v>
      </c>
      <c r="I110" s="9">
        <f t="shared" ca="1" si="15"/>
        <v>36.984249999999882</v>
      </c>
      <c r="J110" s="9">
        <f t="shared" ca="1" si="15"/>
        <v>1.4514285714285506</v>
      </c>
      <c r="K110" s="9">
        <f t="shared" ca="1" si="16"/>
        <v>234.78997265847147</v>
      </c>
      <c r="L110" s="9">
        <f t="shared" ca="1" si="17"/>
        <v>-80.936989654112992</v>
      </c>
      <c r="M110">
        <f t="shared" ca="1" si="19"/>
        <v>56.35007936507936</v>
      </c>
      <c r="N110">
        <f t="shared" ca="1" si="20"/>
        <v>33.376507936507934</v>
      </c>
    </row>
    <row r="111" spans="1:14" x14ac:dyDescent="0.25">
      <c r="A111" s="4">
        <f t="shared" si="25"/>
        <v>0.42482638888888791</v>
      </c>
      <c r="B111" s="3">
        <f t="shared" si="22"/>
        <v>1553300705</v>
      </c>
      <c r="C111">
        <f t="shared" si="18"/>
        <v>3</v>
      </c>
      <c r="D111">
        <f t="shared" si="18"/>
        <v>66</v>
      </c>
      <c r="E111">
        <f t="shared" ca="1" si="23"/>
        <v>26534.653214285718</v>
      </c>
      <c r="F111">
        <f t="shared" ca="1" si="24"/>
        <v>56236.506250000006</v>
      </c>
      <c r="G111">
        <f t="shared" ca="1" si="14"/>
        <v>9470.5714285714294</v>
      </c>
      <c r="H111" s="9">
        <f t="shared" ca="1" si="15"/>
        <v>-231.8587857142862</v>
      </c>
      <c r="I111" s="9">
        <f t="shared" ca="1" si="15"/>
        <v>36.984249999999882</v>
      </c>
      <c r="J111" s="9">
        <f t="shared" ca="1" si="15"/>
        <v>1.4514285714285506</v>
      </c>
      <c r="K111" s="9">
        <f t="shared" ca="1" si="16"/>
        <v>234.78997265847147</v>
      </c>
      <c r="L111" s="9">
        <f t="shared" ca="1" si="17"/>
        <v>-80.936989654112992</v>
      </c>
      <c r="M111">
        <f t="shared" ca="1" si="19"/>
        <v>56.351716269841269</v>
      </c>
      <c r="N111">
        <f t="shared" ca="1" si="20"/>
        <v>33.357956349206347</v>
      </c>
    </row>
    <row r="112" spans="1:14" x14ac:dyDescent="0.25">
      <c r="A112" s="4">
        <f t="shared" si="25"/>
        <v>0.42488425925925827</v>
      </c>
      <c r="B112" s="3">
        <f t="shared" si="22"/>
        <v>1553300710</v>
      </c>
      <c r="C112">
        <f t="shared" si="18"/>
        <v>3</v>
      </c>
      <c r="D112">
        <f t="shared" si="18"/>
        <v>66</v>
      </c>
      <c r="E112">
        <f t="shared" ca="1" si="23"/>
        <v>25375.359285714287</v>
      </c>
      <c r="F112">
        <f t="shared" ca="1" si="24"/>
        <v>56421.427500000005</v>
      </c>
      <c r="G112">
        <f t="shared" ca="1" si="14"/>
        <v>9477.8285714285721</v>
      </c>
      <c r="H112" s="9">
        <f t="shared" ca="1" si="15"/>
        <v>-231.85878571428475</v>
      </c>
      <c r="I112" s="9">
        <f t="shared" ca="1" si="15"/>
        <v>36.984249999999882</v>
      </c>
      <c r="J112" s="9">
        <f t="shared" ca="1" si="15"/>
        <v>1.4514285714285506</v>
      </c>
      <c r="K112" s="9">
        <f t="shared" ca="1" si="16"/>
        <v>234.78997265847005</v>
      </c>
      <c r="L112" s="9">
        <f t="shared" ca="1" si="17"/>
        <v>-80.936989654112935</v>
      </c>
      <c r="M112">
        <f t="shared" ca="1" si="19"/>
        <v>56.353353174603171</v>
      </c>
      <c r="N112">
        <f t="shared" ca="1" si="20"/>
        <v>33.33940476190476</v>
      </c>
    </row>
    <row r="113" spans="1:15" x14ac:dyDescent="0.25">
      <c r="A113" s="4">
        <f t="shared" si="25"/>
        <v>0.42494212962962863</v>
      </c>
      <c r="B113" s="3">
        <f t="shared" si="22"/>
        <v>1553300715</v>
      </c>
      <c r="C113">
        <f t="shared" si="18"/>
        <v>3</v>
      </c>
      <c r="D113">
        <f t="shared" si="18"/>
        <v>66</v>
      </c>
      <c r="E113">
        <f t="shared" ca="1" si="23"/>
        <v>24216.065357142863</v>
      </c>
      <c r="F113">
        <f t="shared" ca="1" si="24"/>
        <v>56606.348750000005</v>
      </c>
      <c r="G113">
        <f t="shared" ca="1" si="14"/>
        <v>9485.0857142857149</v>
      </c>
      <c r="H113" s="9">
        <f t="shared" ca="1" si="15"/>
        <v>-231.8587857142862</v>
      </c>
      <c r="I113" s="9">
        <f t="shared" ca="1" si="15"/>
        <v>36.984249999999882</v>
      </c>
      <c r="J113" s="9">
        <f t="shared" ca="1" si="15"/>
        <v>1.4514285714285506</v>
      </c>
      <c r="K113" s="9">
        <f t="shared" ca="1" si="16"/>
        <v>234.78997265847147</v>
      </c>
      <c r="L113" s="9">
        <f t="shared" ca="1" si="17"/>
        <v>-80.936989654112992</v>
      </c>
      <c r="M113">
        <f t="shared" ca="1" si="19"/>
        <v>56.354990079365081</v>
      </c>
      <c r="N113">
        <f t="shared" ca="1" si="20"/>
        <v>33.320853174603172</v>
      </c>
    </row>
    <row r="114" spans="1:15" x14ac:dyDescent="0.25">
      <c r="A114" s="4">
        <f t="shared" si="25"/>
        <v>0.42499999999999899</v>
      </c>
      <c r="B114" s="3">
        <f t="shared" si="22"/>
        <v>1553300720</v>
      </c>
      <c r="C114">
        <f t="shared" si="18"/>
        <v>3</v>
      </c>
      <c r="D114">
        <f t="shared" si="18"/>
        <v>66</v>
      </c>
      <c r="E114">
        <f t="shared" ca="1" si="23"/>
        <v>23056.771428571432</v>
      </c>
      <c r="F114">
        <f t="shared" ca="1" si="24"/>
        <v>56791.270000000004</v>
      </c>
      <c r="G114">
        <f t="shared" ca="1" si="14"/>
        <v>9492.3428571428576</v>
      </c>
      <c r="H114" s="9">
        <f t="shared" ca="1" si="15"/>
        <v>-231.8587857142862</v>
      </c>
      <c r="I114" s="9">
        <f t="shared" ca="1" si="15"/>
        <v>36.984249999999882</v>
      </c>
      <c r="J114" s="9">
        <f t="shared" ca="1" si="15"/>
        <v>1.4514285714285506</v>
      </c>
      <c r="K114" s="9">
        <f t="shared" ca="1" si="16"/>
        <v>234.78997265847147</v>
      </c>
      <c r="L114" s="9">
        <f t="shared" ca="1" si="17"/>
        <v>-80.936989654112992</v>
      </c>
      <c r="M114">
        <f t="shared" ca="1" si="19"/>
        <v>56.356626984126983</v>
      </c>
      <c r="N114">
        <f t="shared" ca="1" si="20"/>
        <v>33.302301587301585</v>
      </c>
    </row>
    <row r="115" spans="1:15" x14ac:dyDescent="0.25">
      <c r="A115" s="4">
        <f t="shared" si="25"/>
        <v>0.42505787037036935</v>
      </c>
      <c r="B115" s="3">
        <f t="shared" si="22"/>
        <v>1553300725</v>
      </c>
      <c r="C115">
        <f t="shared" si="18"/>
        <v>3</v>
      </c>
      <c r="D115">
        <f t="shared" si="18"/>
        <v>66</v>
      </c>
      <c r="E115">
        <f t="shared" ca="1" si="23"/>
        <v>21897.477500000001</v>
      </c>
      <c r="F115">
        <f t="shared" ca="1" si="24"/>
        <v>56976.191250000003</v>
      </c>
      <c r="G115">
        <f t="shared" ca="1" si="14"/>
        <v>9499.6</v>
      </c>
      <c r="H115" s="9">
        <f t="shared" ca="1" si="15"/>
        <v>-231.85878571428475</v>
      </c>
      <c r="I115" s="9">
        <f t="shared" ca="1" si="15"/>
        <v>36.984249999999882</v>
      </c>
      <c r="J115" s="9">
        <f t="shared" ca="1" si="15"/>
        <v>1.4514285714285506</v>
      </c>
      <c r="K115" s="9">
        <f t="shared" ca="1" si="16"/>
        <v>234.78997265847005</v>
      </c>
      <c r="L115" s="9">
        <f t="shared" ca="1" si="17"/>
        <v>-80.936989654112935</v>
      </c>
      <c r="M115">
        <f t="shared" ca="1" si="19"/>
        <v>56.358263888888885</v>
      </c>
      <c r="N115">
        <f t="shared" ca="1" si="20"/>
        <v>33.283749999999998</v>
      </c>
    </row>
    <row r="116" spans="1:15" x14ac:dyDescent="0.25">
      <c r="A116" s="4">
        <f t="shared" si="25"/>
        <v>0.42511574074073971</v>
      </c>
      <c r="B116" s="3">
        <f t="shared" si="22"/>
        <v>1553300730</v>
      </c>
      <c r="C116">
        <f t="shared" si="18"/>
        <v>3</v>
      </c>
      <c r="D116">
        <f t="shared" si="18"/>
        <v>66</v>
      </c>
      <c r="E116">
        <f t="shared" ca="1" si="23"/>
        <v>20738.183571428577</v>
      </c>
      <c r="F116">
        <f t="shared" ca="1" si="24"/>
        <v>57161.112500000003</v>
      </c>
      <c r="G116">
        <f t="shared" ca="1" si="14"/>
        <v>9506.8571428571431</v>
      </c>
      <c r="H116" s="9">
        <f t="shared" ca="1" si="15"/>
        <v>-231.8587857142862</v>
      </c>
      <c r="I116" s="9">
        <f t="shared" ca="1" si="15"/>
        <v>36.984249999999882</v>
      </c>
      <c r="J116" s="9">
        <f t="shared" ca="1" si="15"/>
        <v>1.4514285714285506</v>
      </c>
      <c r="K116" s="9">
        <f t="shared" ca="1" si="16"/>
        <v>234.78997265847147</v>
      </c>
      <c r="L116" s="9">
        <f t="shared" ca="1" si="17"/>
        <v>-80.936989654112992</v>
      </c>
      <c r="M116">
        <f t="shared" ca="1" si="19"/>
        <v>56.359900793650795</v>
      </c>
      <c r="N116">
        <f t="shared" ca="1" si="20"/>
        <v>33.26519841269841</v>
      </c>
    </row>
    <row r="117" spans="1:15" x14ac:dyDescent="0.25">
      <c r="A117" s="4">
        <f t="shared" si="25"/>
        <v>0.42517361111111007</v>
      </c>
      <c r="B117" s="3">
        <f t="shared" si="22"/>
        <v>1553300735</v>
      </c>
      <c r="C117">
        <f t="shared" si="18"/>
        <v>3</v>
      </c>
      <c r="D117">
        <f t="shared" si="18"/>
        <v>66</v>
      </c>
      <c r="E117">
        <f t="shared" ca="1" si="23"/>
        <v>19578.889642857146</v>
      </c>
      <c r="F117">
        <f t="shared" ca="1" si="24"/>
        <v>57346.033750000002</v>
      </c>
      <c r="G117">
        <f t="shared" ca="1" si="14"/>
        <v>9514.1142857142859</v>
      </c>
      <c r="H117" s="9">
        <f t="shared" ca="1" si="15"/>
        <v>-231.8587857142862</v>
      </c>
      <c r="I117" s="9">
        <f t="shared" ca="1" si="15"/>
        <v>36.984249999999882</v>
      </c>
      <c r="J117" s="9">
        <f t="shared" ca="1" si="15"/>
        <v>1.4514285714285506</v>
      </c>
      <c r="K117" s="9">
        <f t="shared" ca="1" si="16"/>
        <v>234.78997265847147</v>
      </c>
      <c r="L117" s="9">
        <f t="shared" ca="1" si="17"/>
        <v>-80.936989654112992</v>
      </c>
      <c r="M117">
        <f t="shared" ca="1" si="19"/>
        <v>56.361537698412697</v>
      </c>
      <c r="N117">
        <f t="shared" ca="1" si="20"/>
        <v>33.246646825396823</v>
      </c>
    </row>
    <row r="118" spans="1:15" x14ac:dyDescent="0.25">
      <c r="A118" s="4">
        <f t="shared" si="25"/>
        <v>0.42523148148148043</v>
      </c>
      <c r="B118" s="3">
        <f t="shared" si="22"/>
        <v>1553300740</v>
      </c>
      <c r="C118">
        <f t="shared" si="18"/>
        <v>3</v>
      </c>
      <c r="D118">
        <f t="shared" si="18"/>
        <v>66</v>
      </c>
      <c r="E118">
        <f t="shared" ca="1" si="23"/>
        <v>18419.595714285715</v>
      </c>
      <c r="F118">
        <f t="shared" ca="1" si="24"/>
        <v>57530.955000000002</v>
      </c>
      <c r="G118">
        <f t="shared" ca="1" si="14"/>
        <v>9521.3714285714286</v>
      </c>
      <c r="H118" s="9">
        <f t="shared" ca="1" si="15"/>
        <v>-231.85878571428475</v>
      </c>
      <c r="I118" s="9">
        <f t="shared" ca="1" si="15"/>
        <v>36.984249999999882</v>
      </c>
      <c r="J118" s="9">
        <f t="shared" ca="1" si="15"/>
        <v>1.4514285714285506</v>
      </c>
      <c r="K118" s="9">
        <f t="shared" ca="1" si="16"/>
        <v>234.78997265847005</v>
      </c>
      <c r="L118" s="9">
        <f t="shared" ca="1" si="17"/>
        <v>-80.936989654112935</v>
      </c>
      <c r="M118">
        <f t="shared" ca="1" si="19"/>
        <v>56.363174603174599</v>
      </c>
      <c r="N118">
        <f t="shared" ca="1" si="20"/>
        <v>33.228095238095236</v>
      </c>
    </row>
    <row r="119" spans="1:15" x14ac:dyDescent="0.25">
      <c r="A119" s="4">
        <f t="shared" si="25"/>
        <v>0.42528935185185079</v>
      </c>
      <c r="B119" s="3">
        <f t="shared" si="22"/>
        <v>1553300745</v>
      </c>
      <c r="C119">
        <f t="shared" si="18"/>
        <v>3</v>
      </c>
      <c r="D119">
        <f t="shared" si="18"/>
        <v>66</v>
      </c>
      <c r="E119">
        <f t="shared" ca="1" si="23"/>
        <v>17260.301785714291</v>
      </c>
      <c r="F119">
        <f t="shared" ca="1" si="24"/>
        <v>57715.876250000001</v>
      </c>
      <c r="G119">
        <f t="shared" ca="1" si="14"/>
        <v>9528.6285714285714</v>
      </c>
      <c r="H119" s="9">
        <f t="shared" ca="1" si="15"/>
        <v>-231.8587857142862</v>
      </c>
      <c r="I119" s="9">
        <f t="shared" ca="1" si="15"/>
        <v>36.984249999999882</v>
      </c>
      <c r="J119" s="9">
        <f t="shared" ca="1" si="15"/>
        <v>1.4514285714285506</v>
      </c>
      <c r="K119" s="9">
        <f t="shared" ca="1" si="16"/>
        <v>234.78997265847147</v>
      </c>
      <c r="L119" s="9">
        <f t="shared" ca="1" si="17"/>
        <v>-80.936989654112992</v>
      </c>
      <c r="M119">
        <f t="shared" ca="1" si="19"/>
        <v>56.364811507936508</v>
      </c>
      <c r="N119">
        <f t="shared" ca="1" si="20"/>
        <v>33.209543650793648</v>
      </c>
    </row>
    <row r="120" spans="1:15" x14ac:dyDescent="0.25">
      <c r="A120" s="4">
        <f t="shared" si="25"/>
        <v>0.42534722222222116</v>
      </c>
      <c r="B120" s="3">
        <f t="shared" si="22"/>
        <v>1553300750</v>
      </c>
      <c r="C120">
        <f t="shared" si="18"/>
        <v>3</v>
      </c>
      <c r="D120">
        <f t="shared" si="18"/>
        <v>66</v>
      </c>
      <c r="E120">
        <f t="shared" ca="1" si="23"/>
        <v>16101.00785714286</v>
      </c>
      <c r="F120">
        <f t="shared" ca="1" si="24"/>
        <v>57900.797500000001</v>
      </c>
      <c r="G120">
        <f t="shared" ca="1" si="14"/>
        <v>9535.8857142857141</v>
      </c>
      <c r="H120" s="9">
        <f t="shared" ca="1" si="15"/>
        <v>-231.8587857142862</v>
      </c>
      <c r="I120" s="9">
        <f t="shared" ca="1" si="15"/>
        <v>36.984249999999882</v>
      </c>
      <c r="J120" s="9">
        <f t="shared" ca="1" si="15"/>
        <v>1.4514285714285506</v>
      </c>
      <c r="K120" s="9">
        <f t="shared" ca="1" si="16"/>
        <v>234.78997265847147</v>
      </c>
      <c r="L120" s="9">
        <f t="shared" ca="1" si="17"/>
        <v>-80.936989654112992</v>
      </c>
      <c r="M120">
        <f t="shared" ca="1" si="19"/>
        <v>56.366448412698411</v>
      </c>
      <c r="N120">
        <f t="shared" ca="1" si="20"/>
        <v>33.190992063492061</v>
      </c>
    </row>
    <row r="121" spans="1:15" x14ac:dyDescent="0.25">
      <c r="A121" s="4">
        <f>A120+5/24/3600</f>
        <v>0.42540509259259152</v>
      </c>
      <c r="B121" s="3">
        <f t="shared" si="22"/>
        <v>1553300755</v>
      </c>
      <c r="C121">
        <f t="shared" si="18"/>
        <v>3</v>
      </c>
      <c r="D121">
        <f t="shared" si="18"/>
        <v>66</v>
      </c>
      <c r="E121">
        <f t="shared" ca="1" si="23"/>
        <v>14941.713928571429</v>
      </c>
      <c r="F121">
        <f t="shared" ca="1" si="24"/>
        <v>58085.71875</v>
      </c>
      <c r="G121">
        <f t="shared" ca="1" si="14"/>
        <v>9543.1428571428569</v>
      </c>
      <c r="H121" s="9">
        <f t="shared" ca="1" si="15"/>
        <v>-231.85878571428475</v>
      </c>
      <c r="I121" s="9">
        <f t="shared" ca="1" si="15"/>
        <v>36.984249999999882</v>
      </c>
      <c r="J121" s="9">
        <f t="shared" ca="1" si="15"/>
        <v>1.4514285714285506</v>
      </c>
      <c r="K121" s="9">
        <f t="shared" ca="1" si="16"/>
        <v>234.78997265847005</v>
      </c>
      <c r="L121" s="9">
        <f t="shared" ca="1" si="17"/>
        <v>-80.936989654112935</v>
      </c>
      <c r="M121">
        <f t="shared" ca="1" si="19"/>
        <v>56.368085317460313</v>
      </c>
      <c r="N121">
        <f t="shared" ca="1" si="20"/>
        <v>33.172440476190474</v>
      </c>
    </row>
    <row r="122" spans="1:15" x14ac:dyDescent="0.25">
      <c r="A122" s="4">
        <f t="shared" ref="A122:A185" si="26">A121+5/24/3600</f>
        <v>0.42546296296296188</v>
      </c>
      <c r="B122" s="3">
        <f t="shared" si="22"/>
        <v>1553300760</v>
      </c>
      <c r="C122">
        <f t="shared" si="18"/>
        <v>3</v>
      </c>
      <c r="D122">
        <f t="shared" si="18"/>
        <v>66</v>
      </c>
      <c r="E122">
        <f t="shared" ca="1" si="23"/>
        <v>13782.420000000006</v>
      </c>
      <c r="F122">
        <f t="shared" ca="1" si="24"/>
        <v>58270.64</v>
      </c>
      <c r="G122">
        <f t="shared" ca="1" si="14"/>
        <v>9550.4</v>
      </c>
      <c r="H122" s="9">
        <f t="shared" ca="1" si="15"/>
        <v>-231.8587857142862</v>
      </c>
      <c r="I122" s="9">
        <f t="shared" ca="1" si="15"/>
        <v>36.984250000001339</v>
      </c>
      <c r="J122" s="9">
        <f t="shared" ca="1" si="15"/>
        <v>1.4514285714285506</v>
      </c>
      <c r="K122" s="9">
        <f t="shared" ca="1" si="16"/>
        <v>234.7899726584717</v>
      </c>
      <c r="L122" s="9">
        <f t="shared" ca="1" si="17"/>
        <v>-80.936989654112637</v>
      </c>
      <c r="M122">
        <f t="shared" ca="1" si="19"/>
        <v>56.369722222222222</v>
      </c>
      <c r="N122">
        <f t="shared" ca="1" si="20"/>
        <v>33.153888888888886</v>
      </c>
    </row>
    <row r="123" spans="1:15" x14ac:dyDescent="0.25">
      <c r="A123" s="4">
        <f t="shared" si="26"/>
        <v>0.42552083333333224</v>
      </c>
      <c r="B123" s="3">
        <f t="shared" si="22"/>
        <v>1553300765</v>
      </c>
      <c r="C123">
        <f t="shared" si="18"/>
        <v>3</v>
      </c>
      <c r="D123">
        <f t="shared" si="18"/>
        <v>66</v>
      </c>
      <c r="E123">
        <f t="shared" ca="1" si="23"/>
        <v>12623.126071428575</v>
      </c>
      <c r="F123">
        <f t="shared" ca="1" si="24"/>
        <v>58455.561250000006</v>
      </c>
      <c r="G123">
        <f t="shared" ca="1" si="14"/>
        <v>9557.6571428571424</v>
      </c>
      <c r="H123" s="9">
        <f t="shared" ca="1" si="15"/>
        <v>-231.85878571428475</v>
      </c>
      <c r="I123" s="9">
        <f t="shared" ca="1" si="15"/>
        <v>36.984249999999882</v>
      </c>
      <c r="J123" s="9">
        <f t="shared" ca="1" si="15"/>
        <v>1.4514285714285506</v>
      </c>
      <c r="K123" s="9">
        <f t="shared" ca="1" si="16"/>
        <v>234.78997265847005</v>
      </c>
      <c r="L123" s="9">
        <f t="shared" ca="1" si="17"/>
        <v>-80.936989654112935</v>
      </c>
      <c r="M123">
        <f t="shared" ca="1" si="19"/>
        <v>56.371359126984125</v>
      </c>
      <c r="N123">
        <f t="shared" ca="1" si="20"/>
        <v>33.135337301587299</v>
      </c>
    </row>
    <row r="124" spans="1:15" x14ac:dyDescent="0.25">
      <c r="A124" s="4">
        <f t="shared" si="26"/>
        <v>0.4255787037037026</v>
      </c>
      <c r="B124" s="3">
        <f t="shared" si="22"/>
        <v>1553300770</v>
      </c>
      <c r="C124">
        <f t="shared" si="18"/>
        <v>3</v>
      </c>
      <c r="D124">
        <f t="shared" si="18"/>
        <v>66</v>
      </c>
      <c r="E124">
        <f t="shared" ref="E124:E130" ca="1" si="27">INDIRECT("E$"&amp;C124)+INDIRECT("H$"&amp;C124)*($B124-INDIRECT("B$"&amp;D124))</f>
        <v>11463.832142857151</v>
      </c>
      <c r="F124">
        <f t="shared" ref="F124:F130" ca="1" si="28">INDIRECT("F$"&amp;C124)+INDIRECT("I$"&amp;C124)*($B124-INDIRECT("B$"&amp;D124))</f>
        <v>58640.482500000006</v>
      </c>
      <c r="G124">
        <f t="shared" ref="G124:G130" ca="1" si="29">INDIRECT("G$"&amp;C124)+INDIRECT("J$"&amp;C124)*($B124-INDIRECT("B$"&amp;D124))</f>
        <v>9564.9142857142851</v>
      </c>
      <c r="H124" s="9">
        <f t="shared" ref="H124:H130" ca="1" si="30">(E125-E124)/($B125-$B124)</f>
        <v>-231.85878571428765</v>
      </c>
      <c r="I124" s="9">
        <f t="shared" ref="I124:I130" ca="1" si="31">(F125-F124)/($B125-$B124)</f>
        <v>36.984249999999882</v>
      </c>
      <c r="J124" s="9">
        <f t="shared" ref="J124:J130" ca="1" si="32">(G125-G124)/($B125-$B124)</f>
        <v>1.4514285714289143</v>
      </c>
      <c r="K124" s="9">
        <f t="shared" ref="K124:K130" ca="1" si="33">SQRT(H124*H124+I124*I124)</f>
        <v>234.78997265847289</v>
      </c>
      <c r="L124" s="9">
        <f t="shared" ref="L124:L130" ca="1" si="34">DEGREES(ATAN2(I124,H124))</f>
        <v>-80.936989654113049</v>
      </c>
      <c r="M124">
        <f t="shared" ref="M124:M130" ca="1" si="35">INDIRECT("M$"&amp;C124)+INDIRECT("O$"&amp;C124)*($B124-INDIRECT("B$"&amp;D124))</f>
        <v>56.372996031746027</v>
      </c>
      <c r="N124">
        <f t="shared" ref="N124:N130" ca="1" si="36">INDIRECT("N$"&amp;C124)+INDIRECT("P$"&amp;C124)*($B124-INDIRECT("B$"&amp;D124))</f>
        <v>33.116785714285712</v>
      </c>
    </row>
    <row r="125" spans="1:15" x14ac:dyDescent="0.25">
      <c r="A125" s="4">
        <f t="shared" si="26"/>
        <v>0.42563657407407296</v>
      </c>
      <c r="B125" s="3">
        <f t="shared" si="22"/>
        <v>1553300775</v>
      </c>
      <c r="C125">
        <f t="shared" si="18"/>
        <v>3</v>
      </c>
      <c r="D125">
        <f t="shared" si="18"/>
        <v>66</v>
      </c>
      <c r="E125">
        <f t="shared" ca="1" si="27"/>
        <v>10304.538214285712</v>
      </c>
      <c r="F125">
        <f t="shared" ca="1" si="28"/>
        <v>58825.403750000005</v>
      </c>
      <c r="G125">
        <f t="shared" ca="1" si="29"/>
        <v>9572.1714285714297</v>
      </c>
      <c r="H125" s="9">
        <f t="shared" ca="1" si="30"/>
        <v>-231.85878571428475</v>
      </c>
      <c r="I125" s="9">
        <f t="shared" ca="1" si="31"/>
        <v>36.984249999999882</v>
      </c>
      <c r="J125" s="9">
        <f t="shared" ca="1" si="32"/>
        <v>1.4514285714285506</v>
      </c>
      <c r="K125" s="9">
        <f t="shared" ca="1" si="33"/>
        <v>234.78997265847005</v>
      </c>
      <c r="L125" s="9">
        <f t="shared" ca="1" si="34"/>
        <v>-80.936989654112935</v>
      </c>
      <c r="M125">
        <f t="shared" ca="1" si="35"/>
        <v>56.374632936507936</v>
      </c>
      <c r="N125">
        <f t="shared" ca="1" si="36"/>
        <v>33.098234126984124</v>
      </c>
      <c r="O125" s="12"/>
    </row>
    <row r="126" spans="1:15" x14ac:dyDescent="0.25">
      <c r="A126" s="5">
        <f t="shared" si="26"/>
        <v>0.42569444444444332</v>
      </c>
      <c r="B126" s="3">
        <f t="shared" si="22"/>
        <v>1553300780</v>
      </c>
      <c r="C126">
        <f t="shared" si="18"/>
        <v>3</v>
      </c>
      <c r="D126">
        <f t="shared" si="18"/>
        <v>66</v>
      </c>
      <c r="E126">
        <f t="shared" ca="1" si="27"/>
        <v>9145.2442857142887</v>
      </c>
      <c r="F126">
        <f t="shared" ca="1" si="28"/>
        <v>59010.325000000004</v>
      </c>
      <c r="G126">
        <f t="shared" ca="1" si="29"/>
        <v>9579.4285714285725</v>
      </c>
      <c r="H126" s="9">
        <f t="shared" ca="1" si="30"/>
        <v>-231.85878571428475</v>
      </c>
      <c r="I126" s="9">
        <f t="shared" ca="1" si="31"/>
        <v>36.984249999999882</v>
      </c>
      <c r="J126" s="9">
        <f t="shared" ca="1" si="32"/>
        <v>1.4514285714285506</v>
      </c>
      <c r="K126" s="9">
        <f t="shared" ca="1" si="33"/>
        <v>234.78997265847005</v>
      </c>
      <c r="L126" s="9">
        <f t="shared" ca="1" si="34"/>
        <v>-80.936989654112935</v>
      </c>
      <c r="M126">
        <f t="shared" ca="1" si="35"/>
        <v>56.376269841269838</v>
      </c>
      <c r="N126">
        <f t="shared" ca="1" si="36"/>
        <v>33.079682539682537</v>
      </c>
      <c r="O126" s="12"/>
    </row>
    <row r="127" spans="1:15" x14ac:dyDescent="0.25">
      <c r="A127" s="4">
        <f t="shared" si="26"/>
        <v>0.42575231481481368</v>
      </c>
      <c r="B127" s="3">
        <f t="shared" si="22"/>
        <v>1553300785</v>
      </c>
      <c r="C127">
        <f t="shared" si="18"/>
        <v>3</v>
      </c>
      <c r="D127">
        <f t="shared" si="18"/>
        <v>66</v>
      </c>
      <c r="E127">
        <f t="shared" ca="1" si="27"/>
        <v>7985.950357142865</v>
      </c>
      <c r="F127">
        <f t="shared" ca="1" si="28"/>
        <v>59195.246250000004</v>
      </c>
      <c r="G127">
        <f t="shared" ca="1" si="29"/>
        <v>9586.6857142857152</v>
      </c>
      <c r="H127" s="9">
        <f t="shared" ca="1" si="30"/>
        <v>-231.85878571428765</v>
      </c>
      <c r="I127" s="9">
        <f t="shared" ca="1" si="31"/>
        <v>36.984249999999882</v>
      </c>
      <c r="J127" s="9">
        <f t="shared" ca="1" si="32"/>
        <v>1.4514285714285506</v>
      </c>
      <c r="K127" s="9">
        <f t="shared" ca="1" si="33"/>
        <v>234.78997265847289</v>
      </c>
      <c r="L127" s="9">
        <f t="shared" ca="1" si="34"/>
        <v>-80.936989654113049</v>
      </c>
      <c r="M127">
        <f t="shared" ca="1" si="35"/>
        <v>56.377906746031741</v>
      </c>
      <c r="N127">
        <f t="shared" ca="1" si="36"/>
        <v>33.06113095238095</v>
      </c>
      <c r="O127" s="12"/>
    </row>
    <row r="128" spans="1:15" x14ac:dyDescent="0.25">
      <c r="A128" s="4">
        <f t="shared" si="26"/>
        <v>0.42581018518518404</v>
      </c>
      <c r="B128" s="3">
        <f t="shared" si="22"/>
        <v>1553300790</v>
      </c>
      <c r="C128">
        <f t="shared" si="18"/>
        <v>3</v>
      </c>
      <c r="D128">
        <f t="shared" si="18"/>
        <v>66</v>
      </c>
      <c r="E128">
        <f t="shared" ca="1" si="27"/>
        <v>6826.6564285714267</v>
      </c>
      <c r="F128">
        <f t="shared" ca="1" si="28"/>
        <v>59380.167500000003</v>
      </c>
      <c r="G128">
        <f t="shared" ca="1" si="29"/>
        <v>9593.942857142858</v>
      </c>
      <c r="H128" s="9">
        <f t="shared" ca="1" si="30"/>
        <v>-231.85878571428475</v>
      </c>
      <c r="I128" s="9">
        <f t="shared" ca="1" si="31"/>
        <v>36.984249999999882</v>
      </c>
      <c r="J128" s="9">
        <f t="shared" ca="1" si="32"/>
        <v>1.4514285714285506</v>
      </c>
      <c r="K128" s="9">
        <f t="shared" ca="1" si="33"/>
        <v>234.78997265847005</v>
      </c>
      <c r="L128" s="9">
        <f t="shared" ca="1" si="34"/>
        <v>-80.936989654112935</v>
      </c>
      <c r="M128">
        <f t="shared" ca="1" si="35"/>
        <v>56.37954365079365</v>
      </c>
      <c r="N128">
        <f t="shared" ca="1" si="36"/>
        <v>33.042579365079362</v>
      </c>
    </row>
    <row r="129" spans="1:19" x14ac:dyDescent="0.25">
      <c r="A129" s="4">
        <f t="shared" si="26"/>
        <v>0.4258680555555544</v>
      </c>
      <c r="B129" s="3">
        <f t="shared" si="22"/>
        <v>1553300795</v>
      </c>
      <c r="C129">
        <f t="shared" si="18"/>
        <v>3</v>
      </c>
      <c r="D129">
        <f t="shared" si="18"/>
        <v>66</v>
      </c>
      <c r="E129">
        <f t="shared" ca="1" si="27"/>
        <v>5667.3625000000029</v>
      </c>
      <c r="F129">
        <f t="shared" ca="1" si="28"/>
        <v>59565.088750000003</v>
      </c>
      <c r="G129">
        <f t="shared" ca="1" si="29"/>
        <v>9601.2000000000007</v>
      </c>
      <c r="H129" s="9">
        <f t="shared" ca="1" si="30"/>
        <v>-231.85878571428475</v>
      </c>
      <c r="I129" s="9">
        <f t="shared" ca="1" si="31"/>
        <v>36.984249999999882</v>
      </c>
      <c r="J129" s="9">
        <f t="shared" ca="1" si="32"/>
        <v>1.4514285714285506</v>
      </c>
      <c r="K129" s="9">
        <f t="shared" ca="1" si="33"/>
        <v>234.78997265847005</v>
      </c>
      <c r="L129" s="9">
        <f t="shared" ca="1" si="34"/>
        <v>-80.936989654112935</v>
      </c>
      <c r="M129">
        <f t="shared" ca="1" si="35"/>
        <v>56.381180555555552</v>
      </c>
      <c r="N129">
        <f t="shared" ca="1" si="36"/>
        <v>33.024027777777775</v>
      </c>
    </row>
    <row r="130" spans="1:19" x14ac:dyDescent="0.25">
      <c r="A130" s="4">
        <f t="shared" si="26"/>
        <v>0.42592592592592476</v>
      </c>
      <c r="B130" s="3">
        <f t="shared" si="22"/>
        <v>1553300800</v>
      </c>
      <c r="C130">
        <f t="shared" si="18"/>
        <v>3</v>
      </c>
      <c r="D130">
        <f t="shared" si="18"/>
        <v>66</v>
      </c>
      <c r="E130">
        <f t="shared" ca="1" si="27"/>
        <v>4508.0685714285792</v>
      </c>
      <c r="F130">
        <f t="shared" ca="1" si="28"/>
        <v>59750.01</v>
      </c>
      <c r="G130">
        <f t="shared" ca="1" si="29"/>
        <v>9608.4571428571435</v>
      </c>
      <c r="H130" s="9">
        <f t="shared" ca="1" si="30"/>
        <v>-231.85878571428765</v>
      </c>
      <c r="I130" s="9">
        <f t="shared" ca="1" si="31"/>
        <v>36.984249999999882</v>
      </c>
      <c r="J130" s="9">
        <f t="shared" ca="1" si="32"/>
        <v>1.4514285714285506</v>
      </c>
      <c r="K130" s="9">
        <f t="shared" ca="1" si="33"/>
        <v>234.78997265847289</v>
      </c>
      <c r="L130" s="9">
        <f t="shared" ca="1" si="34"/>
        <v>-80.936989654113049</v>
      </c>
      <c r="M130">
        <f t="shared" ca="1" si="35"/>
        <v>56.382817460317455</v>
      </c>
      <c r="N130">
        <f t="shared" ca="1" si="36"/>
        <v>33.005476190476188</v>
      </c>
    </row>
    <row r="131" spans="1:19" x14ac:dyDescent="0.25">
      <c r="A131" s="4">
        <f t="shared" si="26"/>
        <v>0.42598379629629513</v>
      </c>
      <c r="B131" s="3">
        <f t="shared" si="22"/>
        <v>1553300805</v>
      </c>
      <c r="C131">
        <f t="shared" si="18"/>
        <v>3</v>
      </c>
      <c r="D131">
        <f t="shared" si="18"/>
        <v>66</v>
      </c>
      <c r="E131">
        <f t="shared" ca="1" si="23"/>
        <v>3348.7746428571409</v>
      </c>
      <c r="F131">
        <f t="shared" ca="1" si="24"/>
        <v>59934.931250000001</v>
      </c>
      <c r="G131">
        <f t="shared" ca="1" si="14"/>
        <v>9615.7142857142862</v>
      </c>
      <c r="H131" s="9">
        <f t="shared" ca="1" si="15"/>
        <v>-231.85878571428475</v>
      </c>
      <c r="I131" s="9">
        <f t="shared" ca="1" si="15"/>
        <v>36.984250000001339</v>
      </c>
      <c r="J131" s="9">
        <f t="shared" ca="1" si="15"/>
        <v>1.4514285714285506</v>
      </c>
      <c r="K131" s="9">
        <f t="shared" ca="1" si="16"/>
        <v>234.78997265847025</v>
      </c>
      <c r="L131" s="9">
        <f t="shared" ca="1" si="17"/>
        <v>-80.936989654112594</v>
      </c>
      <c r="M131">
        <f t="shared" ca="1" si="19"/>
        <v>56.384454365079364</v>
      </c>
      <c r="N131">
        <f t="shared" ca="1" si="20"/>
        <v>32.9869246031746</v>
      </c>
    </row>
    <row r="132" spans="1:19" x14ac:dyDescent="0.25">
      <c r="A132" s="4">
        <f t="shared" si="26"/>
        <v>0.42604166666666549</v>
      </c>
      <c r="B132" s="3">
        <f t="shared" si="22"/>
        <v>1553300810</v>
      </c>
      <c r="C132">
        <f t="shared" si="18"/>
        <v>3</v>
      </c>
      <c r="D132">
        <f t="shared" si="18"/>
        <v>66</v>
      </c>
      <c r="E132">
        <f t="shared" ca="1" si="23"/>
        <v>2189.4807142857171</v>
      </c>
      <c r="F132">
        <f t="shared" ca="1" si="24"/>
        <v>60119.852500000008</v>
      </c>
      <c r="G132">
        <f t="shared" ca="1" si="14"/>
        <v>9622.971428571429</v>
      </c>
      <c r="H132" s="9">
        <f t="shared" ca="1" si="15"/>
        <v>-231.85878571428475</v>
      </c>
      <c r="I132" s="9">
        <f t="shared" ca="1" si="15"/>
        <v>36.984249999999882</v>
      </c>
      <c r="J132" s="9">
        <f t="shared" ca="1" si="15"/>
        <v>1.4514285714285506</v>
      </c>
      <c r="K132" s="9">
        <f t="shared" ca="1" si="16"/>
        <v>234.78997265847005</v>
      </c>
      <c r="L132" s="9">
        <f t="shared" ca="1" si="17"/>
        <v>-80.936989654112935</v>
      </c>
      <c r="M132">
        <f t="shared" ca="1" si="19"/>
        <v>56.386091269841266</v>
      </c>
      <c r="N132">
        <f t="shared" ca="1" si="20"/>
        <v>32.968373015873013</v>
      </c>
    </row>
    <row r="133" spans="1:19" x14ac:dyDescent="0.25">
      <c r="A133" s="4">
        <f t="shared" si="26"/>
        <v>0.42609953703703585</v>
      </c>
      <c r="B133" s="3">
        <f t="shared" si="22"/>
        <v>1553300815</v>
      </c>
      <c r="C133">
        <f t="shared" si="18"/>
        <v>3</v>
      </c>
      <c r="D133">
        <f t="shared" si="18"/>
        <v>66</v>
      </c>
      <c r="E133">
        <f t="shared" ca="1" si="23"/>
        <v>1030.1867857142934</v>
      </c>
      <c r="F133">
        <f t="shared" ca="1" si="24"/>
        <v>60304.773750000008</v>
      </c>
      <c r="G133">
        <f t="shared" ca="1" si="14"/>
        <v>9630.2285714285717</v>
      </c>
      <c r="H133" s="9">
        <f t="shared" ca="1" si="15"/>
        <v>-231.85878571428765</v>
      </c>
      <c r="I133" s="9">
        <f t="shared" ca="1" si="15"/>
        <v>36.984249999999882</v>
      </c>
      <c r="J133" s="9">
        <f t="shared" ca="1" si="15"/>
        <v>1.4514285714285506</v>
      </c>
      <c r="K133" s="9">
        <f t="shared" ca="1" si="16"/>
        <v>234.78997265847289</v>
      </c>
      <c r="L133" s="9">
        <f t="shared" ca="1" si="17"/>
        <v>-80.936989654113049</v>
      </c>
      <c r="M133">
        <f t="shared" ca="1" si="19"/>
        <v>56.387728174603176</v>
      </c>
      <c r="N133">
        <f t="shared" ca="1" si="20"/>
        <v>32.949821428571425</v>
      </c>
    </row>
    <row r="134" spans="1:19" x14ac:dyDescent="0.25">
      <c r="A134" s="4">
        <f t="shared" si="26"/>
        <v>0.42615740740740621</v>
      </c>
      <c r="B134" s="3">
        <f t="shared" si="22"/>
        <v>1553300820</v>
      </c>
      <c r="C134">
        <f t="shared" si="18"/>
        <v>3</v>
      </c>
      <c r="D134">
        <f t="shared" si="18"/>
        <v>66</v>
      </c>
      <c r="E134">
        <f t="shared" ca="1" si="23"/>
        <v>-129.10714285714494</v>
      </c>
      <c r="F134">
        <f t="shared" ca="1" si="24"/>
        <v>60489.695000000007</v>
      </c>
      <c r="G134">
        <f t="shared" ca="1" si="14"/>
        <v>9637.4857142857145</v>
      </c>
      <c r="H134" s="9">
        <f t="shared" ca="1" si="15"/>
        <v>-231.85878571428475</v>
      </c>
      <c r="I134" s="9">
        <f t="shared" ca="1" si="15"/>
        <v>36.984249999999882</v>
      </c>
      <c r="J134" s="9">
        <f t="shared" ca="1" si="15"/>
        <v>1.4514285714285506</v>
      </c>
      <c r="K134" s="9">
        <f t="shared" ca="1" si="16"/>
        <v>234.78997265847005</v>
      </c>
      <c r="L134" s="9">
        <f t="shared" ca="1" si="17"/>
        <v>-80.936989654112935</v>
      </c>
      <c r="M134">
        <f t="shared" ca="1" si="19"/>
        <v>56.389365079365078</v>
      </c>
      <c r="N134">
        <f t="shared" ca="1" si="20"/>
        <v>32.931269841269838</v>
      </c>
    </row>
    <row r="135" spans="1:19" x14ac:dyDescent="0.25">
      <c r="A135" s="4">
        <f t="shared" si="26"/>
        <v>0.42621527777777657</v>
      </c>
      <c r="B135" s="3">
        <f t="shared" si="22"/>
        <v>1553300825</v>
      </c>
      <c r="C135">
        <f t="shared" si="18"/>
        <v>3</v>
      </c>
      <c r="D135">
        <f t="shared" si="18"/>
        <v>66</v>
      </c>
      <c r="E135">
        <f t="shared" ca="1" si="23"/>
        <v>-1288.4010714285687</v>
      </c>
      <c r="F135">
        <f t="shared" ca="1" si="24"/>
        <v>60674.616250000006</v>
      </c>
      <c r="G135">
        <f t="shared" ref="G135:G198" ca="1" si="37">INDIRECT("G$"&amp;C135)+INDIRECT("J$"&amp;C135)*($B135-INDIRECT("B$"&amp;D135))</f>
        <v>9644.7428571428572</v>
      </c>
      <c r="H135" s="9">
        <f t="shared" ref="H135:J150" ca="1" si="38">(E136-E135)/($B136-$B135)</f>
        <v>-231.85878571428475</v>
      </c>
      <c r="I135" s="9">
        <f t="shared" ca="1" si="38"/>
        <v>36.984249999999882</v>
      </c>
      <c r="J135" s="9">
        <f t="shared" ca="1" si="38"/>
        <v>1.4514285714285506</v>
      </c>
      <c r="K135" s="9">
        <f t="shared" ref="K135:K198" ca="1" si="39">SQRT(H135*H135+I135*I135)</f>
        <v>234.78997265847005</v>
      </c>
      <c r="L135" s="9">
        <f t="shared" ref="L135:L198" ca="1" si="40">DEGREES(ATAN2(I135,H135))</f>
        <v>-80.936989654112935</v>
      </c>
      <c r="M135">
        <f t="shared" ca="1" si="19"/>
        <v>56.39100198412698</v>
      </c>
      <c r="N135">
        <f t="shared" ca="1" si="20"/>
        <v>32.912718253968251</v>
      </c>
      <c r="O135" s="13"/>
      <c r="P135" s="13"/>
      <c r="Q135" s="13"/>
      <c r="R135" s="13"/>
      <c r="S135" s="13"/>
    </row>
    <row r="136" spans="1:19" x14ac:dyDescent="0.25">
      <c r="A136" s="4">
        <f t="shared" si="26"/>
        <v>0.42627314814814693</v>
      </c>
      <c r="B136" s="3">
        <f t="shared" si="22"/>
        <v>1553300830</v>
      </c>
      <c r="C136">
        <f t="shared" ref="C136:D199" si="41">C135</f>
        <v>3</v>
      </c>
      <c r="D136">
        <f t="shared" si="41"/>
        <v>66</v>
      </c>
      <c r="E136">
        <f t="shared" ca="1" si="23"/>
        <v>-2447.6949999999924</v>
      </c>
      <c r="F136">
        <f t="shared" ca="1" si="24"/>
        <v>60859.537500000006</v>
      </c>
      <c r="G136">
        <f t="shared" ca="1" si="37"/>
        <v>9652</v>
      </c>
      <c r="H136" s="9">
        <f t="shared" ca="1" si="38"/>
        <v>-231.85878571428765</v>
      </c>
      <c r="I136" s="9">
        <f t="shared" ca="1" si="38"/>
        <v>36.984249999999882</v>
      </c>
      <c r="J136" s="9">
        <f t="shared" ca="1" si="38"/>
        <v>1.4514285714285506</v>
      </c>
      <c r="K136" s="9">
        <f t="shared" ca="1" si="39"/>
        <v>234.78997265847289</v>
      </c>
      <c r="L136" s="9">
        <f t="shared" ca="1" si="40"/>
        <v>-80.936989654113049</v>
      </c>
      <c r="M136">
        <f t="shared" ref="M136:M199" ca="1" si="42">INDIRECT("M$"&amp;C136)+INDIRECT("O$"&amp;C136)*($B136-INDIRECT("B$"&amp;D136))</f>
        <v>56.392638888888889</v>
      </c>
      <c r="N136">
        <f t="shared" ref="N136:N199" ca="1" si="43">INDIRECT("N$"&amp;C136)+INDIRECT("P$"&amp;C136)*($B136-INDIRECT("B$"&amp;D136))</f>
        <v>32.894166666666663</v>
      </c>
      <c r="O136" s="12"/>
    </row>
    <row r="137" spans="1:19" x14ac:dyDescent="0.25">
      <c r="A137" s="4">
        <f t="shared" si="26"/>
        <v>0.42633101851851729</v>
      </c>
      <c r="B137" s="3">
        <f t="shared" ref="B137:B200" si="44">B136+SECOND(A137-A136)</f>
        <v>1553300835</v>
      </c>
      <c r="C137">
        <f t="shared" si="41"/>
        <v>3</v>
      </c>
      <c r="D137">
        <f t="shared" si="41"/>
        <v>66</v>
      </c>
      <c r="E137">
        <f t="shared" ca="1" si="23"/>
        <v>-3606.9889285714307</v>
      </c>
      <c r="F137">
        <f t="shared" ca="1" si="24"/>
        <v>61044.458750000005</v>
      </c>
      <c r="G137">
        <f t="shared" ca="1" si="37"/>
        <v>9659.2571428571428</v>
      </c>
      <c r="H137" s="9">
        <f t="shared" ca="1" si="38"/>
        <v>-231.85878571428475</v>
      </c>
      <c r="I137" s="9">
        <f t="shared" ca="1" si="38"/>
        <v>36.984249999999882</v>
      </c>
      <c r="J137" s="9">
        <f t="shared" ca="1" si="38"/>
        <v>1.4514285714285506</v>
      </c>
      <c r="K137" s="9">
        <f t="shared" ca="1" si="39"/>
        <v>234.78997265847005</v>
      </c>
      <c r="L137" s="9">
        <f t="shared" ca="1" si="40"/>
        <v>-80.936989654112935</v>
      </c>
      <c r="M137">
        <f t="shared" ca="1" si="42"/>
        <v>56.394275793650792</v>
      </c>
      <c r="N137">
        <f t="shared" ca="1" si="43"/>
        <v>32.875615079365076</v>
      </c>
      <c r="O137" s="12"/>
    </row>
    <row r="138" spans="1:19" x14ac:dyDescent="0.25">
      <c r="A138" s="8">
        <f t="shared" si="26"/>
        <v>0.42638888888888765</v>
      </c>
      <c r="B138" s="3">
        <f t="shared" si="44"/>
        <v>1553300840</v>
      </c>
      <c r="C138">
        <f t="shared" si="41"/>
        <v>3</v>
      </c>
      <c r="D138">
        <f t="shared" si="41"/>
        <v>66</v>
      </c>
      <c r="E138">
        <f t="shared" ca="1" si="23"/>
        <v>-4766.2828571428545</v>
      </c>
      <c r="F138">
        <f t="shared" ca="1" si="24"/>
        <v>61229.380000000005</v>
      </c>
      <c r="G138">
        <f t="shared" ca="1" si="37"/>
        <v>9666.5142857142855</v>
      </c>
      <c r="H138" s="9">
        <f t="shared" ca="1" si="38"/>
        <v>-231.85878571428475</v>
      </c>
      <c r="I138" s="9">
        <f t="shared" ca="1" si="38"/>
        <v>36.984249999999882</v>
      </c>
      <c r="J138" s="9">
        <f t="shared" ca="1" si="38"/>
        <v>1.4514285714285506</v>
      </c>
      <c r="K138" s="9">
        <f t="shared" ca="1" si="39"/>
        <v>234.78997265847005</v>
      </c>
      <c r="L138" s="9">
        <f t="shared" ca="1" si="40"/>
        <v>-80.936989654112935</v>
      </c>
      <c r="M138">
        <f t="shared" ca="1" si="42"/>
        <v>56.395912698412694</v>
      </c>
      <c r="N138">
        <f t="shared" ca="1" si="43"/>
        <v>32.857063492063489</v>
      </c>
      <c r="O138" s="12"/>
    </row>
    <row r="139" spans="1:19" x14ac:dyDescent="0.25">
      <c r="A139" s="4">
        <f t="shared" si="26"/>
        <v>0.42644675925925801</v>
      </c>
      <c r="B139" s="3">
        <f t="shared" si="44"/>
        <v>1553300845</v>
      </c>
      <c r="C139">
        <f t="shared" si="41"/>
        <v>3</v>
      </c>
      <c r="D139">
        <f t="shared" si="41"/>
        <v>66</v>
      </c>
      <c r="E139">
        <f t="shared" ca="1" si="23"/>
        <v>-5925.5767857142782</v>
      </c>
      <c r="F139">
        <f t="shared" ca="1" si="24"/>
        <v>61414.301250000004</v>
      </c>
      <c r="G139">
        <f t="shared" ca="1" si="37"/>
        <v>9673.7714285714283</v>
      </c>
      <c r="H139" s="9">
        <f t="shared" ca="1" si="38"/>
        <v>-231.85878571428765</v>
      </c>
      <c r="I139" s="9">
        <f t="shared" ca="1" si="38"/>
        <v>36.984249999999882</v>
      </c>
      <c r="J139" s="9">
        <f t="shared" ca="1" si="38"/>
        <v>1.4514285714285506</v>
      </c>
      <c r="K139" s="9">
        <f t="shared" ca="1" si="39"/>
        <v>234.78997265847289</v>
      </c>
      <c r="L139" s="9">
        <f t="shared" ca="1" si="40"/>
        <v>-80.936989654113049</v>
      </c>
      <c r="M139">
        <f t="shared" ca="1" si="42"/>
        <v>56.397549603174603</v>
      </c>
      <c r="N139">
        <f t="shared" ca="1" si="43"/>
        <v>32.838511904761901</v>
      </c>
      <c r="O139" s="12"/>
    </row>
    <row r="140" spans="1:19" x14ac:dyDescent="0.25">
      <c r="A140" s="4">
        <f t="shared" si="26"/>
        <v>0.42650462962962837</v>
      </c>
      <c r="B140" s="3">
        <f t="shared" si="44"/>
        <v>1553300850</v>
      </c>
      <c r="C140">
        <f t="shared" si="41"/>
        <v>3</v>
      </c>
      <c r="D140">
        <f t="shared" si="41"/>
        <v>66</v>
      </c>
      <c r="E140">
        <f t="shared" ca="1" si="23"/>
        <v>-7084.8707142857165</v>
      </c>
      <c r="F140">
        <f t="shared" ca="1" si="24"/>
        <v>61599.222500000003</v>
      </c>
      <c r="G140">
        <f t="shared" ca="1" si="37"/>
        <v>9681.028571428571</v>
      </c>
      <c r="H140" s="9">
        <f t="shared" ca="1" si="38"/>
        <v>-231.85878571428475</v>
      </c>
      <c r="I140" s="9">
        <f t="shared" ca="1" si="38"/>
        <v>36.984249999999882</v>
      </c>
      <c r="J140" s="9">
        <f t="shared" ca="1" si="38"/>
        <v>1.4514285714285506</v>
      </c>
      <c r="K140" s="9">
        <f t="shared" ca="1" si="39"/>
        <v>234.78997265847005</v>
      </c>
      <c r="L140" s="9">
        <f t="shared" ca="1" si="40"/>
        <v>-80.936989654112935</v>
      </c>
      <c r="M140">
        <f t="shared" ca="1" si="42"/>
        <v>56.399186507936506</v>
      </c>
      <c r="N140">
        <f t="shared" ca="1" si="43"/>
        <v>32.819960317460314</v>
      </c>
      <c r="O140" s="12"/>
    </row>
    <row r="141" spans="1:19" x14ac:dyDescent="0.25">
      <c r="A141" s="4">
        <f t="shared" si="26"/>
        <v>0.42656249999999873</v>
      </c>
      <c r="B141" s="3">
        <f t="shared" si="44"/>
        <v>1553300855</v>
      </c>
      <c r="C141">
        <f t="shared" si="41"/>
        <v>3</v>
      </c>
      <c r="D141">
        <f t="shared" si="41"/>
        <v>66</v>
      </c>
      <c r="E141">
        <f t="shared" ca="1" si="23"/>
        <v>-8244.1646428571403</v>
      </c>
      <c r="F141">
        <f t="shared" ca="1" si="24"/>
        <v>61784.143750000003</v>
      </c>
      <c r="G141">
        <f t="shared" ca="1" si="37"/>
        <v>9688.2857142857138</v>
      </c>
      <c r="H141" s="9">
        <f t="shared" ca="1" si="38"/>
        <v>-231.85878571428475</v>
      </c>
      <c r="I141" s="9">
        <f t="shared" ca="1" si="38"/>
        <v>36.984249999999882</v>
      </c>
      <c r="J141" s="9">
        <f t="shared" ca="1" si="38"/>
        <v>1.4514285714289143</v>
      </c>
      <c r="K141" s="9">
        <f t="shared" ca="1" si="39"/>
        <v>234.78997265847005</v>
      </c>
      <c r="L141" s="9">
        <f t="shared" ca="1" si="40"/>
        <v>-80.936989654112935</v>
      </c>
      <c r="M141">
        <f t="shared" ca="1" si="42"/>
        <v>56.400823412698408</v>
      </c>
      <c r="N141">
        <f t="shared" ca="1" si="43"/>
        <v>32.801408730158727</v>
      </c>
    </row>
    <row r="142" spans="1:19" x14ac:dyDescent="0.25">
      <c r="A142" s="4">
        <f t="shared" si="26"/>
        <v>0.4266203703703691</v>
      </c>
      <c r="B142" s="3">
        <f t="shared" si="44"/>
        <v>1553300860</v>
      </c>
      <c r="C142">
        <f t="shared" si="41"/>
        <v>3</v>
      </c>
      <c r="D142">
        <f t="shared" si="41"/>
        <v>66</v>
      </c>
      <c r="E142">
        <f t="shared" ca="1" si="23"/>
        <v>-9403.458571428564</v>
      </c>
      <c r="F142">
        <f t="shared" ca="1" si="24"/>
        <v>61969.065000000002</v>
      </c>
      <c r="G142">
        <f t="shared" ca="1" si="37"/>
        <v>9695.5428571428583</v>
      </c>
      <c r="H142" s="9">
        <f t="shared" ca="1" si="38"/>
        <v>-231.85878571428765</v>
      </c>
      <c r="I142" s="9">
        <f t="shared" ca="1" si="38"/>
        <v>36.984249999999882</v>
      </c>
      <c r="J142" s="9">
        <f t="shared" ca="1" si="38"/>
        <v>1.4514285714285506</v>
      </c>
      <c r="K142" s="9">
        <f t="shared" ca="1" si="39"/>
        <v>234.78997265847289</v>
      </c>
      <c r="L142" s="9">
        <f t="shared" ca="1" si="40"/>
        <v>-80.936989654113049</v>
      </c>
      <c r="M142">
        <f t="shared" ca="1" si="42"/>
        <v>56.402460317460317</v>
      </c>
      <c r="N142">
        <f t="shared" ca="1" si="43"/>
        <v>32.782857142857139</v>
      </c>
    </row>
    <row r="143" spans="1:19" x14ac:dyDescent="0.25">
      <c r="A143" s="4">
        <f t="shared" si="26"/>
        <v>0.42667824074073946</v>
      </c>
      <c r="B143" s="3">
        <f t="shared" si="44"/>
        <v>1553300865</v>
      </c>
      <c r="C143">
        <f t="shared" si="41"/>
        <v>3</v>
      </c>
      <c r="D143">
        <f t="shared" si="41"/>
        <v>66</v>
      </c>
      <c r="E143">
        <f t="shared" ca="1" si="23"/>
        <v>-10562.752500000002</v>
      </c>
      <c r="F143">
        <f t="shared" ca="1" si="24"/>
        <v>62153.986250000002</v>
      </c>
      <c r="G143">
        <f t="shared" ca="1" si="37"/>
        <v>9702.8000000000011</v>
      </c>
      <c r="H143" s="9">
        <f t="shared" ca="1" si="38"/>
        <v>-231.85878571428475</v>
      </c>
      <c r="I143" s="9">
        <f t="shared" ca="1" si="38"/>
        <v>36.984249999999882</v>
      </c>
      <c r="J143" s="9">
        <f t="shared" ca="1" si="38"/>
        <v>1.4514285714285506</v>
      </c>
      <c r="K143" s="9">
        <f t="shared" ca="1" si="39"/>
        <v>234.78997265847005</v>
      </c>
      <c r="L143" s="9">
        <f t="shared" ca="1" si="40"/>
        <v>-80.936989654112935</v>
      </c>
      <c r="M143">
        <f t="shared" ca="1" si="42"/>
        <v>56.404097222222219</v>
      </c>
      <c r="N143">
        <f t="shared" ca="1" si="43"/>
        <v>32.764305555555552</v>
      </c>
    </row>
    <row r="144" spans="1:19" x14ac:dyDescent="0.25">
      <c r="A144" s="4">
        <f t="shared" si="26"/>
        <v>0.42673611111110982</v>
      </c>
      <c r="B144" s="3">
        <f t="shared" si="44"/>
        <v>1553300870</v>
      </c>
      <c r="C144">
        <f t="shared" si="41"/>
        <v>3</v>
      </c>
      <c r="D144">
        <f t="shared" si="41"/>
        <v>66</v>
      </c>
      <c r="E144">
        <f t="shared" ca="1" si="23"/>
        <v>-11722.046428571426</v>
      </c>
      <c r="F144">
        <f t="shared" ca="1" si="24"/>
        <v>62338.907500000001</v>
      </c>
      <c r="G144">
        <f t="shared" ca="1" si="37"/>
        <v>9710.0571428571438</v>
      </c>
      <c r="H144" s="9">
        <f t="shared" ca="1" si="38"/>
        <v>-231.85878571428475</v>
      </c>
      <c r="I144" s="9">
        <f t="shared" ca="1" si="38"/>
        <v>36.984249999999882</v>
      </c>
      <c r="J144" s="9">
        <f t="shared" ca="1" si="38"/>
        <v>1.4514285714285506</v>
      </c>
      <c r="K144" s="9">
        <f t="shared" ca="1" si="39"/>
        <v>234.78997265847005</v>
      </c>
      <c r="L144" s="9">
        <f t="shared" ca="1" si="40"/>
        <v>-80.936989654112935</v>
      </c>
      <c r="M144">
        <f t="shared" ca="1" si="42"/>
        <v>56.405734126984122</v>
      </c>
      <c r="N144">
        <f t="shared" ca="1" si="43"/>
        <v>32.745753968253965</v>
      </c>
    </row>
    <row r="145" spans="1:14" x14ac:dyDescent="0.25">
      <c r="A145" s="4">
        <f t="shared" si="26"/>
        <v>0.42679398148148018</v>
      </c>
      <c r="B145" s="3">
        <f t="shared" si="44"/>
        <v>1553300875</v>
      </c>
      <c r="C145">
        <f t="shared" si="41"/>
        <v>3</v>
      </c>
      <c r="D145">
        <f t="shared" si="41"/>
        <v>66</v>
      </c>
      <c r="E145">
        <f t="shared" ca="1" si="23"/>
        <v>-12881.34035714285</v>
      </c>
      <c r="F145">
        <f t="shared" ca="1" si="24"/>
        <v>62523.828750000001</v>
      </c>
      <c r="G145">
        <f t="shared" ca="1" si="37"/>
        <v>9717.3142857142866</v>
      </c>
      <c r="H145" s="9">
        <f t="shared" ca="1" si="38"/>
        <v>-231.85878571428765</v>
      </c>
      <c r="I145" s="9">
        <f t="shared" ca="1" si="38"/>
        <v>36.984249999999882</v>
      </c>
      <c r="J145" s="9">
        <f t="shared" ca="1" si="38"/>
        <v>1.4514285714285506</v>
      </c>
      <c r="K145" s="9">
        <f t="shared" ca="1" si="39"/>
        <v>234.78997265847289</v>
      </c>
      <c r="L145" s="9">
        <f t="shared" ca="1" si="40"/>
        <v>-80.936989654113049</v>
      </c>
      <c r="M145">
        <f t="shared" ca="1" si="42"/>
        <v>56.407371031746031</v>
      </c>
      <c r="N145">
        <f t="shared" ca="1" si="43"/>
        <v>32.727202380952377</v>
      </c>
    </row>
    <row r="146" spans="1:14" x14ac:dyDescent="0.25">
      <c r="A146" s="4">
        <f t="shared" si="26"/>
        <v>0.42685185185185054</v>
      </c>
      <c r="B146" s="3">
        <f t="shared" si="44"/>
        <v>1553300880</v>
      </c>
      <c r="C146">
        <f t="shared" si="41"/>
        <v>3</v>
      </c>
      <c r="D146">
        <f t="shared" si="41"/>
        <v>66</v>
      </c>
      <c r="E146">
        <f t="shared" ca="1" si="23"/>
        <v>-14040.634285714288</v>
      </c>
      <c r="F146">
        <f t="shared" ca="1" si="24"/>
        <v>62708.75</v>
      </c>
      <c r="G146">
        <f t="shared" ca="1" si="37"/>
        <v>9724.5714285714294</v>
      </c>
      <c r="H146" s="9">
        <f t="shared" ca="1" si="38"/>
        <v>-231.85878571428475</v>
      </c>
      <c r="I146" s="9">
        <f t="shared" ca="1" si="38"/>
        <v>36.984250000001339</v>
      </c>
      <c r="J146" s="9">
        <f t="shared" ca="1" si="38"/>
        <v>1.4514285714285506</v>
      </c>
      <c r="K146" s="9">
        <f t="shared" ca="1" si="39"/>
        <v>234.78997265847025</v>
      </c>
      <c r="L146" s="9">
        <f t="shared" ca="1" si="40"/>
        <v>-80.936989654112594</v>
      </c>
      <c r="M146">
        <f t="shared" ca="1" si="42"/>
        <v>56.409007936507933</v>
      </c>
      <c r="N146">
        <f t="shared" ca="1" si="43"/>
        <v>32.70865079365079</v>
      </c>
    </row>
    <row r="147" spans="1:14" x14ac:dyDescent="0.25">
      <c r="A147" s="4">
        <f t="shared" si="26"/>
        <v>0.4269097222222209</v>
      </c>
      <c r="B147" s="3">
        <f t="shared" si="44"/>
        <v>1553300885</v>
      </c>
      <c r="C147">
        <f t="shared" si="41"/>
        <v>3</v>
      </c>
      <c r="D147">
        <f t="shared" si="41"/>
        <v>66</v>
      </c>
      <c r="E147">
        <f t="shared" ca="1" si="23"/>
        <v>-15199.928214285712</v>
      </c>
      <c r="F147">
        <f t="shared" ca="1" si="24"/>
        <v>62893.671250000007</v>
      </c>
      <c r="G147">
        <f t="shared" ca="1" si="37"/>
        <v>9731.8285714285721</v>
      </c>
      <c r="H147" s="9">
        <f t="shared" ca="1" si="38"/>
        <v>-231.85878571428475</v>
      </c>
      <c r="I147" s="9">
        <f t="shared" ca="1" si="38"/>
        <v>36.984249999999882</v>
      </c>
      <c r="J147" s="9">
        <f t="shared" ca="1" si="38"/>
        <v>1.4514285714285506</v>
      </c>
      <c r="K147" s="9">
        <f t="shared" ca="1" si="39"/>
        <v>234.78997265847005</v>
      </c>
      <c r="L147" s="9">
        <f t="shared" ca="1" si="40"/>
        <v>-80.936989654112935</v>
      </c>
      <c r="M147">
        <f t="shared" ca="1" si="42"/>
        <v>56.410644841269836</v>
      </c>
      <c r="N147">
        <f t="shared" ca="1" si="43"/>
        <v>32.690099206349203</v>
      </c>
    </row>
    <row r="148" spans="1:14" x14ac:dyDescent="0.25">
      <c r="A148" s="4">
        <f t="shared" si="26"/>
        <v>0.42696759259259126</v>
      </c>
      <c r="B148" s="3">
        <f t="shared" si="44"/>
        <v>1553300890</v>
      </c>
      <c r="C148">
        <f t="shared" si="41"/>
        <v>3</v>
      </c>
      <c r="D148">
        <f t="shared" si="41"/>
        <v>66</v>
      </c>
      <c r="E148">
        <f t="shared" ca="1" si="23"/>
        <v>-16359.222142857136</v>
      </c>
      <c r="F148">
        <f t="shared" ca="1" si="24"/>
        <v>63078.592500000006</v>
      </c>
      <c r="G148">
        <f t="shared" ca="1" si="37"/>
        <v>9739.0857142857149</v>
      </c>
      <c r="H148" s="9">
        <f t="shared" ca="1" si="38"/>
        <v>-231.85878571428765</v>
      </c>
      <c r="I148" s="9">
        <f t="shared" ca="1" si="38"/>
        <v>36.984249999999882</v>
      </c>
      <c r="J148" s="9">
        <f t="shared" ca="1" si="38"/>
        <v>1.4514285714285506</v>
      </c>
      <c r="K148" s="9">
        <f t="shared" ca="1" si="39"/>
        <v>234.78997265847289</v>
      </c>
      <c r="L148" s="9">
        <f t="shared" ca="1" si="40"/>
        <v>-80.936989654113049</v>
      </c>
      <c r="M148">
        <f t="shared" ca="1" si="42"/>
        <v>56.412281746031745</v>
      </c>
      <c r="N148">
        <f t="shared" ca="1" si="43"/>
        <v>32.671547619047615</v>
      </c>
    </row>
    <row r="149" spans="1:14" x14ac:dyDescent="0.25">
      <c r="A149" s="4">
        <f t="shared" si="26"/>
        <v>0.42702546296296162</v>
      </c>
      <c r="B149" s="3">
        <f t="shared" si="44"/>
        <v>1553300895</v>
      </c>
      <c r="C149">
        <f t="shared" si="41"/>
        <v>3</v>
      </c>
      <c r="D149">
        <f t="shared" si="41"/>
        <v>66</v>
      </c>
      <c r="E149">
        <f t="shared" ca="1" si="23"/>
        <v>-17518.516071428574</v>
      </c>
      <c r="F149">
        <f t="shared" ca="1" si="24"/>
        <v>63263.513750000006</v>
      </c>
      <c r="G149">
        <f t="shared" ca="1" si="37"/>
        <v>9746.3428571428576</v>
      </c>
      <c r="H149" s="9">
        <f t="shared" ca="1" si="38"/>
        <v>-231.85878571428475</v>
      </c>
      <c r="I149" s="9">
        <f t="shared" ca="1" si="38"/>
        <v>36.984249999999882</v>
      </c>
      <c r="J149" s="9">
        <f t="shared" ca="1" si="38"/>
        <v>1.4514285714285506</v>
      </c>
      <c r="K149" s="9">
        <f t="shared" ca="1" si="39"/>
        <v>234.78997265847005</v>
      </c>
      <c r="L149" s="9">
        <f t="shared" ca="1" si="40"/>
        <v>-80.936989654112935</v>
      </c>
      <c r="M149">
        <f t="shared" ca="1" si="42"/>
        <v>56.413918650793647</v>
      </c>
      <c r="N149">
        <f t="shared" ca="1" si="43"/>
        <v>32.652996031746028</v>
      </c>
    </row>
    <row r="150" spans="1:14" x14ac:dyDescent="0.25">
      <c r="A150" s="4">
        <f t="shared" si="26"/>
        <v>0.42708333333333198</v>
      </c>
      <c r="B150" s="3">
        <f t="shared" si="44"/>
        <v>1553300900</v>
      </c>
      <c r="C150">
        <f t="shared" si="41"/>
        <v>3</v>
      </c>
      <c r="D150">
        <f t="shared" si="41"/>
        <v>66</v>
      </c>
      <c r="E150">
        <f t="shared" ca="1" si="23"/>
        <v>-18677.809999999998</v>
      </c>
      <c r="F150">
        <f t="shared" ca="1" si="24"/>
        <v>63448.435000000005</v>
      </c>
      <c r="G150">
        <f t="shared" ca="1" si="37"/>
        <v>9753.6</v>
      </c>
      <c r="H150" s="9">
        <f t="shared" ca="1" si="38"/>
        <v>-231.85878571428475</v>
      </c>
      <c r="I150" s="9">
        <f t="shared" ca="1" si="38"/>
        <v>36.984249999999882</v>
      </c>
      <c r="J150" s="9">
        <f t="shared" ca="1" si="38"/>
        <v>1.4514285714285506</v>
      </c>
      <c r="K150" s="9">
        <f t="shared" ca="1" si="39"/>
        <v>234.78997265847005</v>
      </c>
      <c r="L150" s="9">
        <f t="shared" ca="1" si="40"/>
        <v>-80.936989654112935</v>
      </c>
      <c r="M150">
        <f t="shared" ca="1" si="42"/>
        <v>56.415555555555557</v>
      </c>
      <c r="N150">
        <f t="shared" ca="1" si="43"/>
        <v>32.634444444444441</v>
      </c>
    </row>
    <row r="151" spans="1:14" x14ac:dyDescent="0.25">
      <c r="A151" s="4">
        <f t="shared" si="26"/>
        <v>0.42714120370370234</v>
      </c>
      <c r="B151" s="3">
        <f t="shared" si="44"/>
        <v>1553300905</v>
      </c>
      <c r="C151">
        <f t="shared" si="41"/>
        <v>3</v>
      </c>
      <c r="D151">
        <f t="shared" si="41"/>
        <v>66</v>
      </c>
      <c r="E151">
        <f t="shared" ca="1" si="23"/>
        <v>-19837.103928571421</v>
      </c>
      <c r="F151">
        <f t="shared" ca="1" si="24"/>
        <v>63633.356250000004</v>
      </c>
      <c r="G151">
        <f t="shared" ca="1" si="37"/>
        <v>9760.8571428571431</v>
      </c>
      <c r="H151" s="9">
        <f t="shared" ref="H151:J182" ca="1" si="45">(E152-E151)/($B152-$B151)</f>
        <v>-231.85878571428765</v>
      </c>
      <c r="I151" s="9">
        <f t="shared" ca="1" si="45"/>
        <v>36.984249999999882</v>
      </c>
      <c r="J151" s="9">
        <f t="shared" ca="1" si="45"/>
        <v>1.4514285714285506</v>
      </c>
      <c r="K151" s="9">
        <f t="shared" ca="1" si="39"/>
        <v>234.78997265847289</v>
      </c>
      <c r="L151" s="9">
        <f t="shared" ca="1" si="40"/>
        <v>-80.936989654113049</v>
      </c>
      <c r="M151">
        <f t="shared" ca="1" si="42"/>
        <v>56.417192460317459</v>
      </c>
      <c r="N151">
        <f t="shared" ca="1" si="43"/>
        <v>32.61589285714286</v>
      </c>
    </row>
    <row r="152" spans="1:14" x14ac:dyDescent="0.25">
      <c r="A152" s="4">
        <f t="shared" si="26"/>
        <v>0.4271990740740727</v>
      </c>
      <c r="B152" s="3">
        <f t="shared" si="44"/>
        <v>1553300910</v>
      </c>
      <c r="C152">
        <f t="shared" si="41"/>
        <v>3</v>
      </c>
      <c r="D152">
        <f t="shared" si="41"/>
        <v>66</v>
      </c>
      <c r="E152">
        <f t="shared" ca="1" si="23"/>
        <v>-20996.39785714286</v>
      </c>
      <c r="F152">
        <f t="shared" ca="1" si="24"/>
        <v>63818.277500000004</v>
      </c>
      <c r="G152">
        <f t="shared" ca="1" si="37"/>
        <v>9768.1142857142859</v>
      </c>
      <c r="H152" s="9">
        <f t="shared" ca="1" si="45"/>
        <v>-231.85878571428475</v>
      </c>
      <c r="I152" s="9">
        <f t="shared" ca="1" si="45"/>
        <v>36.984249999999882</v>
      </c>
      <c r="J152" s="9">
        <f t="shared" ca="1" si="45"/>
        <v>1.4514285714285506</v>
      </c>
      <c r="K152" s="9">
        <f t="shared" ca="1" si="39"/>
        <v>234.78997265847005</v>
      </c>
      <c r="L152" s="9">
        <f t="shared" ca="1" si="40"/>
        <v>-80.936989654112935</v>
      </c>
      <c r="M152">
        <f t="shared" ca="1" si="42"/>
        <v>56.418829365079361</v>
      </c>
      <c r="N152">
        <f t="shared" ca="1" si="43"/>
        <v>32.597341269841273</v>
      </c>
    </row>
    <row r="153" spans="1:14" x14ac:dyDescent="0.25">
      <c r="A153" s="4">
        <f t="shared" si="26"/>
        <v>0.42725694444444307</v>
      </c>
      <c r="B153" s="3">
        <f t="shared" si="44"/>
        <v>1553300915</v>
      </c>
      <c r="C153">
        <f t="shared" si="41"/>
        <v>3</v>
      </c>
      <c r="D153">
        <f t="shared" si="41"/>
        <v>66</v>
      </c>
      <c r="E153">
        <f t="shared" ca="1" si="23"/>
        <v>-22155.691785714283</v>
      </c>
      <c r="F153">
        <f t="shared" ca="1" si="24"/>
        <v>64003.198750000003</v>
      </c>
      <c r="G153">
        <f t="shared" ca="1" si="37"/>
        <v>9775.3714285714286</v>
      </c>
      <c r="H153" s="9">
        <f t="shared" ca="1" si="45"/>
        <v>-231.85878571428475</v>
      </c>
      <c r="I153" s="9">
        <f t="shared" ca="1" si="45"/>
        <v>36.984249999999882</v>
      </c>
      <c r="J153" s="9">
        <f t="shared" ca="1" si="45"/>
        <v>1.4514285714285506</v>
      </c>
      <c r="K153" s="9">
        <f t="shared" ca="1" si="39"/>
        <v>234.78997265847005</v>
      </c>
      <c r="L153" s="9">
        <f t="shared" ca="1" si="40"/>
        <v>-80.936989654112935</v>
      </c>
      <c r="M153">
        <f t="shared" ca="1" si="42"/>
        <v>56.42046626984127</v>
      </c>
      <c r="N153">
        <f t="shared" ca="1" si="43"/>
        <v>32.578789682539686</v>
      </c>
    </row>
    <row r="154" spans="1:14" x14ac:dyDescent="0.25">
      <c r="A154" s="4">
        <f t="shared" si="26"/>
        <v>0.42731481481481343</v>
      </c>
      <c r="B154" s="3">
        <f t="shared" si="44"/>
        <v>1553300920</v>
      </c>
      <c r="C154">
        <f t="shared" si="41"/>
        <v>3</v>
      </c>
      <c r="D154">
        <f t="shared" si="41"/>
        <v>66</v>
      </c>
      <c r="E154">
        <f t="shared" ca="1" si="23"/>
        <v>-23314.985714285707</v>
      </c>
      <c r="F154">
        <f t="shared" ca="1" si="24"/>
        <v>64188.12</v>
      </c>
      <c r="G154">
        <f t="shared" ca="1" si="37"/>
        <v>9782.6285714285714</v>
      </c>
      <c r="H154" s="9">
        <f t="shared" ca="1" si="45"/>
        <v>-231.85878571428765</v>
      </c>
      <c r="I154" s="9">
        <f t="shared" ca="1" si="45"/>
        <v>36.984250000001339</v>
      </c>
      <c r="J154" s="9">
        <f t="shared" ca="1" si="45"/>
        <v>1.4514285714285506</v>
      </c>
      <c r="K154" s="9">
        <f t="shared" ca="1" si="39"/>
        <v>234.78997265847312</v>
      </c>
      <c r="L154" s="9">
        <f t="shared" ca="1" si="40"/>
        <v>-80.936989654112708</v>
      </c>
      <c r="M154">
        <f t="shared" ca="1" si="42"/>
        <v>56.422103174603173</v>
      </c>
      <c r="N154">
        <f t="shared" ca="1" si="43"/>
        <v>32.560238095238098</v>
      </c>
    </row>
    <row r="155" spans="1:14" x14ac:dyDescent="0.25">
      <c r="A155" s="4">
        <f t="shared" si="26"/>
        <v>0.42737268518518379</v>
      </c>
      <c r="B155" s="3">
        <f t="shared" si="44"/>
        <v>1553300925</v>
      </c>
      <c r="C155">
        <f t="shared" si="41"/>
        <v>3</v>
      </c>
      <c r="D155">
        <f t="shared" si="41"/>
        <v>66</v>
      </c>
      <c r="E155">
        <f t="shared" ca="1" si="23"/>
        <v>-24474.279642857146</v>
      </c>
      <c r="F155">
        <f t="shared" ca="1" si="24"/>
        <v>64373.041250000009</v>
      </c>
      <c r="G155">
        <f t="shared" ca="1" si="37"/>
        <v>9789.8857142857141</v>
      </c>
      <c r="H155" s="9">
        <f t="shared" ca="1" si="45"/>
        <v>-231.85878571428475</v>
      </c>
      <c r="I155" s="9">
        <f t="shared" ca="1" si="45"/>
        <v>36.984249999999882</v>
      </c>
      <c r="J155" s="9">
        <f t="shared" ca="1" si="45"/>
        <v>1.4514285714285506</v>
      </c>
      <c r="K155" s="9">
        <f t="shared" ca="1" si="39"/>
        <v>234.78997265847005</v>
      </c>
      <c r="L155" s="9">
        <f t="shared" ca="1" si="40"/>
        <v>-80.936989654112935</v>
      </c>
      <c r="M155">
        <f t="shared" ca="1" si="42"/>
        <v>56.423740079365075</v>
      </c>
      <c r="N155">
        <f t="shared" ca="1" si="43"/>
        <v>32.541686507936511</v>
      </c>
    </row>
    <row r="156" spans="1:14" x14ac:dyDescent="0.25">
      <c r="A156" s="4">
        <f t="shared" si="26"/>
        <v>0.42743055555555415</v>
      </c>
      <c r="B156" s="3">
        <f t="shared" si="44"/>
        <v>1553300930</v>
      </c>
      <c r="C156">
        <f t="shared" si="41"/>
        <v>3</v>
      </c>
      <c r="D156">
        <f t="shared" si="41"/>
        <v>66</v>
      </c>
      <c r="E156">
        <f t="shared" ca="1" si="23"/>
        <v>-25633.573571428569</v>
      </c>
      <c r="F156">
        <f t="shared" ca="1" si="24"/>
        <v>64557.962500000009</v>
      </c>
      <c r="G156">
        <f t="shared" ca="1" si="37"/>
        <v>9797.1428571428569</v>
      </c>
      <c r="H156" s="9">
        <f t="shared" ca="1" si="45"/>
        <v>-231.85878571428475</v>
      </c>
      <c r="I156" s="9">
        <f t="shared" ca="1" si="45"/>
        <v>36.984249999999882</v>
      </c>
      <c r="J156" s="9">
        <f t="shared" ca="1" si="45"/>
        <v>1.4514285714285506</v>
      </c>
      <c r="K156" s="9">
        <f t="shared" ca="1" si="39"/>
        <v>234.78997265847005</v>
      </c>
      <c r="L156" s="9">
        <f t="shared" ca="1" si="40"/>
        <v>-80.936989654112935</v>
      </c>
      <c r="M156">
        <f t="shared" ca="1" si="42"/>
        <v>56.425376984126984</v>
      </c>
      <c r="N156">
        <f t="shared" ca="1" si="43"/>
        <v>32.523134920634924</v>
      </c>
    </row>
    <row r="157" spans="1:14" x14ac:dyDescent="0.25">
      <c r="A157" s="4">
        <f t="shared" si="26"/>
        <v>0.42748842592592451</v>
      </c>
      <c r="B157" s="3">
        <f t="shared" si="44"/>
        <v>1553300935</v>
      </c>
      <c r="C157">
        <f t="shared" si="41"/>
        <v>3</v>
      </c>
      <c r="D157">
        <f t="shared" si="41"/>
        <v>66</v>
      </c>
      <c r="E157">
        <f t="shared" ca="1" si="23"/>
        <v>-26792.867499999993</v>
      </c>
      <c r="F157">
        <f t="shared" ca="1" si="24"/>
        <v>64742.883750000008</v>
      </c>
      <c r="G157">
        <f t="shared" ca="1" si="37"/>
        <v>9804.4</v>
      </c>
      <c r="H157" s="9">
        <f t="shared" ca="1" si="45"/>
        <v>-231.85878571428765</v>
      </c>
      <c r="I157" s="9">
        <f t="shared" ca="1" si="45"/>
        <v>36.984249999999882</v>
      </c>
      <c r="J157" s="9">
        <f t="shared" ca="1" si="45"/>
        <v>1.4514285714289143</v>
      </c>
      <c r="K157" s="9">
        <f t="shared" ca="1" si="39"/>
        <v>234.78997265847289</v>
      </c>
      <c r="L157" s="9">
        <f t="shared" ca="1" si="40"/>
        <v>-80.936989654113049</v>
      </c>
      <c r="M157">
        <f t="shared" ca="1" si="42"/>
        <v>56.427013888888887</v>
      </c>
      <c r="N157">
        <f t="shared" ca="1" si="43"/>
        <v>32.504583333333336</v>
      </c>
    </row>
    <row r="158" spans="1:14" x14ac:dyDescent="0.25">
      <c r="A158" s="4">
        <f t="shared" si="26"/>
        <v>0.42754629629629487</v>
      </c>
      <c r="B158" s="3">
        <f t="shared" si="44"/>
        <v>1553300940</v>
      </c>
      <c r="C158">
        <f t="shared" si="41"/>
        <v>3</v>
      </c>
      <c r="D158">
        <f t="shared" si="41"/>
        <v>66</v>
      </c>
      <c r="E158">
        <f t="shared" ca="1" si="23"/>
        <v>-27952.161428571431</v>
      </c>
      <c r="F158">
        <f t="shared" ca="1" si="24"/>
        <v>64927.805000000008</v>
      </c>
      <c r="G158">
        <f t="shared" ca="1" si="37"/>
        <v>9811.6571428571442</v>
      </c>
      <c r="H158" s="9">
        <f t="shared" ca="1" si="45"/>
        <v>-231.85878571428475</v>
      </c>
      <c r="I158" s="9">
        <f t="shared" ca="1" si="45"/>
        <v>36.984249999999882</v>
      </c>
      <c r="J158" s="9">
        <f t="shared" ca="1" si="45"/>
        <v>1.4514285714285506</v>
      </c>
      <c r="K158" s="9">
        <f t="shared" ca="1" si="39"/>
        <v>234.78997265847005</v>
      </c>
      <c r="L158" s="9">
        <f t="shared" ca="1" si="40"/>
        <v>-80.936989654112935</v>
      </c>
      <c r="M158">
        <f t="shared" ca="1" si="42"/>
        <v>56.428650793650789</v>
      </c>
      <c r="N158">
        <f t="shared" ca="1" si="43"/>
        <v>32.486031746031749</v>
      </c>
    </row>
    <row r="159" spans="1:14" x14ac:dyDescent="0.25">
      <c r="A159" s="4">
        <f t="shared" si="26"/>
        <v>0.42760416666666523</v>
      </c>
      <c r="B159" s="3">
        <f t="shared" si="44"/>
        <v>1553300945</v>
      </c>
      <c r="C159">
        <f t="shared" si="41"/>
        <v>3</v>
      </c>
      <c r="D159">
        <f t="shared" si="41"/>
        <v>66</v>
      </c>
      <c r="E159">
        <f t="shared" ca="1" si="23"/>
        <v>-29111.455357142855</v>
      </c>
      <c r="F159">
        <f t="shared" ca="1" si="24"/>
        <v>65112.726250000007</v>
      </c>
      <c r="G159">
        <f t="shared" ca="1" si="37"/>
        <v>9818.914285714287</v>
      </c>
      <c r="H159" s="9">
        <f t="shared" ca="1" si="45"/>
        <v>-231.85878571428475</v>
      </c>
      <c r="I159" s="9">
        <f t="shared" ca="1" si="45"/>
        <v>36.984249999999882</v>
      </c>
      <c r="J159" s="9">
        <f t="shared" ca="1" si="45"/>
        <v>1.4514285714285506</v>
      </c>
      <c r="K159" s="9">
        <f t="shared" ca="1" si="39"/>
        <v>234.78997265847005</v>
      </c>
      <c r="L159" s="9">
        <f t="shared" ca="1" si="40"/>
        <v>-80.936989654112935</v>
      </c>
      <c r="M159">
        <f t="shared" ca="1" si="42"/>
        <v>56.430287698412698</v>
      </c>
      <c r="N159">
        <f t="shared" ca="1" si="43"/>
        <v>32.467480158730162</v>
      </c>
    </row>
    <row r="160" spans="1:14" x14ac:dyDescent="0.25">
      <c r="A160" s="4">
        <f t="shared" si="26"/>
        <v>0.42766203703703559</v>
      </c>
      <c r="B160" s="3">
        <f t="shared" si="44"/>
        <v>1553300950</v>
      </c>
      <c r="C160">
        <f t="shared" si="41"/>
        <v>3</v>
      </c>
      <c r="D160">
        <f t="shared" si="41"/>
        <v>66</v>
      </c>
      <c r="E160">
        <f t="shared" ca="1" si="23"/>
        <v>-30270.749285714279</v>
      </c>
      <c r="F160">
        <f t="shared" ca="1" si="24"/>
        <v>65297.647500000006</v>
      </c>
      <c r="G160">
        <f t="shared" ca="1" si="37"/>
        <v>9826.1714285714297</v>
      </c>
      <c r="H160" s="9">
        <f t="shared" ca="1" si="45"/>
        <v>-231.85878571428765</v>
      </c>
      <c r="I160" s="9">
        <f t="shared" ca="1" si="45"/>
        <v>36.984249999999882</v>
      </c>
      <c r="J160" s="9">
        <f t="shared" ca="1" si="45"/>
        <v>1.4514285714285506</v>
      </c>
      <c r="K160" s="9">
        <f t="shared" ca="1" si="39"/>
        <v>234.78997265847289</v>
      </c>
      <c r="L160" s="9">
        <f t="shared" ca="1" si="40"/>
        <v>-80.936989654113049</v>
      </c>
      <c r="M160">
        <f t="shared" ca="1" si="42"/>
        <v>56.4319246031746</v>
      </c>
      <c r="N160">
        <f t="shared" ca="1" si="43"/>
        <v>32.448928571428574</v>
      </c>
    </row>
    <row r="161" spans="1:14" x14ac:dyDescent="0.25">
      <c r="A161" s="4">
        <f t="shared" si="26"/>
        <v>0.42771990740740595</v>
      </c>
      <c r="B161" s="3">
        <f t="shared" si="44"/>
        <v>1553300955</v>
      </c>
      <c r="C161">
        <f t="shared" si="41"/>
        <v>3</v>
      </c>
      <c r="D161">
        <f t="shared" si="41"/>
        <v>66</v>
      </c>
      <c r="E161">
        <f t="shared" ca="1" si="23"/>
        <v>-31430.043214285717</v>
      </c>
      <c r="F161">
        <f t="shared" ca="1" si="24"/>
        <v>65482.568750000006</v>
      </c>
      <c r="G161">
        <f t="shared" ca="1" si="37"/>
        <v>9833.4285714285725</v>
      </c>
      <c r="H161" s="9">
        <f t="shared" ca="1" si="45"/>
        <v>-231.85878571428475</v>
      </c>
      <c r="I161" s="9">
        <f t="shared" ca="1" si="45"/>
        <v>36.984249999999882</v>
      </c>
      <c r="J161" s="9">
        <f t="shared" ca="1" si="45"/>
        <v>1.4514285714285506</v>
      </c>
      <c r="K161" s="9">
        <f t="shared" ca="1" si="39"/>
        <v>234.78997265847005</v>
      </c>
      <c r="L161" s="9">
        <f t="shared" ca="1" si="40"/>
        <v>-80.936989654112935</v>
      </c>
      <c r="M161">
        <f t="shared" ca="1" si="42"/>
        <v>56.433561507936503</v>
      </c>
      <c r="N161">
        <f t="shared" ca="1" si="43"/>
        <v>32.430376984126987</v>
      </c>
    </row>
    <row r="162" spans="1:14" x14ac:dyDescent="0.25">
      <c r="A162" s="4">
        <f t="shared" si="26"/>
        <v>0.42777777777777631</v>
      </c>
      <c r="B162" s="3">
        <f t="shared" si="44"/>
        <v>1553300960</v>
      </c>
      <c r="C162">
        <f t="shared" si="41"/>
        <v>3</v>
      </c>
      <c r="D162">
        <f t="shared" si="41"/>
        <v>66</v>
      </c>
      <c r="E162">
        <f t="shared" ca="1" si="23"/>
        <v>-32589.337142857141</v>
      </c>
      <c r="F162">
        <f t="shared" ca="1" si="24"/>
        <v>65667.490000000005</v>
      </c>
      <c r="G162">
        <f t="shared" ca="1" si="37"/>
        <v>9840.6857142857152</v>
      </c>
      <c r="H162" s="9">
        <f t="shared" ca="1" si="45"/>
        <v>-231.85878571428475</v>
      </c>
      <c r="I162" s="9">
        <f t="shared" ca="1" si="45"/>
        <v>36.984249999999882</v>
      </c>
      <c r="J162" s="9">
        <f t="shared" ca="1" si="45"/>
        <v>1.4514285714285506</v>
      </c>
      <c r="K162" s="9">
        <f t="shared" ca="1" si="39"/>
        <v>234.78997265847005</v>
      </c>
      <c r="L162" s="9">
        <f t="shared" ca="1" si="40"/>
        <v>-80.936989654112935</v>
      </c>
      <c r="M162">
        <f t="shared" ca="1" si="42"/>
        <v>56.435198412698412</v>
      </c>
      <c r="N162">
        <f t="shared" ca="1" si="43"/>
        <v>32.4118253968254</v>
      </c>
    </row>
    <row r="163" spans="1:14" x14ac:dyDescent="0.25">
      <c r="A163" s="4">
        <f t="shared" si="26"/>
        <v>0.42783564814814667</v>
      </c>
      <c r="B163" s="3">
        <f t="shared" si="44"/>
        <v>1553300965</v>
      </c>
      <c r="C163">
        <f t="shared" si="41"/>
        <v>3</v>
      </c>
      <c r="D163">
        <f t="shared" si="41"/>
        <v>66</v>
      </c>
      <c r="E163">
        <f t="shared" ca="1" si="23"/>
        <v>-33748.631071428565</v>
      </c>
      <c r="F163">
        <f t="shared" ca="1" si="24"/>
        <v>65852.411250000005</v>
      </c>
      <c r="G163">
        <f t="shared" ca="1" si="37"/>
        <v>9847.942857142858</v>
      </c>
      <c r="H163" s="9">
        <f t="shared" ca="1" si="45"/>
        <v>-231.85878571428765</v>
      </c>
      <c r="I163" s="9">
        <f t="shared" ca="1" si="45"/>
        <v>36.984249999999882</v>
      </c>
      <c r="J163" s="9">
        <f t="shared" ca="1" si="45"/>
        <v>1.4514285714285506</v>
      </c>
      <c r="K163" s="9">
        <f t="shared" ca="1" si="39"/>
        <v>234.78997265847289</v>
      </c>
      <c r="L163" s="9">
        <f t="shared" ca="1" si="40"/>
        <v>-80.936989654113049</v>
      </c>
      <c r="M163">
        <f t="shared" ca="1" si="42"/>
        <v>56.436835317460314</v>
      </c>
      <c r="N163">
        <f t="shared" ca="1" si="43"/>
        <v>32.393273809523812</v>
      </c>
    </row>
    <row r="164" spans="1:14" x14ac:dyDescent="0.25">
      <c r="A164" s="4">
        <f t="shared" si="26"/>
        <v>0.42789351851851704</v>
      </c>
      <c r="B164" s="3">
        <f t="shared" si="44"/>
        <v>1553300970</v>
      </c>
      <c r="C164">
        <f t="shared" si="41"/>
        <v>3</v>
      </c>
      <c r="D164">
        <f t="shared" si="41"/>
        <v>66</v>
      </c>
      <c r="E164">
        <f t="shared" ref="E164:E227" ca="1" si="46">INDIRECT("E$"&amp;C164)+INDIRECT("H$"&amp;C164)*($B164-INDIRECT("B$"&amp;D164))</f>
        <v>-34907.925000000003</v>
      </c>
      <c r="F164">
        <f t="shared" ref="F164:F227" ca="1" si="47">INDIRECT("F$"&amp;C164)+INDIRECT("I$"&amp;C164)*($B164-INDIRECT("B$"&amp;D164))</f>
        <v>66037.332500000004</v>
      </c>
      <c r="G164">
        <f t="shared" ca="1" si="37"/>
        <v>9855.2000000000007</v>
      </c>
      <c r="H164" s="9">
        <f t="shared" ca="1" si="45"/>
        <v>-231.85878571428475</v>
      </c>
      <c r="I164" s="9">
        <f t="shared" ca="1" si="45"/>
        <v>36.984249999999882</v>
      </c>
      <c r="J164" s="9">
        <f t="shared" ca="1" si="45"/>
        <v>1.4514285714285506</v>
      </c>
      <c r="K164" s="9">
        <f t="shared" ca="1" si="39"/>
        <v>234.78997265847005</v>
      </c>
      <c r="L164" s="9">
        <f t="shared" ca="1" si="40"/>
        <v>-80.936989654112935</v>
      </c>
      <c r="M164">
        <f t="shared" ca="1" si="42"/>
        <v>56.438472222222217</v>
      </c>
      <c r="N164">
        <f t="shared" ca="1" si="43"/>
        <v>32.374722222222225</v>
      </c>
    </row>
    <row r="165" spans="1:14" x14ac:dyDescent="0.25">
      <c r="A165" s="4">
        <f t="shared" si="26"/>
        <v>0.4279513888888874</v>
      </c>
      <c r="B165" s="3">
        <f t="shared" si="44"/>
        <v>1553300975</v>
      </c>
      <c r="C165">
        <f t="shared" si="41"/>
        <v>3</v>
      </c>
      <c r="D165">
        <f t="shared" si="41"/>
        <v>66</v>
      </c>
      <c r="E165">
        <f t="shared" ca="1" si="46"/>
        <v>-36067.218928571427</v>
      </c>
      <c r="F165">
        <f t="shared" ca="1" si="47"/>
        <v>66222.253750000003</v>
      </c>
      <c r="G165">
        <f t="shared" ca="1" si="37"/>
        <v>9862.4571428571435</v>
      </c>
      <c r="H165" s="9">
        <f t="shared" ca="1" si="45"/>
        <v>-231.85878571428475</v>
      </c>
      <c r="I165" s="9">
        <f t="shared" ca="1" si="45"/>
        <v>36.984249999999882</v>
      </c>
      <c r="J165" s="9">
        <f t="shared" ca="1" si="45"/>
        <v>1.4514285714285506</v>
      </c>
      <c r="K165" s="9">
        <f t="shared" ca="1" si="39"/>
        <v>234.78997265847005</v>
      </c>
      <c r="L165" s="9">
        <f t="shared" ca="1" si="40"/>
        <v>-80.936989654112935</v>
      </c>
      <c r="M165">
        <f t="shared" ca="1" si="42"/>
        <v>56.440109126984126</v>
      </c>
      <c r="N165">
        <f t="shared" ca="1" si="43"/>
        <v>32.356170634920637</v>
      </c>
    </row>
    <row r="166" spans="1:14" x14ac:dyDescent="0.25">
      <c r="A166" s="4">
        <f t="shared" si="26"/>
        <v>0.42800925925925776</v>
      </c>
      <c r="B166" s="3">
        <f t="shared" si="44"/>
        <v>1553300980</v>
      </c>
      <c r="C166">
        <f t="shared" si="41"/>
        <v>3</v>
      </c>
      <c r="D166">
        <f t="shared" si="41"/>
        <v>66</v>
      </c>
      <c r="E166">
        <f t="shared" ca="1" si="46"/>
        <v>-37226.51285714285</v>
      </c>
      <c r="F166">
        <f t="shared" ca="1" si="47"/>
        <v>66407.175000000003</v>
      </c>
      <c r="G166">
        <f t="shared" ca="1" si="37"/>
        <v>9869.7142857142862</v>
      </c>
      <c r="H166" s="9">
        <f t="shared" ca="1" si="45"/>
        <v>-231.85878571428765</v>
      </c>
      <c r="I166" s="9">
        <f t="shared" ca="1" si="45"/>
        <v>36.984249999999882</v>
      </c>
      <c r="J166" s="9">
        <f t="shared" ca="1" si="45"/>
        <v>1.4514285714285506</v>
      </c>
      <c r="K166" s="9">
        <f t="shared" ca="1" si="39"/>
        <v>234.78997265847289</v>
      </c>
      <c r="L166" s="9">
        <f t="shared" ca="1" si="40"/>
        <v>-80.936989654113049</v>
      </c>
      <c r="M166">
        <f t="shared" ca="1" si="42"/>
        <v>56.441746031746028</v>
      </c>
      <c r="N166">
        <f t="shared" ca="1" si="43"/>
        <v>32.33761904761905</v>
      </c>
    </row>
    <row r="167" spans="1:14" x14ac:dyDescent="0.25">
      <c r="A167" s="4">
        <f t="shared" si="26"/>
        <v>0.42806712962962812</v>
      </c>
      <c r="B167" s="3">
        <f t="shared" si="44"/>
        <v>1553300985</v>
      </c>
      <c r="C167">
        <f t="shared" si="41"/>
        <v>3</v>
      </c>
      <c r="D167">
        <f t="shared" si="41"/>
        <v>66</v>
      </c>
      <c r="E167">
        <f t="shared" ca="1" si="46"/>
        <v>-38385.806785714289</v>
      </c>
      <c r="F167">
        <f t="shared" ca="1" si="47"/>
        <v>66592.096250000002</v>
      </c>
      <c r="G167">
        <f t="shared" ca="1" si="37"/>
        <v>9876.971428571429</v>
      </c>
      <c r="H167" s="9">
        <f t="shared" ca="1" si="45"/>
        <v>-231.85878571428475</v>
      </c>
      <c r="I167" s="9">
        <f t="shared" ca="1" si="45"/>
        <v>36.984249999999882</v>
      </c>
      <c r="J167" s="9">
        <f t="shared" ca="1" si="45"/>
        <v>1.4514285714285506</v>
      </c>
      <c r="K167" s="9">
        <f t="shared" ca="1" si="39"/>
        <v>234.78997265847005</v>
      </c>
      <c r="L167" s="9">
        <f t="shared" ca="1" si="40"/>
        <v>-80.936989654112935</v>
      </c>
      <c r="M167">
        <f t="shared" ca="1" si="42"/>
        <v>56.44338293650793</v>
      </c>
      <c r="N167">
        <f t="shared" ca="1" si="43"/>
        <v>32.319067460317463</v>
      </c>
    </row>
    <row r="168" spans="1:14" x14ac:dyDescent="0.25">
      <c r="A168" s="4">
        <f t="shared" si="26"/>
        <v>0.42812499999999848</v>
      </c>
      <c r="B168" s="3">
        <f t="shared" si="44"/>
        <v>1553300990</v>
      </c>
      <c r="C168">
        <f t="shared" si="41"/>
        <v>3</v>
      </c>
      <c r="D168">
        <f t="shared" si="41"/>
        <v>66</v>
      </c>
      <c r="E168">
        <f t="shared" ca="1" si="46"/>
        <v>-39545.100714285712</v>
      </c>
      <c r="F168">
        <f t="shared" ca="1" si="47"/>
        <v>66777.017500000002</v>
      </c>
      <c r="G168">
        <f t="shared" ca="1" si="37"/>
        <v>9884.2285714285717</v>
      </c>
      <c r="H168" s="9">
        <f t="shared" ca="1" si="45"/>
        <v>-231.85878571428475</v>
      </c>
      <c r="I168" s="9">
        <f t="shared" ca="1" si="45"/>
        <v>36.984249999999882</v>
      </c>
      <c r="J168" s="9">
        <f t="shared" ca="1" si="45"/>
        <v>1.4514285714285506</v>
      </c>
      <c r="K168" s="9">
        <f t="shared" ca="1" si="39"/>
        <v>234.78997265847005</v>
      </c>
      <c r="L168" s="9">
        <f t="shared" ca="1" si="40"/>
        <v>-80.936989654112935</v>
      </c>
      <c r="M168">
        <f t="shared" ca="1" si="42"/>
        <v>56.44501984126984</v>
      </c>
      <c r="N168">
        <f t="shared" ca="1" si="43"/>
        <v>32.300515873015875</v>
      </c>
    </row>
    <row r="169" spans="1:14" x14ac:dyDescent="0.25">
      <c r="A169" s="4">
        <f t="shared" si="26"/>
        <v>0.42818287037036884</v>
      </c>
      <c r="B169" s="3">
        <f t="shared" si="44"/>
        <v>1553300995</v>
      </c>
      <c r="C169">
        <f t="shared" si="41"/>
        <v>3</v>
      </c>
      <c r="D169">
        <f t="shared" si="41"/>
        <v>66</v>
      </c>
      <c r="E169">
        <f t="shared" ca="1" si="46"/>
        <v>-40704.394642857136</v>
      </c>
      <c r="F169">
        <f t="shared" ca="1" si="47"/>
        <v>66961.938750000001</v>
      </c>
      <c r="G169">
        <f t="shared" ca="1" si="37"/>
        <v>9891.4857142857145</v>
      </c>
      <c r="H169" s="9">
        <f t="shared" ca="1" si="45"/>
        <v>-231.85878571428765</v>
      </c>
      <c r="I169" s="9">
        <f t="shared" ca="1" si="45"/>
        <v>36.984249999999882</v>
      </c>
      <c r="J169" s="9">
        <f t="shared" ca="1" si="45"/>
        <v>1.4514285714285506</v>
      </c>
      <c r="K169" s="9">
        <f t="shared" ca="1" si="39"/>
        <v>234.78997265847289</v>
      </c>
      <c r="L169" s="9">
        <f t="shared" ca="1" si="40"/>
        <v>-80.936989654113049</v>
      </c>
      <c r="M169">
        <f t="shared" ca="1" si="42"/>
        <v>56.446656746031742</v>
      </c>
      <c r="N169">
        <f t="shared" ca="1" si="43"/>
        <v>32.281964285714288</v>
      </c>
    </row>
    <row r="170" spans="1:14" x14ac:dyDescent="0.25">
      <c r="A170" s="4">
        <f t="shared" si="26"/>
        <v>0.4282407407407392</v>
      </c>
      <c r="B170" s="3">
        <f t="shared" si="44"/>
        <v>1553301000</v>
      </c>
      <c r="C170">
        <f t="shared" si="41"/>
        <v>3</v>
      </c>
      <c r="D170">
        <f t="shared" si="41"/>
        <v>66</v>
      </c>
      <c r="E170">
        <f t="shared" ca="1" si="46"/>
        <v>-41863.688571428575</v>
      </c>
      <c r="F170">
        <f t="shared" ca="1" si="47"/>
        <v>67146.86</v>
      </c>
      <c r="G170">
        <f t="shared" ca="1" si="37"/>
        <v>9898.7428571428572</v>
      </c>
      <c r="H170" s="9">
        <f t="shared" ca="1" si="45"/>
        <v>-231.85878571428475</v>
      </c>
      <c r="I170" s="9">
        <f t="shared" ca="1" si="45"/>
        <v>36.984249999999882</v>
      </c>
      <c r="J170" s="9">
        <f t="shared" ca="1" si="45"/>
        <v>1.4514285714285506</v>
      </c>
      <c r="K170" s="9">
        <f t="shared" ca="1" si="39"/>
        <v>234.78997265847005</v>
      </c>
      <c r="L170" s="9">
        <f t="shared" ca="1" si="40"/>
        <v>-80.936989654112935</v>
      </c>
      <c r="M170">
        <f t="shared" ca="1" si="42"/>
        <v>56.448293650793651</v>
      </c>
      <c r="N170">
        <f t="shared" ca="1" si="43"/>
        <v>32.263412698412701</v>
      </c>
    </row>
    <row r="171" spans="1:14" x14ac:dyDescent="0.25">
      <c r="A171" s="4">
        <f t="shared" si="26"/>
        <v>0.42829861111110956</v>
      </c>
      <c r="B171" s="3">
        <f t="shared" si="44"/>
        <v>1553301005</v>
      </c>
      <c r="C171">
        <f t="shared" si="41"/>
        <v>3</v>
      </c>
      <c r="D171">
        <f t="shared" si="41"/>
        <v>66</v>
      </c>
      <c r="E171">
        <f t="shared" ca="1" si="46"/>
        <v>-43022.982499999998</v>
      </c>
      <c r="F171">
        <f t="shared" ca="1" si="47"/>
        <v>67331.78125</v>
      </c>
      <c r="G171">
        <f t="shared" ca="1" si="37"/>
        <v>9906</v>
      </c>
      <c r="H171" s="9">
        <f t="shared" ca="1" si="45"/>
        <v>-231.85878571428475</v>
      </c>
      <c r="I171" s="9">
        <f t="shared" ca="1" si="45"/>
        <v>36.984249999999882</v>
      </c>
      <c r="J171" s="9">
        <f t="shared" ca="1" si="45"/>
        <v>1.4514285714285506</v>
      </c>
      <c r="K171" s="9">
        <f t="shared" ca="1" si="39"/>
        <v>234.78997265847005</v>
      </c>
      <c r="L171" s="9">
        <f t="shared" ca="1" si="40"/>
        <v>-80.936989654112935</v>
      </c>
      <c r="M171">
        <f t="shared" ca="1" si="42"/>
        <v>56.449930555555554</v>
      </c>
      <c r="N171">
        <f t="shared" ca="1" si="43"/>
        <v>32.244861111111113</v>
      </c>
    </row>
    <row r="172" spans="1:14" x14ac:dyDescent="0.25">
      <c r="A172" s="4">
        <f t="shared" si="26"/>
        <v>0.42835648148147992</v>
      </c>
      <c r="B172" s="3">
        <f t="shared" si="44"/>
        <v>1553301010</v>
      </c>
      <c r="C172">
        <f t="shared" si="41"/>
        <v>3</v>
      </c>
      <c r="D172">
        <f t="shared" si="41"/>
        <v>66</v>
      </c>
      <c r="E172">
        <f t="shared" ca="1" si="46"/>
        <v>-44182.276428571422</v>
      </c>
      <c r="F172">
        <f t="shared" ca="1" si="47"/>
        <v>67516.702499999999</v>
      </c>
      <c r="G172">
        <f t="shared" ca="1" si="37"/>
        <v>9913.2571428571428</v>
      </c>
      <c r="H172" s="9">
        <f t="shared" ca="1" si="45"/>
        <v>-231.85878571428765</v>
      </c>
      <c r="I172" s="9">
        <f t="shared" ca="1" si="45"/>
        <v>36.984249999999882</v>
      </c>
      <c r="J172" s="9">
        <f t="shared" ca="1" si="45"/>
        <v>1.4514285714285506</v>
      </c>
      <c r="K172" s="9">
        <f t="shared" ca="1" si="39"/>
        <v>234.78997265847289</v>
      </c>
      <c r="L172" s="9">
        <f t="shared" ca="1" si="40"/>
        <v>-80.936989654113049</v>
      </c>
      <c r="M172">
        <f t="shared" ca="1" si="42"/>
        <v>56.451567460317456</v>
      </c>
      <c r="N172">
        <f t="shared" ca="1" si="43"/>
        <v>32.226309523809526</v>
      </c>
    </row>
    <row r="173" spans="1:14" x14ac:dyDescent="0.25">
      <c r="A173" s="4">
        <f t="shared" si="26"/>
        <v>0.42841435185185028</v>
      </c>
      <c r="B173" s="3">
        <f t="shared" si="44"/>
        <v>1553301015</v>
      </c>
      <c r="C173">
        <f t="shared" si="41"/>
        <v>3</v>
      </c>
      <c r="D173">
        <f t="shared" si="41"/>
        <v>66</v>
      </c>
      <c r="E173">
        <f t="shared" ca="1" si="46"/>
        <v>-45341.57035714286</v>
      </c>
      <c r="F173">
        <f t="shared" ca="1" si="47"/>
        <v>67701.623749999999</v>
      </c>
      <c r="G173">
        <f t="shared" ca="1" si="37"/>
        <v>9920.5142857142855</v>
      </c>
      <c r="H173" s="9">
        <f t="shared" ca="1" si="45"/>
        <v>-231.85878571428475</v>
      </c>
      <c r="I173" s="9">
        <f t="shared" ca="1" si="45"/>
        <v>36.984250000002795</v>
      </c>
      <c r="J173" s="9">
        <f t="shared" ca="1" si="45"/>
        <v>1.4514285714285506</v>
      </c>
      <c r="K173" s="9">
        <f t="shared" ca="1" si="39"/>
        <v>234.7899726584705</v>
      </c>
      <c r="L173" s="9">
        <f t="shared" ca="1" si="40"/>
        <v>-80.936989654112239</v>
      </c>
      <c r="M173">
        <f t="shared" ca="1" si="42"/>
        <v>56.453204365079365</v>
      </c>
      <c r="N173">
        <f t="shared" ca="1" si="43"/>
        <v>32.207757936507939</v>
      </c>
    </row>
    <row r="174" spans="1:14" x14ac:dyDescent="0.25">
      <c r="A174" s="4">
        <f t="shared" si="26"/>
        <v>0.42847222222222064</v>
      </c>
      <c r="B174" s="3">
        <f t="shared" si="44"/>
        <v>1553301020</v>
      </c>
      <c r="C174">
        <f t="shared" si="41"/>
        <v>3</v>
      </c>
      <c r="D174">
        <f t="shared" si="41"/>
        <v>66</v>
      </c>
      <c r="E174">
        <f t="shared" ca="1" si="46"/>
        <v>-46500.864285714284</v>
      </c>
      <c r="F174">
        <f t="shared" ca="1" si="47"/>
        <v>67886.545000000013</v>
      </c>
      <c r="G174">
        <f t="shared" ca="1" si="37"/>
        <v>9927.7714285714283</v>
      </c>
      <c r="H174" s="9">
        <f t="shared" ca="1" si="45"/>
        <v>-231.85878571428475</v>
      </c>
      <c r="I174" s="9">
        <f t="shared" ca="1" si="45"/>
        <v>36.984249999996976</v>
      </c>
      <c r="J174" s="9">
        <f t="shared" ca="1" si="45"/>
        <v>1.4514285714285506</v>
      </c>
      <c r="K174" s="9">
        <f t="shared" ca="1" si="39"/>
        <v>234.78997265846957</v>
      </c>
      <c r="L174" s="9">
        <f t="shared" ca="1" si="40"/>
        <v>-80.936989654113631</v>
      </c>
      <c r="M174">
        <f t="shared" ca="1" si="42"/>
        <v>56.454841269841268</v>
      </c>
      <c r="N174">
        <f t="shared" ca="1" si="43"/>
        <v>32.189206349206351</v>
      </c>
    </row>
    <row r="175" spans="1:14" x14ac:dyDescent="0.25">
      <c r="A175" s="4">
        <f t="shared" si="26"/>
        <v>0.42853009259259101</v>
      </c>
      <c r="B175" s="3">
        <f t="shared" si="44"/>
        <v>1553301025</v>
      </c>
      <c r="C175">
        <f t="shared" si="41"/>
        <v>3</v>
      </c>
      <c r="D175">
        <f t="shared" si="41"/>
        <v>66</v>
      </c>
      <c r="E175">
        <f t="shared" ca="1" si="46"/>
        <v>-47660.158214285708</v>
      </c>
      <c r="F175">
        <f t="shared" ca="1" si="47"/>
        <v>68071.466249999998</v>
      </c>
      <c r="G175">
        <f t="shared" ca="1" si="37"/>
        <v>9935.028571428571</v>
      </c>
      <c r="H175" s="9">
        <f t="shared" ca="1" si="45"/>
        <v>-231.85878571428765</v>
      </c>
      <c r="I175" s="9">
        <f t="shared" ca="1" si="45"/>
        <v>36.984250000002795</v>
      </c>
      <c r="J175" s="9">
        <f t="shared" ca="1" si="45"/>
        <v>1.4514285714289143</v>
      </c>
      <c r="K175" s="9">
        <f t="shared" ca="1" si="39"/>
        <v>234.78997265847335</v>
      </c>
      <c r="L175" s="9">
        <f t="shared" ca="1" si="40"/>
        <v>-80.936989654112352</v>
      </c>
      <c r="M175">
        <f t="shared" ca="1" si="42"/>
        <v>56.45647817460317</v>
      </c>
      <c r="N175">
        <f t="shared" ca="1" si="43"/>
        <v>32.170654761904764</v>
      </c>
    </row>
    <row r="176" spans="1:14" x14ac:dyDescent="0.25">
      <c r="A176" s="4">
        <f t="shared" si="26"/>
        <v>0.42858796296296137</v>
      </c>
      <c r="B176" s="3">
        <f t="shared" si="44"/>
        <v>1553301030</v>
      </c>
      <c r="C176">
        <f t="shared" si="41"/>
        <v>3</v>
      </c>
      <c r="D176">
        <f t="shared" si="41"/>
        <v>66</v>
      </c>
      <c r="E176">
        <f t="shared" ca="1" si="46"/>
        <v>-48819.452142857146</v>
      </c>
      <c r="F176">
        <f t="shared" ca="1" si="47"/>
        <v>68256.387500000012</v>
      </c>
      <c r="G176">
        <f t="shared" ca="1" si="37"/>
        <v>9942.2857142857156</v>
      </c>
      <c r="H176" s="9">
        <f t="shared" ca="1" si="45"/>
        <v>-231.85878571428475</v>
      </c>
      <c r="I176" s="9">
        <f t="shared" ca="1" si="45"/>
        <v>36.984249999996976</v>
      </c>
      <c r="J176" s="9">
        <f t="shared" ca="1" si="45"/>
        <v>1.4514285714285506</v>
      </c>
      <c r="K176" s="9">
        <f t="shared" ca="1" si="39"/>
        <v>234.78997265846957</v>
      </c>
      <c r="L176" s="9">
        <f t="shared" ca="1" si="40"/>
        <v>-80.936989654113631</v>
      </c>
      <c r="M176">
        <f t="shared" ca="1" si="42"/>
        <v>56.458115079365079</v>
      </c>
      <c r="N176">
        <f t="shared" ca="1" si="43"/>
        <v>32.152103174603177</v>
      </c>
    </row>
    <row r="177" spans="1:14" x14ac:dyDescent="0.25">
      <c r="A177" s="4">
        <f t="shared" si="26"/>
        <v>0.42864583333333173</v>
      </c>
      <c r="B177" s="3">
        <f t="shared" si="44"/>
        <v>1553301035</v>
      </c>
      <c r="C177">
        <f t="shared" si="41"/>
        <v>3</v>
      </c>
      <c r="D177">
        <f t="shared" si="41"/>
        <v>66</v>
      </c>
      <c r="E177">
        <f t="shared" ca="1" si="46"/>
        <v>-49978.74607142857</v>
      </c>
      <c r="F177">
        <f t="shared" ca="1" si="47"/>
        <v>68441.308749999997</v>
      </c>
      <c r="G177">
        <f t="shared" ca="1" si="37"/>
        <v>9949.5428571428583</v>
      </c>
      <c r="H177" s="9">
        <f t="shared" ca="1" si="45"/>
        <v>-231.85878571428475</v>
      </c>
      <c r="I177" s="9">
        <f t="shared" ca="1" si="45"/>
        <v>36.984250000002795</v>
      </c>
      <c r="J177" s="9">
        <f t="shared" ca="1" si="45"/>
        <v>1.4514285714285506</v>
      </c>
      <c r="K177" s="9">
        <f t="shared" ca="1" si="39"/>
        <v>234.7899726584705</v>
      </c>
      <c r="L177" s="9">
        <f t="shared" ca="1" si="40"/>
        <v>-80.936989654112239</v>
      </c>
      <c r="M177">
        <f t="shared" ca="1" si="42"/>
        <v>56.459751984126981</v>
      </c>
      <c r="N177">
        <f t="shared" ca="1" si="43"/>
        <v>32.133551587301589</v>
      </c>
    </row>
    <row r="178" spans="1:14" x14ac:dyDescent="0.25">
      <c r="A178" s="4">
        <f t="shared" si="26"/>
        <v>0.42870370370370209</v>
      </c>
      <c r="B178" s="3">
        <f t="shared" si="44"/>
        <v>1553301040</v>
      </c>
      <c r="C178">
        <f t="shared" si="41"/>
        <v>3</v>
      </c>
      <c r="D178">
        <f t="shared" si="41"/>
        <v>66</v>
      </c>
      <c r="E178">
        <f t="shared" ca="1" si="46"/>
        <v>-51138.039999999994</v>
      </c>
      <c r="F178">
        <f t="shared" ca="1" si="47"/>
        <v>68626.23000000001</v>
      </c>
      <c r="G178">
        <f t="shared" ca="1" si="37"/>
        <v>9956.8000000000011</v>
      </c>
      <c r="H178" s="9">
        <f t="shared" ca="1" si="45"/>
        <v>-231.85878571428765</v>
      </c>
      <c r="I178" s="9">
        <f t="shared" ca="1" si="45"/>
        <v>36.984249999999882</v>
      </c>
      <c r="J178" s="9">
        <f t="shared" ca="1" si="45"/>
        <v>1.4514285714285506</v>
      </c>
      <c r="K178" s="9">
        <f t="shared" ca="1" si="39"/>
        <v>234.78997265847289</v>
      </c>
      <c r="L178" s="9">
        <f t="shared" ca="1" si="40"/>
        <v>-80.936989654113049</v>
      </c>
      <c r="M178">
        <f t="shared" ca="1" si="42"/>
        <v>56.461388888888884</v>
      </c>
      <c r="N178">
        <f t="shared" ca="1" si="43"/>
        <v>32.115000000000002</v>
      </c>
    </row>
    <row r="179" spans="1:14" x14ac:dyDescent="0.25">
      <c r="A179" s="4">
        <f t="shared" si="26"/>
        <v>0.42876157407407245</v>
      </c>
      <c r="B179" s="3">
        <f t="shared" si="44"/>
        <v>1553301045</v>
      </c>
      <c r="C179">
        <f t="shared" si="41"/>
        <v>3</v>
      </c>
      <c r="D179">
        <f t="shared" si="41"/>
        <v>66</v>
      </c>
      <c r="E179">
        <f t="shared" ca="1" si="46"/>
        <v>-52297.333928571432</v>
      </c>
      <c r="F179">
        <f t="shared" ca="1" si="47"/>
        <v>68811.15125000001</v>
      </c>
      <c r="G179">
        <f t="shared" ca="1" si="37"/>
        <v>9964.0571428571438</v>
      </c>
      <c r="H179" s="9">
        <f t="shared" ca="1" si="45"/>
        <v>-231.85878571428475</v>
      </c>
      <c r="I179" s="9">
        <f t="shared" ca="1" si="45"/>
        <v>36.984249999999882</v>
      </c>
      <c r="J179" s="9">
        <f t="shared" ca="1" si="45"/>
        <v>1.4514285714285506</v>
      </c>
      <c r="K179" s="9">
        <f t="shared" ca="1" si="39"/>
        <v>234.78997265847005</v>
      </c>
      <c r="L179" s="9">
        <f t="shared" ca="1" si="40"/>
        <v>-80.936989654112935</v>
      </c>
      <c r="M179">
        <f t="shared" ca="1" si="42"/>
        <v>56.463025793650793</v>
      </c>
      <c r="N179">
        <f t="shared" ca="1" si="43"/>
        <v>32.096448412698415</v>
      </c>
    </row>
    <row r="180" spans="1:14" x14ac:dyDescent="0.25">
      <c r="A180" s="4">
        <f t="shared" si="26"/>
        <v>0.42881944444444281</v>
      </c>
      <c r="B180" s="3">
        <f t="shared" si="44"/>
        <v>1553301050</v>
      </c>
      <c r="C180">
        <f t="shared" si="41"/>
        <v>3</v>
      </c>
      <c r="D180">
        <f t="shared" si="41"/>
        <v>66</v>
      </c>
      <c r="E180">
        <f t="shared" ca="1" si="46"/>
        <v>-53456.627857142856</v>
      </c>
      <c r="F180">
        <f t="shared" ca="1" si="47"/>
        <v>68996.072500000009</v>
      </c>
      <c r="G180">
        <f t="shared" ca="1" si="37"/>
        <v>9971.3142857142866</v>
      </c>
      <c r="H180" s="9">
        <f t="shared" ca="1" si="45"/>
        <v>-231.85878571428475</v>
      </c>
      <c r="I180" s="9">
        <f t="shared" ca="1" si="45"/>
        <v>36.984249999999882</v>
      </c>
      <c r="J180" s="9">
        <f t="shared" ca="1" si="45"/>
        <v>1.4514285714285506</v>
      </c>
      <c r="K180" s="9">
        <f t="shared" ca="1" si="39"/>
        <v>234.78997265847005</v>
      </c>
      <c r="L180" s="9">
        <f t="shared" ca="1" si="40"/>
        <v>-80.936989654112935</v>
      </c>
      <c r="M180">
        <f t="shared" ca="1" si="42"/>
        <v>56.464662698412695</v>
      </c>
      <c r="N180">
        <f t="shared" ca="1" si="43"/>
        <v>32.077896825396827</v>
      </c>
    </row>
    <row r="181" spans="1:14" x14ac:dyDescent="0.25">
      <c r="A181" s="4">
        <f t="shared" si="26"/>
        <v>0.42887731481481317</v>
      </c>
      <c r="B181" s="3">
        <f t="shared" si="44"/>
        <v>1553301055</v>
      </c>
      <c r="C181">
        <f t="shared" si="41"/>
        <v>3</v>
      </c>
      <c r="D181">
        <f t="shared" si="41"/>
        <v>66</v>
      </c>
      <c r="E181">
        <f t="shared" ca="1" si="46"/>
        <v>-54615.921785714279</v>
      </c>
      <c r="F181">
        <f t="shared" ca="1" si="47"/>
        <v>69180.993750000009</v>
      </c>
      <c r="G181">
        <f t="shared" ca="1" si="37"/>
        <v>9978.5714285714294</v>
      </c>
      <c r="H181" s="9">
        <f t="shared" ca="1" si="45"/>
        <v>-231.85878571428475</v>
      </c>
      <c r="I181" s="9">
        <f t="shared" ca="1" si="45"/>
        <v>36.984249999999882</v>
      </c>
      <c r="J181" s="9">
        <f t="shared" ca="1" si="45"/>
        <v>1.4514285714285506</v>
      </c>
      <c r="K181" s="9">
        <f t="shared" ca="1" si="39"/>
        <v>234.78997265847005</v>
      </c>
      <c r="L181" s="9">
        <f t="shared" ca="1" si="40"/>
        <v>-80.936989654112935</v>
      </c>
      <c r="M181">
        <f t="shared" ca="1" si="42"/>
        <v>56.466299603174598</v>
      </c>
      <c r="N181">
        <f t="shared" ca="1" si="43"/>
        <v>32.05934523809524</v>
      </c>
    </row>
    <row r="182" spans="1:14" x14ac:dyDescent="0.25">
      <c r="A182" s="4">
        <f t="shared" si="26"/>
        <v>0.42893518518518353</v>
      </c>
      <c r="B182" s="3">
        <f t="shared" si="44"/>
        <v>1553301060</v>
      </c>
      <c r="C182">
        <f t="shared" si="41"/>
        <v>3</v>
      </c>
      <c r="D182">
        <f t="shared" si="41"/>
        <v>66</v>
      </c>
      <c r="E182">
        <f t="shared" ca="1" si="46"/>
        <v>-55775.215714285703</v>
      </c>
      <c r="F182">
        <f t="shared" ca="1" si="47"/>
        <v>69365.915000000008</v>
      </c>
      <c r="G182">
        <f t="shared" ca="1" si="37"/>
        <v>9985.8285714285721</v>
      </c>
      <c r="H182" s="9">
        <f t="shared" ca="1" si="45"/>
        <v>-231.85878571428475</v>
      </c>
      <c r="I182" s="9">
        <f t="shared" ca="1" si="45"/>
        <v>36.984249999999882</v>
      </c>
      <c r="J182" s="9">
        <f t="shared" ca="1" si="45"/>
        <v>1.4514285714285506</v>
      </c>
      <c r="K182" s="9">
        <f t="shared" ca="1" si="39"/>
        <v>234.78997265847005</v>
      </c>
      <c r="L182" s="9">
        <f t="shared" ca="1" si="40"/>
        <v>-80.936989654112935</v>
      </c>
      <c r="M182">
        <f t="shared" ca="1" si="42"/>
        <v>56.467936507936507</v>
      </c>
      <c r="N182">
        <f t="shared" ca="1" si="43"/>
        <v>32.040793650793653</v>
      </c>
    </row>
    <row r="183" spans="1:14" x14ac:dyDescent="0.25">
      <c r="A183" s="4">
        <f t="shared" si="26"/>
        <v>0.42899305555555389</v>
      </c>
      <c r="B183" s="3">
        <f t="shared" si="44"/>
        <v>1553301065</v>
      </c>
      <c r="C183">
        <f t="shared" si="41"/>
        <v>3</v>
      </c>
      <c r="D183">
        <f t="shared" si="41"/>
        <v>66</v>
      </c>
      <c r="E183">
        <f t="shared" ca="1" si="46"/>
        <v>-56934.509642857127</v>
      </c>
      <c r="F183">
        <f t="shared" ca="1" si="47"/>
        <v>69550.836250000008</v>
      </c>
      <c r="G183">
        <f t="shared" ca="1" si="37"/>
        <v>9993.0857142857149</v>
      </c>
      <c r="H183" s="9">
        <f t="shared" ref="H183:J246" ca="1" si="48">(E184-E183)/($B184-$B183)</f>
        <v>-231.85878571429058</v>
      </c>
      <c r="I183" s="9">
        <f t="shared" ca="1" si="48"/>
        <v>36.984249999999882</v>
      </c>
      <c r="J183" s="9">
        <f t="shared" ca="1" si="48"/>
        <v>1.4514285714285506</v>
      </c>
      <c r="K183" s="9">
        <f t="shared" ca="1" si="39"/>
        <v>234.78997265847579</v>
      </c>
      <c r="L183" s="9">
        <f t="shared" ca="1" si="40"/>
        <v>-80.936989654113162</v>
      </c>
      <c r="M183">
        <f t="shared" ca="1" si="42"/>
        <v>56.469573412698409</v>
      </c>
      <c r="N183">
        <f t="shared" ca="1" si="43"/>
        <v>32.022242063492065</v>
      </c>
    </row>
    <row r="184" spans="1:14" x14ac:dyDescent="0.25">
      <c r="A184" s="4">
        <f t="shared" si="26"/>
        <v>0.42905092592592425</v>
      </c>
      <c r="B184" s="3">
        <f t="shared" si="44"/>
        <v>1553301070</v>
      </c>
      <c r="C184">
        <f t="shared" si="41"/>
        <v>3</v>
      </c>
      <c r="D184">
        <f t="shared" si="41"/>
        <v>66</v>
      </c>
      <c r="E184">
        <f t="shared" ca="1" si="46"/>
        <v>-58093.80357142858</v>
      </c>
      <c r="F184">
        <f t="shared" ca="1" si="47"/>
        <v>69735.757500000007</v>
      </c>
      <c r="G184">
        <f t="shared" ca="1" si="37"/>
        <v>10000.342857142858</v>
      </c>
      <c r="H184" s="9">
        <f t="shared" ca="1" si="48"/>
        <v>-231.85878571428475</v>
      </c>
      <c r="I184" s="9">
        <f t="shared" ca="1" si="48"/>
        <v>36.984249999999882</v>
      </c>
      <c r="J184" s="9">
        <f t="shared" ca="1" si="48"/>
        <v>1.4514285714285506</v>
      </c>
      <c r="K184" s="9">
        <f t="shared" ca="1" si="39"/>
        <v>234.78997265847005</v>
      </c>
      <c r="L184" s="9">
        <f t="shared" ca="1" si="40"/>
        <v>-80.936989654112935</v>
      </c>
      <c r="M184">
        <f t="shared" ca="1" si="42"/>
        <v>56.471210317460312</v>
      </c>
      <c r="N184">
        <f t="shared" ca="1" si="43"/>
        <v>32.003690476190478</v>
      </c>
    </row>
    <row r="185" spans="1:14" x14ac:dyDescent="0.25">
      <c r="A185" s="4">
        <f t="shared" si="26"/>
        <v>0.42910879629629461</v>
      </c>
      <c r="B185" s="3">
        <f t="shared" si="44"/>
        <v>1553301075</v>
      </c>
      <c r="C185">
        <f t="shared" si="41"/>
        <v>3</v>
      </c>
      <c r="D185">
        <f t="shared" si="41"/>
        <v>66</v>
      </c>
      <c r="E185">
        <f t="shared" ca="1" si="46"/>
        <v>-59253.097500000003</v>
      </c>
      <c r="F185">
        <f t="shared" ca="1" si="47"/>
        <v>69920.678750000006</v>
      </c>
      <c r="G185">
        <f t="shared" ca="1" si="37"/>
        <v>10007.6</v>
      </c>
      <c r="H185" s="9">
        <f t="shared" ca="1" si="48"/>
        <v>-231.85878571428475</v>
      </c>
      <c r="I185" s="9">
        <f t="shared" ca="1" si="48"/>
        <v>36.984249999999882</v>
      </c>
      <c r="J185" s="9">
        <f t="shared" ca="1" si="48"/>
        <v>1.4514285714285506</v>
      </c>
      <c r="K185" s="9">
        <f t="shared" ca="1" si="39"/>
        <v>234.78997265847005</v>
      </c>
      <c r="L185" s="9">
        <f t="shared" ca="1" si="40"/>
        <v>-80.936989654112935</v>
      </c>
      <c r="M185">
        <f t="shared" ca="1" si="42"/>
        <v>56.472847222222221</v>
      </c>
      <c r="N185">
        <f t="shared" ca="1" si="43"/>
        <v>31.985138888888891</v>
      </c>
    </row>
    <row r="186" spans="1:14" x14ac:dyDescent="0.25">
      <c r="A186" s="4">
        <f t="shared" ref="A186:A247" si="49">A185+5/24/3600</f>
        <v>0.42916666666666498</v>
      </c>
      <c r="B186" s="3">
        <f t="shared" si="44"/>
        <v>1553301080</v>
      </c>
      <c r="C186">
        <f t="shared" si="41"/>
        <v>3</v>
      </c>
      <c r="D186">
        <f t="shared" si="41"/>
        <v>66</v>
      </c>
      <c r="E186">
        <f t="shared" ca="1" si="46"/>
        <v>-60412.391428571427</v>
      </c>
      <c r="F186">
        <f t="shared" ca="1" si="47"/>
        <v>70105.600000000006</v>
      </c>
      <c r="G186">
        <f t="shared" ca="1" si="37"/>
        <v>10014.857142857143</v>
      </c>
      <c r="H186" s="9">
        <f t="shared" ca="1" si="48"/>
        <v>-231.85878571428475</v>
      </c>
      <c r="I186" s="9">
        <f t="shared" ca="1" si="48"/>
        <v>36.984249999999882</v>
      </c>
      <c r="J186" s="9">
        <f t="shared" ca="1" si="48"/>
        <v>1.4514285714285506</v>
      </c>
      <c r="K186" s="9">
        <f t="shared" ca="1" si="39"/>
        <v>234.78997265847005</v>
      </c>
      <c r="L186" s="9">
        <f t="shared" ca="1" si="40"/>
        <v>-80.936989654112935</v>
      </c>
      <c r="M186">
        <f t="shared" ca="1" si="42"/>
        <v>56.474484126984123</v>
      </c>
      <c r="N186">
        <f t="shared" ca="1" si="43"/>
        <v>31.966587301587303</v>
      </c>
    </row>
    <row r="187" spans="1:14" x14ac:dyDescent="0.25">
      <c r="A187" s="4">
        <f t="shared" si="49"/>
        <v>0.42922453703703534</v>
      </c>
      <c r="B187" s="3">
        <f t="shared" si="44"/>
        <v>1553301085</v>
      </c>
      <c r="C187">
        <f t="shared" si="41"/>
        <v>3</v>
      </c>
      <c r="D187">
        <f t="shared" si="41"/>
        <v>66</v>
      </c>
      <c r="E187">
        <f t="shared" ca="1" si="46"/>
        <v>-61571.685357142851</v>
      </c>
      <c r="F187">
        <f t="shared" ca="1" si="47"/>
        <v>70290.521250000005</v>
      </c>
      <c r="G187">
        <f t="shared" ca="1" si="37"/>
        <v>10022.114285714286</v>
      </c>
      <c r="H187" s="9">
        <f t="shared" ca="1" si="48"/>
        <v>-231.85878571428475</v>
      </c>
      <c r="I187" s="9">
        <f t="shared" ca="1" si="48"/>
        <v>36.984249999999882</v>
      </c>
      <c r="J187" s="9">
        <f t="shared" ca="1" si="48"/>
        <v>1.4514285714285506</v>
      </c>
      <c r="K187" s="9">
        <f t="shared" ca="1" si="39"/>
        <v>234.78997265847005</v>
      </c>
      <c r="L187" s="9">
        <f t="shared" ca="1" si="40"/>
        <v>-80.936989654112935</v>
      </c>
      <c r="M187">
        <f t="shared" ca="1" si="42"/>
        <v>56.476121031746025</v>
      </c>
      <c r="N187">
        <f t="shared" ca="1" si="43"/>
        <v>31.948035714285716</v>
      </c>
    </row>
    <row r="188" spans="1:14" x14ac:dyDescent="0.25">
      <c r="A188" s="4">
        <f t="shared" si="49"/>
        <v>0.4292824074074057</v>
      </c>
      <c r="B188" s="3">
        <f t="shared" si="44"/>
        <v>1553301090</v>
      </c>
      <c r="C188">
        <f t="shared" si="41"/>
        <v>3</v>
      </c>
      <c r="D188">
        <f t="shared" si="41"/>
        <v>66</v>
      </c>
      <c r="E188">
        <f t="shared" ca="1" si="46"/>
        <v>-62730.979285714275</v>
      </c>
      <c r="F188">
        <f t="shared" ca="1" si="47"/>
        <v>70475.442500000005</v>
      </c>
      <c r="G188">
        <f t="shared" ca="1" si="37"/>
        <v>10029.371428571429</v>
      </c>
      <c r="H188" s="9">
        <f t="shared" ca="1" si="48"/>
        <v>-231.85878571428475</v>
      </c>
      <c r="I188" s="9">
        <f t="shared" ca="1" si="48"/>
        <v>36.984249999999882</v>
      </c>
      <c r="J188" s="9">
        <f t="shared" ca="1" si="48"/>
        <v>1.4514285714285506</v>
      </c>
      <c r="K188" s="9">
        <f t="shared" ca="1" si="39"/>
        <v>234.78997265847005</v>
      </c>
      <c r="L188" s="9">
        <f t="shared" ca="1" si="40"/>
        <v>-80.936989654112935</v>
      </c>
      <c r="M188">
        <f t="shared" ca="1" si="42"/>
        <v>56.477757936507935</v>
      </c>
      <c r="N188">
        <f t="shared" ca="1" si="43"/>
        <v>31.929484126984129</v>
      </c>
    </row>
    <row r="189" spans="1:14" x14ac:dyDescent="0.25">
      <c r="A189" s="4">
        <f t="shared" si="49"/>
        <v>0.42934027777777606</v>
      </c>
      <c r="B189" s="3">
        <f t="shared" si="44"/>
        <v>1553301095</v>
      </c>
      <c r="C189">
        <f t="shared" si="41"/>
        <v>3</v>
      </c>
      <c r="D189">
        <f t="shared" si="41"/>
        <v>66</v>
      </c>
      <c r="E189">
        <f t="shared" ca="1" si="46"/>
        <v>-63890.273214285698</v>
      </c>
      <c r="F189">
        <f t="shared" ca="1" si="47"/>
        <v>70660.363750000004</v>
      </c>
      <c r="G189">
        <f t="shared" ca="1" si="37"/>
        <v>10036.628571428571</v>
      </c>
      <c r="H189" s="9">
        <f t="shared" ca="1" si="48"/>
        <v>-231.85878571429058</v>
      </c>
      <c r="I189" s="9">
        <f t="shared" ca="1" si="48"/>
        <v>36.984249999999882</v>
      </c>
      <c r="J189" s="9">
        <f t="shared" ca="1" si="48"/>
        <v>1.4514285714285506</v>
      </c>
      <c r="K189" s="9">
        <f t="shared" ca="1" si="39"/>
        <v>234.78997265847579</v>
      </c>
      <c r="L189" s="9">
        <f t="shared" ca="1" si="40"/>
        <v>-80.936989654113162</v>
      </c>
      <c r="M189">
        <f t="shared" ca="1" si="42"/>
        <v>56.479394841269837</v>
      </c>
      <c r="N189">
        <f t="shared" ca="1" si="43"/>
        <v>31.910932539682541</v>
      </c>
    </row>
    <row r="190" spans="1:14" x14ac:dyDescent="0.25">
      <c r="A190" s="4">
        <f t="shared" si="49"/>
        <v>0.42939814814814642</v>
      </c>
      <c r="B190" s="3">
        <f t="shared" si="44"/>
        <v>1553301100</v>
      </c>
      <c r="C190">
        <f t="shared" si="41"/>
        <v>3</v>
      </c>
      <c r="D190">
        <f t="shared" si="41"/>
        <v>66</v>
      </c>
      <c r="E190">
        <f t="shared" ca="1" si="46"/>
        <v>-65049.567142857151</v>
      </c>
      <c r="F190">
        <f t="shared" ca="1" si="47"/>
        <v>70845.285000000003</v>
      </c>
      <c r="G190">
        <f t="shared" ca="1" si="37"/>
        <v>10043.885714285714</v>
      </c>
      <c r="H190" s="9">
        <f t="shared" ca="1" si="48"/>
        <v>-231.85878571428475</v>
      </c>
      <c r="I190" s="9">
        <f t="shared" ca="1" si="48"/>
        <v>36.984249999999882</v>
      </c>
      <c r="J190" s="9">
        <f t="shared" ca="1" si="48"/>
        <v>1.4514285714289143</v>
      </c>
      <c r="K190" s="9">
        <f t="shared" ca="1" si="39"/>
        <v>234.78997265847005</v>
      </c>
      <c r="L190" s="9">
        <f t="shared" ca="1" si="40"/>
        <v>-80.936989654112935</v>
      </c>
      <c r="M190">
        <f t="shared" ca="1" si="42"/>
        <v>56.481031746031746</v>
      </c>
      <c r="N190">
        <f t="shared" ca="1" si="43"/>
        <v>31.892380952380954</v>
      </c>
    </row>
    <row r="191" spans="1:14" x14ac:dyDescent="0.25">
      <c r="A191" s="4">
        <f t="shared" si="49"/>
        <v>0.42945601851851678</v>
      </c>
      <c r="B191" s="3">
        <f t="shared" si="44"/>
        <v>1553301105</v>
      </c>
      <c r="C191">
        <f t="shared" si="41"/>
        <v>3</v>
      </c>
      <c r="D191">
        <f t="shared" si="41"/>
        <v>66</v>
      </c>
      <c r="E191">
        <f t="shared" ca="1" si="46"/>
        <v>-66208.861071428575</v>
      </c>
      <c r="F191">
        <f t="shared" ca="1" si="47"/>
        <v>71030.206250000003</v>
      </c>
      <c r="G191">
        <f t="shared" ca="1" si="37"/>
        <v>10051.142857142859</v>
      </c>
      <c r="H191" s="9">
        <f t="shared" ca="1" si="48"/>
        <v>-231.85878571428475</v>
      </c>
      <c r="I191" s="9">
        <f t="shared" ca="1" si="48"/>
        <v>36.984249999999882</v>
      </c>
      <c r="J191" s="9">
        <f t="shared" ca="1" si="48"/>
        <v>1.4514285714285506</v>
      </c>
      <c r="K191" s="9">
        <f t="shared" ca="1" si="39"/>
        <v>234.78997265847005</v>
      </c>
      <c r="L191" s="9">
        <f t="shared" ca="1" si="40"/>
        <v>-80.936989654112935</v>
      </c>
      <c r="M191">
        <f t="shared" ca="1" si="42"/>
        <v>56.482668650793649</v>
      </c>
      <c r="N191">
        <f t="shared" ca="1" si="43"/>
        <v>31.873829365079366</v>
      </c>
    </row>
    <row r="192" spans="1:14" x14ac:dyDescent="0.25">
      <c r="A192" s="4">
        <f t="shared" si="49"/>
        <v>0.42951388888888714</v>
      </c>
      <c r="B192" s="3">
        <f t="shared" si="44"/>
        <v>1553301110</v>
      </c>
      <c r="C192">
        <f t="shared" si="41"/>
        <v>3</v>
      </c>
      <c r="D192">
        <f t="shared" si="41"/>
        <v>66</v>
      </c>
      <c r="E192">
        <f t="shared" ca="1" si="46"/>
        <v>-67368.154999999999</v>
      </c>
      <c r="F192">
        <f t="shared" ca="1" si="47"/>
        <v>71215.127500000002</v>
      </c>
      <c r="G192">
        <f t="shared" ca="1" si="37"/>
        <v>10058.400000000001</v>
      </c>
      <c r="H192" s="9">
        <f t="shared" ca="1" si="48"/>
        <v>-231.85878571428475</v>
      </c>
      <c r="I192" s="9">
        <f t="shared" ca="1" si="48"/>
        <v>36.984249999999882</v>
      </c>
      <c r="J192" s="9">
        <f t="shared" ca="1" si="48"/>
        <v>1.4514285714285506</v>
      </c>
      <c r="K192" s="9">
        <f t="shared" ca="1" si="39"/>
        <v>234.78997265847005</v>
      </c>
      <c r="L192" s="9">
        <f t="shared" ca="1" si="40"/>
        <v>-80.936989654112935</v>
      </c>
      <c r="M192">
        <f t="shared" ca="1" si="42"/>
        <v>56.484305555555551</v>
      </c>
      <c r="N192">
        <f t="shared" ca="1" si="43"/>
        <v>31.855277777777779</v>
      </c>
    </row>
    <row r="193" spans="1:14" x14ac:dyDescent="0.25">
      <c r="A193" s="4">
        <f t="shared" si="49"/>
        <v>0.4295717592592575</v>
      </c>
      <c r="B193" s="3">
        <f t="shared" si="44"/>
        <v>1553301115</v>
      </c>
      <c r="C193">
        <f t="shared" si="41"/>
        <v>3</v>
      </c>
      <c r="D193">
        <f t="shared" si="41"/>
        <v>66</v>
      </c>
      <c r="E193">
        <f t="shared" ca="1" si="46"/>
        <v>-68527.448928571423</v>
      </c>
      <c r="F193">
        <f t="shared" ca="1" si="47"/>
        <v>71400.048750000002</v>
      </c>
      <c r="G193">
        <f t="shared" ca="1" si="37"/>
        <v>10065.657142857144</v>
      </c>
      <c r="H193" s="9">
        <f t="shared" ca="1" si="48"/>
        <v>-231.85878571428475</v>
      </c>
      <c r="I193" s="9">
        <f t="shared" ca="1" si="48"/>
        <v>36.984249999999882</v>
      </c>
      <c r="J193" s="9">
        <f t="shared" ca="1" si="48"/>
        <v>1.4514285714285506</v>
      </c>
      <c r="K193" s="9">
        <f t="shared" ca="1" si="39"/>
        <v>234.78997265847005</v>
      </c>
      <c r="L193" s="9">
        <f t="shared" ca="1" si="40"/>
        <v>-80.936989654112935</v>
      </c>
      <c r="M193">
        <f t="shared" ca="1" si="42"/>
        <v>56.48594246031746</v>
      </c>
      <c r="N193">
        <f t="shared" ca="1" si="43"/>
        <v>31.836726190476192</v>
      </c>
    </row>
    <row r="194" spans="1:14" x14ac:dyDescent="0.25">
      <c r="A194" s="4">
        <f t="shared" si="49"/>
        <v>0.42962962962962786</v>
      </c>
      <c r="B194" s="3">
        <f t="shared" si="44"/>
        <v>1553301120</v>
      </c>
      <c r="C194">
        <f t="shared" si="41"/>
        <v>3</v>
      </c>
      <c r="D194">
        <f t="shared" si="41"/>
        <v>66</v>
      </c>
      <c r="E194">
        <f t="shared" ca="1" si="46"/>
        <v>-69686.742857142846</v>
      </c>
      <c r="F194">
        <f t="shared" ca="1" si="47"/>
        <v>71584.97</v>
      </c>
      <c r="G194">
        <f t="shared" ca="1" si="37"/>
        <v>10072.914285714287</v>
      </c>
      <c r="H194" s="9">
        <f t="shared" ca="1" si="48"/>
        <v>-231.85878571428475</v>
      </c>
      <c r="I194" s="9">
        <f t="shared" ca="1" si="48"/>
        <v>36.984249999999882</v>
      </c>
      <c r="J194" s="9">
        <f t="shared" ca="1" si="48"/>
        <v>1.4514285714285506</v>
      </c>
      <c r="K194" s="9">
        <f t="shared" ca="1" si="39"/>
        <v>234.78997265847005</v>
      </c>
      <c r="L194" s="9">
        <f t="shared" ca="1" si="40"/>
        <v>-80.936989654112935</v>
      </c>
      <c r="M194">
        <f t="shared" ca="1" si="42"/>
        <v>56.487579365079363</v>
      </c>
      <c r="N194">
        <f t="shared" ca="1" si="43"/>
        <v>31.818174603174604</v>
      </c>
    </row>
    <row r="195" spans="1:14" x14ac:dyDescent="0.25">
      <c r="A195" s="4">
        <f t="shared" si="49"/>
        <v>0.42968749999999822</v>
      </c>
      <c r="B195" s="3">
        <f t="shared" si="44"/>
        <v>1553301125</v>
      </c>
      <c r="C195">
        <f t="shared" si="41"/>
        <v>3</v>
      </c>
      <c r="D195">
        <f t="shared" si="41"/>
        <v>66</v>
      </c>
      <c r="E195">
        <f t="shared" ca="1" si="46"/>
        <v>-70846.03678571427</v>
      </c>
      <c r="F195">
        <f t="shared" ca="1" si="47"/>
        <v>71769.891250000001</v>
      </c>
      <c r="G195">
        <f t="shared" ca="1" si="37"/>
        <v>10080.17142857143</v>
      </c>
      <c r="H195" s="9">
        <f t="shared" ca="1" si="48"/>
        <v>-231.85878571429058</v>
      </c>
      <c r="I195" s="9">
        <f t="shared" ca="1" si="48"/>
        <v>36.984249999999882</v>
      </c>
      <c r="J195" s="9">
        <f t="shared" ca="1" si="48"/>
        <v>1.4514285714285506</v>
      </c>
      <c r="K195" s="9">
        <f t="shared" ca="1" si="39"/>
        <v>234.78997265847579</v>
      </c>
      <c r="L195" s="9">
        <f t="shared" ca="1" si="40"/>
        <v>-80.936989654113162</v>
      </c>
      <c r="M195">
        <f t="shared" ca="1" si="42"/>
        <v>56.489216269841265</v>
      </c>
      <c r="N195">
        <f t="shared" ca="1" si="43"/>
        <v>31.799623015873017</v>
      </c>
    </row>
    <row r="196" spans="1:14" x14ac:dyDescent="0.25">
      <c r="A196" s="4">
        <f t="shared" si="49"/>
        <v>0.42974537037036858</v>
      </c>
      <c r="B196" s="3">
        <f t="shared" si="44"/>
        <v>1553301130</v>
      </c>
      <c r="C196">
        <f t="shared" si="41"/>
        <v>3</v>
      </c>
      <c r="D196">
        <f t="shared" si="41"/>
        <v>66</v>
      </c>
      <c r="E196">
        <f t="shared" ca="1" si="46"/>
        <v>-72005.330714285723</v>
      </c>
      <c r="F196">
        <f t="shared" ca="1" si="47"/>
        <v>71954.8125</v>
      </c>
      <c r="G196">
        <f t="shared" ca="1" si="37"/>
        <v>10087.428571428572</v>
      </c>
      <c r="H196" s="9">
        <f t="shared" ca="1" si="48"/>
        <v>-231.85878571428475</v>
      </c>
      <c r="I196" s="9">
        <f t="shared" ca="1" si="48"/>
        <v>36.984249999999882</v>
      </c>
      <c r="J196" s="9">
        <f t="shared" ca="1" si="48"/>
        <v>1.4514285714285506</v>
      </c>
      <c r="K196" s="9">
        <f t="shared" ca="1" si="39"/>
        <v>234.78997265847005</v>
      </c>
      <c r="L196" s="9">
        <f t="shared" ca="1" si="40"/>
        <v>-80.936989654112935</v>
      </c>
      <c r="M196">
        <f t="shared" ca="1" si="42"/>
        <v>56.490853174603174</v>
      </c>
      <c r="N196">
        <f t="shared" ca="1" si="43"/>
        <v>31.78107142857143</v>
      </c>
    </row>
    <row r="197" spans="1:14" x14ac:dyDescent="0.25">
      <c r="A197" s="4">
        <f t="shared" si="49"/>
        <v>0.42980324074073895</v>
      </c>
      <c r="B197" s="3">
        <f t="shared" si="44"/>
        <v>1553301135</v>
      </c>
      <c r="C197">
        <f t="shared" si="41"/>
        <v>3</v>
      </c>
      <c r="D197">
        <f t="shared" si="41"/>
        <v>66</v>
      </c>
      <c r="E197">
        <f t="shared" ca="1" si="46"/>
        <v>-73164.624642857147</v>
      </c>
      <c r="F197">
        <f t="shared" ca="1" si="47"/>
        <v>72139.733749999999</v>
      </c>
      <c r="G197">
        <f t="shared" ca="1" si="37"/>
        <v>10094.685714285715</v>
      </c>
      <c r="H197" s="9">
        <f t="shared" ca="1" si="48"/>
        <v>-231.85878571428475</v>
      </c>
      <c r="I197" s="9">
        <f t="shared" ca="1" si="48"/>
        <v>36.984249999999882</v>
      </c>
      <c r="J197" s="9">
        <f t="shared" ca="1" si="48"/>
        <v>1.4514285714285506</v>
      </c>
      <c r="K197" s="9">
        <f t="shared" ca="1" si="39"/>
        <v>234.78997265847005</v>
      </c>
      <c r="L197" s="9">
        <f t="shared" ca="1" si="40"/>
        <v>-80.936989654112935</v>
      </c>
      <c r="M197">
        <f t="shared" ca="1" si="42"/>
        <v>56.492490079365076</v>
      </c>
      <c r="N197">
        <f t="shared" ca="1" si="43"/>
        <v>31.762519841269842</v>
      </c>
    </row>
    <row r="198" spans="1:14" x14ac:dyDescent="0.25">
      <c r="A198" s="4">
        <f t="shared" si="49"/>
        <v>0.42986111111110931</v>
      </c>
      <c r="B198" s="3">
        <f t="shared" si="44"/>
        <v>1553301140</v>
      </c>
      <c r="C198">
        <f t="shared" si="41"/>
        <v>3</v>
      </c>
      <c r="D198">
        <f t="shared" si="41"/>
        <v>66</v>
      </c>
      <c r="E198">
        <f t="shared" ca="1" si="46"/>
        <v>-74323.91857142857</v>
      </c>
      <c r="F198">
        <f t="shared" ca="1" si="47"/>
        <v>72324.654999999999</v>
      </c>
      <c r="G198">
        <f t="shared" ca="1" si="37"/>
        <v>10101.942857142858</v>
      </c>
      <c r="H198" s="9">
        <f t="shared" ca="1" si="48"/>
        <v>-231.85878571428475</v>
      </c>
      <c r="I198" s="9">
        <f t="shared" ca="1" si="48"/>
        <v>36.984250000002795</v>
      </c>
      <c r="J198" s="9">
        <f t="shared" ca="1" si="48"/>
        <v>1.4514285714285506</v>
      </c>
      <c r="K198" s="9">
        <f t="shared" ca="1" si="39"/>
        <v>234.7899726584705</v>
      </c>
      <c r="L198" s="9">
        <f t="shared" ca="1" si="40"/>
        <v>-80.936989654112239</v>
      </c>
      <c r="M198">
        <f t="shared" ca="1" si="42"/>
        <v>56.494126984126979</v>
      </c>
      <c r="N198">
        <f t="shared" ca="1" si="43"/>
        <v>31.743968253968255</v>
      </c>
    </row>
    <row r="199" spans="1:14" x14ac:dyDescent="0.25">
      <c r="A199" s="4">
        <f t="shared" si="49"/>
        <v>0.42991898148147967</v>
      </c>
      <c r="B199" s="3">
        <f t="shared" si="44"/>
        <v>1553301145</v>
      </c>
      <c r="C199">
        <f t="shared" si="41"/>
        <v>3</v>
      </c>
      <c r="D199">
        <f t="shared" si="41"/>
        <v>66</v>
      </c>
      <c r="E199">
        <f t="shared" ca="1" si="46"/>
        <v>-75483.212499999994</v>
      </c>
      <c r="F199">
        <f t="shared" ca="1" si="47"/>
        <v>72509.576250000013</v>
      </c>
      <c r="G199">
        <f t="shared" ref="G199:G262" ca="1" si="50">INDIRECT("G$"&amp;C199)+INDIRECT("J$"&amp;C199)*($B199-INDIRECT("B$"&amp;D199))</f>
        <v>10109.200000000001</v>
      </c>
      <c r="H199" s="9">
        <f t="shared" ca="1" si="48"/>
        <v>-231.85878571428475</v>
      </c>
      <c r="I199" s="9">
        <f t="shared" ca="1" si="48"/>
        <v>36.984249999996976</v>
      </c>
      <c r="J199" s="9">
        <f t="shared" ca="1" si="48"/>
        <v>1.4514285714285506</v>
      </c>
      <c r="K199" s="9">
        <f t="shared" ref="K199:K262" ca="1" si="51">SQRT(H199*H199+I199*I199)</f>
        <v>234.78997265846957</v>
      </c>
      <c r="L199" s="9">
        <f t="shared" ref="L199:L262" ca="1" si="52">DEGREES(ATAN2(I199,H199))</f>
        <v>-80.936989654113631</v>
      </c>
      <c r="M199">
        <f t="shared" ca="1" si="42"/>
        <v>56.495763888888888</v>
      </c>
      <c r="N199">
        <f t="shared" ca="1" si="43"/>
        <v>31.725416666666668</v>
      </c>
    </row>
    <row r="200" spans="1:14" x14ac:dyDescent="0.25">
      <c r="A200" s="4">
        <f t="shared" si="49"/>
        <v>0.42997685185185003</v>
      </c>
      <c r="B200" s="3">
        <f t="shared" si="44"/>
        <v>1553301150</v>
      </c>
      <c r="C200">
        <f t="shared" ref="C200:D247" si="53">C199</f>
        <v>3</v>
      </c>
      <c r="D200">
        <f t="shared" si="53"/>
        <v>66</v>
      </c>
      <c r="E200">
        <f t="shared" ca="1" si="46"/>
        <v>-76642.506428571418</v>
      </c>
      <c r="F200">
        <f t="shared" ca="1" si="47"/>
        <v>72694.497499999998</v>
      </c>
      <c r="G200">
        <f t="shared" ca="1" si="50"/>
        <v>10116.457142857143</v>
      </c>
      <c r="H200" s="9">
        <f t="shared" ca="1" si="48"/>
        <v>-231.85878571428475</v>
      </c>
      <c r="I200" s="9">
        <f t="shared" ca="1" si="48"/>
        <v>36.984250000002795</v>
      </c>
      <c r="J200" s="9">
        <f t="shared" ca="1" si="48"/>
        <v>1.4514285714285506</v>
      </c>
      <c r="K200" s="9">
        <f t="shared" ca="1" si="51"/>
        <v>234.7899726584705</v>
      </c>
      <c r="L200" s="9">
        <f t="shared" ca="1" si="52"/>
        <v>-80.936989654112239</v>
      </c>
      <c r="M200">
        <f t="shared" ref="M200:M263" ca="1" si="54">INDIRECT("M$"&amp;C200)+INDIRECT("O$"&amp;C200)*($B200-INDIRECT("B$"&amp;D200))</f>
        <v>56.49740079365079</v>
      </c>
      <c r="N200">
        <f t="shared" ref="N200:N263" ca="1" si="55">INDIRECT("N$"&amp;C200)+INDIRECT("P$"&amp;C200)*($B200-INDIRECT("B$"&amp;D200))</f>
        <v>31.70686507936508</v>
      </c>
    </row>
    <row r="201" spans="1:14" x14ac:dyDescent="0.25">
      <c r="A201" s="4">
        <f t="shared" si="49"/>
        <v>0.43003472222222039</v>
      </c>
      <c r="B201" s="3">
        <f t="shared" ref="B201:B247" si="56">B200+SECOND(A201-A200)</f>
        <v>1553301155</v>
      </c>
      <c r="C201">
        <f t="shared" si="53"/>
        <v>3</v>
      </c>
      <c r="D201">
        <f t="shared" si="53"/>
        <v>66</v>
      </c>
      <c r="E201">
        <f t="shared" ca="1" si="46"/>
        <v>-77801.800357142842</v>
      </c>
      <c r="F201">
        <f t="shared" ca="1" si="47"/>
        <v>72879.418750000012</v>
      </c>
      <c r="G201">
        <f t="shared" ca="1" si="50"/>
        <v>10123.714285714286</v>
      </c>
      <c r="H201" s="9">
        <f t="shared" ca="1" si="48"/>
        <v>-231.85878571429058</v>
      </c>
      <c r="I201" s="9">
        <f t="shared" ca="1" si="48"/>
        <v>36.984249999996976</v>
      </c>
      <c r="J201" s="9">
        <f t="shared" ca="1" si="48"/>
        <v>1.4514285714285506</v>
      </c>
      <c r="K201" s="9">
        <f t="shared" ca="1" si="51"/>
        <v>234.78997265847534</v>
      </c>
      <c r="L201" s="9">
        <f t="shared" ca="1" si="52"/>
        <v>-80.936989654113859</v>
      </c>
      <c r="M201">
        <f t="shared" ca="1" si="54"/>
        <v>56.499037698412693</v>
      </c>
      <c r="N201">
        <f t="shared" ca="1" si="55"/>
        <v>31.688313492063493</v>
      </c>
    </row>
    <row r="202" spans="1:14" x14ac:dyDescent="0.25">
      <c r="A202" s="4">
        <f t="shared" si="49"/>
        <v>0.43009259259259075</v>
      </c>
      <c r="B202" s="3">
        <f t="shared" si="56"/>
        <v>1553301160</v>
      </c>
      <c r="C202">
        <f t="shared" si="53"/>
        <v>3</v>
      </c>
      <c r="D202">
        <f t="shared" si="53"/>
        <v>66</v>
      </c>
      <c r="E202">
        <f t="shared" ca="1" si="46"/>
        <v>-78961.094285714295</v>
      </c>
      <c r="F202">
        <f t="shared" ca="1" si="47"/>
        <v>73064.34</v>
      </c>
      <c r="G202">
        <f t="shared" ca="1" si="50"/>
        <v>10130.971428571429</v>
      </c>
      <c r="H202" s="9">
        <f t="shared" ca="1" si="48"/>
        <v>-231.85878571428475</v>
      </c>
      <c r="I202" s="9">
        <f t="shared" ca="1" si="48"/>
        <v>36.984250000002795</v>
      </c>
      <c r="J202" s="9">
        <f t="shared" ca="1" si="48"/>
        <v>1.4514285714285506</v>
      </c>
      <c r="K202" s="9">
        <f t="shared" ca="1" si="51"/>
        <v>234.7899726584705</v>
      </c>
      <c r="L202" s="9">
        <f t="shared" ca="1" si="52"/>
        <v>-80.936989654112239</v>
      </c>
      <c r="M202">
        <f t="shared" ca="1" si="54"/>
        <v>56.500674603174602</v>
      </c>
      <c r="N202">
        <f t="shared" ca="1" si="55"/>
        <v>31.669761904761906</v>
      </c>
    </row>
    <row r="203" spans="1:14" x14ac:dyDescent="0.25">
      <c r="A203" s="4">
        <f t="shared" si="49"/>
        <v>0.43015046296296111</v>
      </c>
      <c r="B203" s="3">
        <f t="shared" si="56"/>
        <v>1553301165</v>
      </c>
      <c r="C203">
        <f t="shared" si="53"/>
        <v>3</v>
      </c>
      <c r="D203">
        <f t="shared" si="53"/>
        <v>66</v>
      </c>
      <c r="E203">
        <f t="shared" ca="1" si="46"/>
        <v>-80120.388214285718</v>
      </c>
      <c r="F203">
        <f t="shared" ca="1" si="47"/>
        <v>73249.26125000001</v>
      </c>
      <c r="G203">
        <f t="shared" ca="1" si="50"/>
        <v>10138.228571428572</v>
      </c>
      <c r="H203" s="9">
        <f t="shared" ca="1" si="48"/>
        <v>-231.85878571428475</v>
      </c>
      <c r="I203" s="9">
        <f t="shared" ca="1" si="48"/>
        <v>36.984249999999882</v>
      </c>
      <c r="J203" s="9">
        <f t="shared" ca="1" si="48"/>
        <v>1.4514285714285506</v>
      </c>
      <c r="K203" s="9">
        <f t="shared" ca="1" si="51"/>
        <v>234.78997265847005</v>
      </c>
      <c r="L203" s="9">
        <f t="shared" ca="1" si="52"/>
        <v>-80.936989654112935</v>
      </c>
      <c r="M203">
        <f t="shared" ca="1" si="54"/>
        <v>56.502311507936504</v>
      </c>
      <c r="N203">
        <f t="shared" ca="1" si="55"/>
        <v>31.651210317460318</v>
      </c>
    </row>
    <row r="204" spans="1:14" x14ac:dyDescent="0.25">
      <c r="A204" s="4">
        <f t="shared" si="49"/>
        <v>0.43020833333333147</v>
      </c>
      <c r="B204" s="3">
        <f t="shared" si="56"/>
        <v>1553301170</v>
      </c>
      <c r="C204">
        <f t="shared" si="53"/>
        <v>3</v>
      </c>
      <c r="D204">
        <f t="shared" si="53"/>
        <v>66</v>
      </c>
      <c r="E204">
        <f t="shared" ca="1" si="46"/>
        <v>-81279.682142857142</v>
      </c>
      <c r="F204">
        <f t="shared" ca="1" si="47"/>
        <v>73434.18250000001</v>
      </c>
      <c r="G204">
        <f t="shared" ca="1" si="50"/>
        <v>10145.485714285714</v>
      </c>
      <c r="H204" s="9">
        <f t="shared" ca="1" si="48"/>
        <v>-231.85878571428475</v>
      </c>
      <c r="I204" s="9">
        <f t="shared" ca="1" si="48"/>
        <v>36.984249999999882</v>
      </c>
      <c r="J204" s="9">
        <f t="shared" ca="1" si="48"/>
        <v>1.4514285714285506</v>
      </c>
      <c r="K204" s="9">
        <f t="shared" ca="1" si="51"/>
        <v>234.78997265847005</v>
      </c>
      <c r="L204" s="9">
        <f t="shared" ca="1" si="52"/>
        <v>-80.936989654112935</v>
      </c>
      <c r="M204">
        <f t="shared" ca="1" si="54"/>
        <v>56.503948412698406</v>
      </c>
      <c r="N204">
        <f t="shared" ca="1" si="55"/>
        <v>31.632658730158731</v>
      </c>
    </row>
    <row r="205" spans="1:14" x14ac:dyDescent="0.25">
      <c r="A205" s="4">
        <f t="shared" si="49"/>
        <v>0.43026620370370183</v>
      </c>
      <c r="B205" s="3">
        <f t="shared" si="56"/>
        <v>1553301175</v>
      </c>
      <c r="C205">
        <f t="shared" si="53"/>
        <v>3</v>
      </c>
      <c r="D205">
        <f t="shared" si="53"/>
        <v>66</v>
      </c>
      <c r="E205">
        <f t="shared" ca="1" si="46"/>
        <v>-82438.976071428566</v>
      </c>
      <c r="F205">
        <f t="shared" ca="1" si="47"/>
        <v>73619.103750000009</v>
      </c>
      <c r="G205">
        <f t="shared" ca="1" si="50"/>
        <v>10152.742857142857</v>
      </c>
      <c r="H205" s="9">
        <f t="shared" ca="1" si="48"/>
        <v>-231.85878571428475</v>
      </c>
      <c r="I205" s="9">
        <f t="shared" ca="1" si="48"/>
        <v>36.984249999999882</v>
      </c>
      <c r="J205" s="9">
        <f t="shared" ca="1" si="48"/>
        <v>1.4514285714285506</v>
      </c>
      <c r="K205" s="9">
        <f t="shared" ca="1" si="51"/>
        <v>234.78997265847005</v>
      </c>
      <c r="L205" s="9">
        <f t="shared" ca="1" si="52"/>
        <v>-80.936989654112935</v>
      </c>
      <c r="M205">
        <f t="shared" ca="1" si="54"/>
        <v>56.505585317460316</v>
      </c>
      <c r="N205">
        <f t="shared" ca="1" si="55"/>
        <v>31.614107142857144</v>
      </c>
    </row>
    <row r="206" spans="1:14" x14ac:dyDescent="0.25">
      <c r="A206" s="4">
        <f t="shared" si="49"/>
        <v>0.43032407407407219</v>
      </c>
      <c r="B206" s="3">
        <f t="shared" si="56"/>
        <v>1553301180</v>
      </c>
      <c r="C206">
        <f t="shared" si="53"/>
        <v>3</v>
      </c>
      <c r="D206">
        <f t="shared" si="53"/>
        <v>66</v>
      </c>
      <c r="E206">
        <f t="shared" ca="1" si="46"/>
        <v>-83598.26999999999</v>
      </c>
      <c r="F206">
        <f t="shared" ca="1" si="47"/>
        <v>73804.025000000009</v>
      </c>
      <c r="G206">
        <f t="shared" ca="1" si="50"/>
        <v>10160</v>
      </c>
      <c r="H206" s="9">
        <f t="shared" ca="1" si="48"/>
        <v>-231.85878571428475</v>
      </c>
      <c r="I206" s="9">
        <f t="shared" ca="1" si="48"/>
        <v>36.984249999999882</v>
      </c>
      <c r="J206" s="9">
        <f t="shared" ca="1" si="48"/>
        <v>1.4514285714285506</v>
      </c>
      <c r="K206" s="9">
        <f t="shared" ca="1" si="51"/>
        <v>234.78997265847005</v>
      </c>
      <c r="L206" s="9">
        <f t="shared" ca="1" si="52"/>
        <v>-80.936989654112935</v>
      </c>
      <c r="M206">
        <f t="shared" ca="1" si="54"/>
        <v>56.507222222222218</v>
      </c>
      <c r="N206">
        <f t="shared" ca="1" si="55"/>
        <v>31.595555555555556</v>
      </c>
    </row>
    <row r="207" spans="1:14" x14ac:dyDescent="0.25">
      <c r="A207" s="4">
        <f t="shared" si="49"/>
        <v>0.43038194444444255</v>
      </c>
      <c r="B207" s="3">
        <f t="shared" si="56"/>
        <v>1553301185</v>
      </c>
      <c r="C207">
        <f t="shared" si="53"/>
        <v>3</v>
      </c>
      <c r="D207">
        <f t="shared" si="53"/>
        <v>66</v>
      </c>
      <c r="E207">
        <f t="shared" ca="1" si="46"/>
        <v>-84757.563928571413</v>
      </c>
      <c r="F207">
        <f t="shared" ca="1" si="47"/>
        <v>73988.946250000008</v>
      </c>
      <c r="G207">
        <f t="shared" ca="1" si="50"/>
        <v>10167.257142857143</v>
      </c>
      <c r="H207" s="9">
        <f t="shared" ca="1" si="48"/>
        <v>-231.85878571429058</v>
      </c>
      <c r="I207" s="9">
        <f t="shared" ca="1" si="48"/>
        <v>36.984249999999882</v>
      </c>
      <c r="J207" s="9">
        <f t="shared" ca="1" si="48"/>
        <v>1.4514285714285506</v>
      </c>
      <c r="K207" s="9">
        <f t="shared" ca="1" si="51"/>
        <v>234.78997265847579</v>
      </c>
      <c r="L207" s="9">
        <f t="shared" ca="1" si="52"/>
        <v>-80.936989654113162</v>
      </c>
      <c r="M207">
        <f t="shared" ca="1" si="54"/>
        <v>56.508859126984127</v>
      </c>
      <c r="N207">
        <f t="shared" ca="1" si="55"/>
        <v>31.577003968253969</v>
      </c>
    </row>
    <row r="208" spans="1:14" x14ac:dyDescent="0.25">
      <c r="A208" s="4">
        <f t="shared" si="49"/>
        <v>0.43043981481481292</v>
      </c>
      <c r="B208" s="3">
        <f t="shared" si="56"/>
        <v>1553301190</v>
      </c>
      <c r="C208">
        <f t="shared" si="53"/>
        <v>3</v>
      </c>
      <c r="D208">
        <f t="shared" si="53"/>
        <v>66</v>
      </c>
      <c r="E208">
        <f t="shared" ca="1" si="46"/>
        <v>-85916.857857142866</v>
      </c>
      <c r="F208">
        <f t="shared" ca="1" si="47"/>
        <v>74173.867500000008</v>
      </c>
      <c r="G208">
        <f t="shared" ca="1" si="50"/>
        <v>10174.514285714286</v>
      </c>
      <c r="H208" s="9">
        <f t="shared" ca="1" si="48"/>
        <v>-231.85878571428475</v>
      </c>
      <c r="I208" s="9">
        <f t="shared" ca="1" si="48"/>
        <v>36.984249999999882</v>
      </c>
      <c r="J208" s="9">
        <f t="shared" ca="1" si="48"/>
        <v>1.4514285714285506</v>
      </c>
      <c r="K208" s="9">
        <f t="shared" ca="1" si="51"/>
        <v>234.78997265847005</v>
      </c>
      <c r="L208" s="9">
        <f t="shared" ca="1" si="52"/>
        <v>-80.936989654112935</v>
      </c>
      <c r="M208">
        <f t="shared" ca="1" si="54"/>
        <v>56.51049603174603</v>
      </c>
      <c r="N208">
        <f t="shared" ca="1" si="55"/>
        <v>31.558452380952382</v>
      </c>
    </row>
    <row r="209" spans="1:14" x14ac:dyDescent="0.25">
      <c r="A209" s="4">
        <f t="shared" si="49"/>
        <v>0.43049768518518328</v>
      </c>
      <c r="B209" s="3">
        <f t="shared" si="56"/>
        <v>1553301195</v>
      </c>
      <c r="C209">
        <f t="shared" si="53"/>
        <v>3</v>
      </c>
      <c r="D209">
        <f t="shared" si="53"/>
        <v>66</v>
      </c>
      <c r="E209">
        <f t="shared" ca="1" si="46"/>
        <v>-87076.15178571429</v>
      </c>
      <c r="F209">
        <f t="shared" ca="1" si="47"/>
        <v>74358.788750000007</v>
      </c>
      <c r="G209">
        <f t="shared" ca="1" si="50"/>
        <v>10181.771428571428</v>
      </c>
      <c r="H209" s="9">
        <f t="shared" ca="1" si="48"/>
        <v>-231.85878571428475</v>
      </c>
      <c r="I209" s="9">
        <f t="shared" ca="1" si="48"/>
        <v>36.984249999999882</v>
      </c>
      <c r="J209" s="9">
        <f t="shared" ca="1" si="48"/>
        <v>1.4514285714289143</v>
      </c>
      <c r="K209" s="9">
        <f t="shared" ca="1" si="51"/>
        <v>234.78997265847005</v>
      </c>
      <c r="L209" s="9">
        <f t="shared" ca="1" si="52"/>
        <v>-80.936989654112935</v>
      </c>
      <c r="M209">
        <f t="shared" ca="1" si="54"/>
        <v>56.512132936507932</v>
      </c>
      <c r="N209">
        <f t="shared" ca="1" si="55"/>
        <v>31.539900793650794</v>
      </c>
    </row>
    <row r="210" spans="1:14" x14ac:dyDescent="0.25">
      <c r="A210" s="4">
        <f t="shared" si="49"/>
        <v>0.43055555555555364</v>
      </c>
      <c r="B210" s="3">
        <f t="shared" si="56"/>
        <v>1553301200</v>
      </c>
      <c r="C210">
        <f t="shared" si="53"/>
        <v>3</v>
      </c>
      <c r="D210">
        <f t="shared" si="53"/>
        <v>66</v>
      </c>
      <c r="E210">
        <f t="shared" ca="1" si="46"/>
        <v>-88235.445714285714</v>
      </c>
      <c r="F210">
        <f t="shared" ca="1" si="47"/>
        <v>74543.710000000006</v>
      </c>
      <c r="G210">
        <f t="shared" ca="1" si="50"/>
        <v>10189.028571428573</v>
      </c>
      <c r="H210" s="9">
        <f t="shared" ca="1" si="48"/>
        <v>-231.85878571428475</v>
      </c>
      <c r="I210" s="9">
        <f t="shared" ca="1" si="48"/>
        <v>36.984249999999882</v>
      </c>
      <c r="J210" s="9">
        <f t="shared" ca="1" si="48"/>
        <v>1.4514285714285506</v>
      </c>
      <c r="K210" s="9">
        <f t="shared" ca="1" si="51"/>
        <v>234.78997265847005</v>
      </c>
      <c r="L210" s="9">
        <f t="shared" ca="1" si="52"/>
        <v>-80.936989654112935</v>
      </c>
      <c r="M210">
        <f t="shared" ca="1" si="54"/>
        <v>56.513769841269841</v>
      </c>
      <c r="N210">
        <f t="shared" ca="1" si="55"/>
        <v>31.521349206349207</v>
      </c>
    </row>
    <row r="211" spans="1:14" x14ac:dyDescent="0.25">
      <c r="A211" s="4">
        <f t="shared" si="49"/>
        <v>0.430613425925924</v>
      </c>
      <c r="B211" s="3">
        <f t="shared" si="56"/>
        <v>1553301205</v>
      </c>
      <c r="C211">
        <f t="shared" si="53"/>
        <v>3</v>
      </c>
      <c r="D211">
        <f t="shared" si="53"/>
        <v>66</v>
      </c>
      <c r="E211">
        <f t="shared" ca="1" si="46"/>
        <v>-89394.739642857137</v>
      </c>
      <c r="F211">
        <f t="shared" ca="1" si="47"/>
        <v>74728.631250000006</v>
      </c>
      <c r="G211">
        <f t="shared" ca="1" si="50"/>
        <v>10196.285714285716</v>
      </c>
      <c r="H211" s="9">
        <f t="shared" ca="1" si="48"/>
        <v>-231.85878571428475</v>
      </c>
      <c r="I211" s="9">
        <f t="shared" ca="1" si="48"/>
        <v>36.984249999999882</v>
      </c>
      <c r="J211" s="9">
        <f t="shared" ca="1" si="48"/>
        <v>1.4514285714285506</v>
      </c>
      <c r="K211" s="9">
        <f t="shared" ca="1" si="51"/>
        <v>234.78997265847005</v>
      </c>
      <c r="L211" s="9">
        <f t="shared" ca="1" si="52"/>
        <v>-80.936989654112935</v>
      </c>
      <c r="M211">
        <f t="shared" ca="1" si="54"/>
        <v>56.515406746031744</v>
      </c>
      <c r="N211">
        <f t="shared" ca="1" si="55"/>
        <v>31.50279761904762</v>
      </c>
    </row>
    <row r="212" spans="1:14" x14ac:dyDescent="0.25">
      <c r="A212" s="4">
        <f t="shared" si="49"/>
        <v>0.43067129629629436</v>
      </c>
      <c r="B212" s="3">
        <f t="shared" si="56"/>
        <v>1553301210</v>
      </c>
      <c r="C212">
        <f t="shared" si="53"/>
        <v>3</v>
      </c>
      <c r="D212">
        <f t="shared" si="53"/>
        <v>66</v>
      </c>
      <c r="E212">
        <f t="shared" ca="1" si="46"/>
        <v>-90554.033571428561</v>
      </c>
      <c r="F212">
        <f t="shared" ca="1" si="47"/>
        <v>74913.552500000005</v>
      </c>
      <c r="G212">
        <f t="shared" ca="1" si="50"/>
        <v>10203.542857142858</v>
      </c>
      <c r="H212" s="9">
        <f t="shared" ca="1" si="48"/>
        <v>-231.85878571428475</v>
      </c>
      <c r="I212" s="9">
        <f t="shared" ca="1" si="48"/>
        <v>36.984249999999882</v>
      </c>
      <c r="J212" s="9">
        <f t="shared" ca="1" si="48"/>
        <v>1.4514285714285506</v>
      </c>
      <c r="K212" s="9">
        <f t="shared" ca="1" si="51"/>
        <v>234.78997265847005</v>
      </c>
      <c r="L212" s="9">
        <f t="shared" ca="1" si="52"/>
        <v>-80.936989654112935</v>
      </c>
      <c r="M212">
        <f t="shared" ca="1" si="54"/>
        <v>56.517043650793646</v>
      </c>
      <c r="N212">
        <f t="shared" ca="1" si="55"/>
        <v>31.484246031746032</v>
      </c>
    </row>
    <row r="213" spans="1:14" x14ac:dyDescent="0.25">
      <c r="A213" s="4">
        <f t="shared" si="49"/>
        <v>0.43072916666666472</v>
      </c>
      <c r="B213" s="3">
        <f t="shared" si="56"/>
        <v>1553301215</v>
      </c>
      <c r="C213">
        <f t="shared" si="53"/>
        <v>3</v>
      </c>
      <c r="D213">
        <f t="shared" si="53"/>
        <v>66</v>
      </c>
      <c r="E213">
        <f t="shared" ca="1" si="46"/>
        <v>-91713.327499999985</v>
      </c>
      <c r="F213">
        <f t="shared" ca="1" si="47"/>
        <v>75098.473750000005</v>
      </c>
      <c r="G213">
        <f t="shared" ca="1" si="50"/>
        <v>10210.800000000001</v>
      </c>
      <c r="H213" s="9">
        <f t="shared" ca="1" si="48"/>
        <v>-231.85878571429058</v>
      </c>
      <c r="I213" s="9">
        <f t="shared" ca="1" si="48"/>
        <v>36.984249999999882</v>
      </c>
      <c r="J213" s="9">
        <f t="shared" ca="1" si="48"/>
        <v>1.4514285714285506</v>
      </c>
      <c r="K213" s="9">
        <f t="shared" ca="1" si="51"/>
        <v>234.78997265847579</v>
      </c>
      <c r="L213" s="9">
        <f t="shared" ca="1" si="52"/>
        <v>-80.936989654113162</v>
      </c>
      <c r="M213">
        <f t="shared" ca="1" si="54"/>
        <v>56.518680555555555</v>
      </c>
      <c r="N213">
        <f t="shared" ca="1" si="55"/>
        <v>31.465694444444445</v>
      </c>
    </row>
    <row r="214" spans="1:14" x14ac:dyDescent="0.25">
      <c r="A214" s="4">
        <f t="shared" si="49"/>
        <v>0.43078703703703508</v>
      </c>
      <c r="B214" s="3">
        <f t="shared" si="56"/>
        <v>1553301220</v>
      </c>
      <c r="C214">
        <f t="shared" si="53"/>
        <v>3</v>
      </c>
      <c r="D214">
        <f t="shared" si="53"/>
        <v>66</v>
      </c>
      <c r="E214">
        <f t="shared" ca="1" si="46"/>
        <v>-92872.621428571438</v>
      </c>
      <c r="F214">
        <f t="shared" ca="1" si="47"/>
        <v>75283.395000000004</v>
      </c>
      <c r="G214">
        <f t="shared" ca="1" si="50"/>
        <v>10218.057142857144</v>
      </c>
      <c r="H214" s="9">
        <f t="shared" ca="1" si="48"/>
        <v>-231.85878571428475</v>
      </c>
      <c r="I214" s="9">
        <f t="shared" ca="1" si="48"/>
        <v>36.984249999999882</v>
      </c>
      <c r="J214" s="9">
        <f t="shared" ca="1" si="48"/>
        <v>1.4514285714285506</v>
      </c>
      <c r="K214" s="9">
        <f t="shared" ca="1" si="51"/>
        <v>234.78997265847005</v>
      </c>
      <c r="L214" s="9">
        <f t="shared" ca="1" si="52"/>
        <v>-80.936989654112935</v>
      </c>
      <c r="M214">
        <f t="shared" ca="1" si="54"/>
        <v>56.520317460317457</v>
      </c>
      <c r="N214">
        <f t="shared" ca="1" si="55"/>
        <v>31.447142857142858</v>
      </c>
    </row>
    <row r="215" spans="1:14" x14ac:dyDescent="0.25">
      <c r="A215" s="4">
        <f t="shared" si="49"/>
        <v>0.43084490740740544</v>
      </c>
      <c r="B215" s="3">
        <f t="shared" si="56"/>
        <v>1553301225</v>
      </c>
      <c r="C215">
        <f t="shared" si="53"/>
        <v>3</v>
      </c>
      <c r="D215">
        <f t="shared" si="53"/>
        <v>66</v>
      </c>
      <c r="E215">
        <f t="shared" ca="1" si="46"/>
        <v>-94031.915357142861</v>
      </c>
      <c r="F215">
        <f t="shared" ca="1" si="47"/>
        <v>75468.316250000003</v>
      </c>
      <c r="G215">
        <f t="shared" ca="1" si="50"/>
        <v>10225.314285714287</v>
      </c>
      <c r="H215" s="9">
        <f t="shared" ca="1" si="48"/>
        <v>-231.85878571428475</v>
      </c>
      <c r="I215" s="9">
        <f t="shared" ca="1" si="48"/>
        <v>36.984249999999882</v>
      </c>
      <c r="J215" s="9">
        <f t="shared" ca="1" si="48"/>
        <v>1.4514285714285506</v>
      </c>
      <c r="K215" s="9">
        <f t="shared" ca="1" si="51"/>
        <v>234.78997265847005</v>
      </c>
      <c r="L215" s="9">
        <f t="shared" ca="1" si="52"/>
        <v>-80.936989654112935</v>
      </c>
      <c r="M215">
        <f t="shared" ca="1" si="54"/>
        <v>56.52195436507936</v>
      </c>
      <c r="N215">
        <f t="shared" ca="1" si="55"/>
        <v>31.42859126984127</v>
      </c>
    </row>
    <row r="216" spans="1:14" x14ac:dyDescent="0.25">
      <c r="A216" s="4">
        <f t="shared" si="49"/>
        <v>0.4309027777777758</v>
      </c>
      <c r="B216" s="3">
        <f t="shared" si="56"/>
        <v>1553301230</v>
      </c>
      <c r="C216">
        <f t="shared" si="53"/>
        <v>3</v>
      </c>
      <c r="D216">
        <f t="shared" si="53"/>
        <v>66</v>
      </c>
      <c r="E216">
        <f t="shared" ca="1" si="46"/>
        <v>-95191.209285714285</v>
      </c>
      <c r="F216">
        <f t="shared" ca="1" si="47"/>
        <v>75653.237500000003</v>
      </c>
      <c r="G216">
        <f t="shared" ca="1" si="50"/>
        <v>10232.571428571429</v>
      </c>
      <c r="H216" s="9">
        <f t="shared" ca="1" si="48"/>
        <v>-231.85878571428475</v>
      </c>
      <c r="I216" s="9">
        <f t="shared" ca="1" si="48"/>
        <v>36.984249999999882</v>
      </c>
      <c r="J216" s="9">
        <f t="shared" ca="1" si="48"/>
        <v>1.4514285714285506</v>
      </c>
      <c r="K216" s="9">
        <f t="shared" ca="1" si="51"/>
        <v>234.78997265847005</v>
      </c>
      <c r="L216" s="9">
        <f t="shared" ca="1" si="52"/>
        <v>-80.936989654112935</v>
      </c>
      <c r="M216">
        <f t="shared" ca="1" si="54"/>
        <v>56.523591269841269</v>
      </c>
      <c r="N216">
        <f t="shared" ca="1" si="55"/>
        <v>31.410039682539683</v>
      </c>
    </row>
    <row r="217" spans="1:14" x14ac:dyDescent="0.25">
      <c r="A217" s="4">
        <f t="shared" si="49"/>
        <v>0.43096064814814616</v>
      </c>
      <c r="B217" s="3">
        <f t="shared" si="56"/>
        <v>1553301235</v>
      </c>
      <c r="C217">
        <f t="shared" si="53"/>
        <v>3</v>
      </c>
      <c r="D217">
        <f t="shared" si="53"/>
        <v>66</v>
      </c>
      <c r="E217">
        <f t="shared" ca="1" si="46"/>
        <v>-96350.503214285709</v>
      </c>
      <c r="F217">
        <f t="shared" ca="1" si="47"/>
        <v>75838.158750000002</v>
      </c>
      <c r="G217">
        <f t="shared" ca="1" si="50"/>
        <v>10239.828571428572</v>
      </c>
      <c r="H217" s="9">
        <f t="shared" ca="1" si="48"/>
        <v>-231.85878571428475</v>
      </c>
      <c r="I217" s="9">
        <f t="shared" ca="1" si="48"/>
        <v>36.984249999999882</v>
      </c>
      <c r="J217" s="9">
        <f t="shared" ca="1" si="48"/>
        <v>1.4514285714285506</v>
      </c>
      <c r="K217" s="9">
        <f t="shared" ca="1" si="51"/>
        <v>234.78997265847005</v>
      </c>
      <c r="L217" s="9">
        <f t="shared" ca="1" si="52"/>
        <v>-80.936989654112935</v>
      </c>
      <c r="M217">
        <f t="shared" ca="1" si="54"/>
        <v>56.525228174603171</v>
      </c>
      <c r="N217">
        <f t="shared" ca="1" si="55"/>
        <v>31.391488095238095</v>
      </c>
    </row>
    <row r="218" spans="1:14" x14ac:dyDescent="0.25">
      <c r="A218" s="4">
        <f t="shared" si="49"/>
        <v>0.43101851851851652</v>
      </c>
      <c r="B218" s="3">
        <f t="shared" si="56"/>
        <v>1553301240</v>
      </c>
      <c r="C218">
        <f t="shared" si="53"/>
        <v>3</v>
      </c>
      <c r="D218">
        <f t="shared" si="53"/>
        <v>66</v>
      </c>
      <c r="E218">
        <f t="shared" ca="1" si="46"/>
        <v>-97509.797142857133</v>
      </c>
      <c r="F218">
        <f t="shared" ca="1" si="47"/>
        <v>76023.08</v>
      </c>
      <c r="G218">
        <f t="shared" ca="1" si="50"/>
        <v>10247.085714285715</v>
      </c>
      <c r="H218" s="9">
        <f t="shared" ca="1" si="48"/>
        <v>-231.85878571428475</v>
      </c>
      <c r="I218" s="9">
        <f t="shared" ca="1" si="48"/>
        <v>36.984249999999882</v>
      </c>
      <c r="J218" s="9">
        <f t="shared" ca="1" si="48"/>
        <v>1.4514285714285506</v>
      </c>
      <c r="K218" s="9">
        <f t="shared" ca="1" si="51"/>
        <v>234.78997265847005</v>
      </c>
      <c r="L218" s="9">
        <f t="shared" ca="1" si="52"/>
        <v>-80.936989654112935</v>
      </c>
      <c r="M218">
        <f t="shared" ca="1" si="54"/>
        <v>56.526865079365074</v>
      </c>
      <c r="N218">
        <f t="shared" ca="1" si="55"/>
        <v>31.372936507936508</v>
      </c>
    </row>
    <row r="219" spans="1:14" x14ac:dyDescent="0.25">
      <c r="A219" s="4">
        <f t="shared" si="49"/>
        <v>0.43107638888888689</v>
      </c>
      <c r="B219" s="3">
        <f t="shared" si="56"/>
        <v>1553301245</v>
      </c>
      <c r="C219">
        <f t="shared" si="53"/>
        <v>3</v>
      </c>
      <c r="D219">
        <f t="shared" si="53"/>
        <v>66</v>
      </c>
      <c r="E219">
        <f t="shared" ca="1" si="46"/>
        <v>-98669.091071428556</v>
      </c>
      <c r="F219">
        <f t="shared" ca="1" si="47"/>
        <v>76208.001250000001</v>
      </c>
      <c r="G219">
        <f t="shared" ca="1" si="50"/>
        <v>10254.342857142858</v>
      </c>
      <c r="H219" s="9">
        <f t="shared" ca="1" si="48"/>
        <v>-231.85878571429058</v>
      </c>
      <c r="I219" s="9">
        <f t="shared" ca="1" si="48"/>
        <v>36.984249999999882</v>
      </c>
      <c r="J219" s="9">
        <f t="shared" ca="1" si="48"/>
        <v>1.4514285714285506</v>
      </c>
      <c r="K219" s="9">
        <f t="shared" ca="1" si="51"/>
        <v>234.78997265847579</v>
      </c>
      <c r="L219" s="9">
        <f t="shared" ca="1" si="52"/>
        <v>-80.936989654113162</v>
      </c>
      <c r="M219">
        <f t="shared" ca="1" si="54"/>
        <v>56.528501984126983</v>
      </c>
      <c r="N219">
        <f t="shared" ca="1" si="55"/>
        <v>31.354384920634921</v>
      </c>
    </row>
    <row r="220" spans="1:14" x14ac:dyDescent="0.25">
      <c r="A220" s="4">
        <f t="shared" si="49"/>
        <v>0.43113425925925725</v>
      </c>
      <c r="B220" s="3">
        <f t="shared" si="56"/>
        <v>1553301250</v>
      </c>
      <c r="C220">
        <f t="shared" si="53"/>
        <v>3</v>
      </c>
      <c r="D220">
        <f t="shared" si="53"/>
        <v>66</v>
      </c>
      <c r="E220">
        <f t="shared" ca="1" si="46"/>
        <v>-99828.385000000009</v>
      </c>
      <c r="F220">
        <f t="shared" ca="1" si="47"/>
        <v>76392.922500000001</v>
      </c>
      <c r="G220">
        <f t="shared" ca="1" si="50"/>
        <v>10261.6</v>
      </c>
      <c r="H220" s="9">
        <f t="shared" ca="1" si="48"/>
        <v>-231.85878571428475</v>
      </c>
      <c r="I220" s="9">
        <f t="shared" ca="1" si="48"/>
        <v>36.984249999999882</v>
      </c>
      <c r="J220" s="9">
        <f t="shared" ca="1" si="48"/>
        <v>1.4514285714285506</v>
      </c>
      <c r="K220" s="9">
        <f t="shared" ca="1" si="51"/>
        <v>234.78997265847005</v>
      </c>
      <c r="L220" s="9">
        <f t="shared" ca="1" si="52"/>
        <v>-80.936989654112935</v>
      </c>
      <c r="M220">
        <f t="shared" ca="1" si="54"/>
        <v>56.530138888888885</v>
      </c>
      <c r="N220">
        <f t="shared" ca="1" si="55"/>
        <v>31.335833333333333</v>
      </c>
    </row>
    <row r="221" spans="1:14" x14ac:dyDescent="0.25">
      <c r="A221" s="4">
        <f t="shared" si="49"/>
        <v>0.43119212962962761</v>
      </c>
      <c r="B221" s="3">
        <f t="shared" si="56"/>
        <v>1553301255</v>
      </c>
      <c r="C221">
        <f t="shared" si="53"/>
        <v>3</v>
      </c>
      <c r="D221">
        <f t="shared" si="53"/>
        <v>66</v>
      </c>
      <c r="E221">
        <f t="shared" ca="1" si="46"/>
        <v>-100987.67892857143</v>
      </c>
      <c r="F221">
        <f t="shared" ca="1" si="47"/>
        <v>76577.84375</v>
      </c>
      <c r="G221">
        <f t="shared" ca="1" si="50"/>
        <v>10268.857142857143</v>
      </c>
      <c r="H221" s="9">
        <f t="shared" ca="1" si="48"/>
        <v>-231.85878571428475</v>
      </c>
      <c r="I221" s="9">
        <f t="shared" ca="1" si="48"/>
        <v>36.984250000002795</v>
      </c>
      <c r="J221" s="9">
        <f t="shared" ca="1" si="48"/>
        <v>1.4514285714285506</v>
      </c>
      <c r="K221" s="9">
        <f t="shared" ca="1" si="51"/>
        <v>234.7899726584705</v>
      </c>
      <c r="L221" s="9">
        <f t="shared" ca="1" si="52"/>
        <v>-80.936989654112239</v>
      </c>
      <c r="M221">
        <f t="shared" ca="1" si="54"/>
        <v>56.531775793650787</v>
      </c>
      <c r="N221">
        <f t="shared" ca="1" si="55"/>
        <v>31.317281746031746</v>
      </c>
    </row>
    <row r="222" spans="1:14" x14ac:dyDescent="0.25">
      <c r="A222" s="4">
        <f t="shared" si="49"/>
        <v>0.43124999999999797</v>
      </c>
      <c r="B222" s="3">
        <f t="shared" si="56"/>
        <v>1553301260</v>
      </c>
      <c r="C222">
        <f t="shared" si="53"/>
        <v>3</v>
      </c>
      <c r="D222">
        <f t="shared" si="53"/>
        <v>66</v>
      </c>
      <c r="E222">
        <f t="shared" ca="1" si="46"/>
        <v>-102146.97285714286</v>
      </c>
      <c r="F222">
        <f t="shared" ca="1" si="47"/>
        <v>76762.765000000014</v>
      </c>
      <c r="G222">
        <f t="shared" ca="1" si="50"/>
        <v>10276.114285714286</v>
      </c>
      <c r="H222" s="9">
        <f t="shared" ca="1" si="48"/>
        <v>-231.85878571428475</v>
      </c>
      <c r="I222" s="9">
        <f t="shared" ca="1" si="48"/>
        <v>36.984249999996976</v>
      </c>
      <c r="J222" s="9">
        <f t="shared" ca="1" si="48"/>
        <v>1.4514285714285506</v>
      </c>
      <c r="K222" s="9">
        <f t="shared" ca="1" si="51"/>
        <v>234.78997265846957</v>
      </c>
      <c r="L222" s="9">
        <f t="shared" ca="1" si="52"/>
        <v>-80.936989654113631</v>
      </c>
      <c r="M222">
        <f t="shared" ca="1" si="54"/>
        <v>56.533412698412697</v>
      </c>
      <c r="N222">
        <f t="shared" ca="1" si="55"/>
        <v>31.298730158730159</v>
      </c>
    </row>
    <row r="223" spans="1:14" x14ac:dyDescent="0.25">
      <c r="A223" s="4">
        <f t="shared" si="49"/>
        <v>0.43130787037036833</v>
      </c>
      <c r="B223" s="3">
        <f t="shared" si="56"/>
        <v>1553301265</v>
      </c>
      <c r="C223">
        <f t="shared" si="53"/>
        <v>3</v>
      </c>
      <c r="D223">
        <f t="shared" si="53"/>
        <v>66</v>
      </c>
      <c r="E223">
        <f t="shared" ca="1" si="46"/>
        <v>-103306.26678571428</v>
      </c>
      <c r="F223">
        <f t="shared" ca="1" si="47"/>
        <v>76947.686249999999</v>
      </c>
      <c r="G223">
        <f t="shared" ca="1" si="50"/>
        <v>10283.371428571429</v>
      </c>
      <c r="H223" s="9">
        <f t="shared" ca="1" si="48"/>
        <v>-231.85878571428475</v>
      </c>
      <c r="I223" s="9">
        <f t="shared" ca="1" si="48"/>
        <v>36.984250000002795</v>
      </c>
      <c r="J223" s="9">
        <f t="shared" ca="1" si="48"/>
        <v>1.4514285714289143</v>
      </c>
      <c r="K223" s="9">
        <f t="shared" ca="1" si="51"/>
        <v>234.7899726584705</v>
      </c>
      <c r="L223" s="9">
        <f t="shared" ca="1" si="52"/>
        <v>-80.936989654112239</v>
      </c>
      <c r="M223">
        <f t="shared" ca="1" si="54"/>
        <v>56.535049603174599</v>
      </c>
      <c r="N223">
        <f t="shared" ca="1" si="55"/>
        <v>31.280178571428571</v>
      </c>
    </row>
    <row r="224" spans="1:14" x14ac:dyDescent="0.25">
      <c r="A224" s="4">
        <f t="shared" si="49"/>
        <v>0.43136574074073869</v>
      </c>
      <c r="B224" s="3">
        <f t="shared" si="56"/>
        <v>1553301270</v>
      </c>
      <c r="C224">
        <f t="shared" si="53"/>
        <v>3</v>
      </c>
      <c r="D224">
        <f t="shared" si="53"/>
        <v>66</v>
      </c>
      <c r="E224">
        <f t="shared" ca="1" si="46"/>
        <v>-104465.5607142857</v>
      </c>
      <c r="F224">
        <f t="shared" ca="1" si="47"/>
        <v>77132.607500000013</v>
      </c>
      <c r="G224">
        <f t="shared" ca="1" si="50"/>
        <v>10290.628571428573</v>
      </c>
      <c r="H224" s="9">
        <f t="shared" ca="1" si="48"/>
        <v>-231.85878571428475</v>
      </c>
      <c r="I224" s="9">
        <f t="shared" ca="1" si="48"/>
        <v>36.984249999996976</v>
      </c>
      <c r="J224" s="9">
        <f t="shared" ca="1" si="48"/>
        <v>1.4514285714285506</v>
      </c>
      <c r="K224" s="9">
        <f t="shared" ca="1" si="51"/>
        <v>234.78997265846957</v>
      </c>
      <c r="L224" s="9">
        <f t="shared" ca="1" si="52"/>
        <v>-80.936989654113631</v>
      </c>
      <c r="M224">
        <f t="shared" ca="1" si="54"/>
        <v>56.536686507936501</v>
      </c>
      <c r="N224">
        <f t="shared" ca="1" si="55"/>
        <v>31.261626984126984</v>
      </c>
    </row>
    <row r="225" spans="1:14" x14ac:dyDescent="0.25">
      <c r="A225" s="4">
        <f t="shared" si="49"/>
        <v>0.43142361111110905</v>
      </c>
      <c r="B225" s="3">
        <f t="shared" si="56"/>
        <v>1553301275</v>
      </c>
      <c r="C225">
        <f t="shared" si="53"/>
        <v>3</v>
      </c>
      <c r="D225">
        <f t="shared" si="53"/>
        <v>66</v>
      </c>
      <c r="E225">
        <f t="shared" ca="1" si="46"/>
        <v>-105624.85464285713</v>
      </c>
      <c r="F225">
        <f t="shared" ca="1" si="47"/>
        <v>77317.528749999998</v>
      </c>
      <c r="G225">
        <f t="shared" ca="1" si="50"/>
        <v>10297.885714285716</v>
      </c>
      <c r="H225" s="9">
        <f t="shared" ca="1" si="48"/>
        <v>-231.85878571429058</v>
      </c>
      <c r="I225" s="9">
        <f t="shared" ca="1" si="48"/>
        <v>36.984250000002795</v>
      </c>
      <c r="J225" s="9">
        <f t="shared" ca="1" si="48"/>
        <v>1.4514285714285506</v>
      </c>
      <c r="K225" s="9">
        <f t="shared" ca="1" si="51"/>
        <v>234.78997265847624</v>
      </c>
      <c r="L225" s="9">
        <f t="shared" ca="1" si="52"/>
        <v>-80.936989654112466</v>
      </c>
      <c r="M225">
        <f t="shared" ca="1" si="54"/>
        <v>56.538323412698411</v>
      </c>
      <c r="N225">
        <f t="shared" ca="1" si="55"/>
        <v>31.243075396825397</v>
      </c>
    </row>
    <row r="226" spans="1:14" x14ac:dyDescent="0.25">
      <c r="A226" s="4">
        <f t="shared" si="49"/>
        <v>0.43148148148147941</v>
      </c>
      <c r="B226" s="3">
        <f t="shared" si="56"/>
        <v>1553301280</v>
      </c>
      <c r="C226">
        <f t="shared" si="53"/>
        <v>3</v>
      </c>
      <c r="D226">
        <f t="shared" si="53"/>
        <v>66</v>
      </c>
      <c r="E226">
        <f t="shared" ca="1" si="46"/>
        <v>-106784.14857142858</v>
      </c>
      <c r="F226">
        <f t="shared" ca="1" si="47"/>
        <v>77502.450000000012</v>
      </c>
      <c r="G226">
        <f t="shared" ca="1" si="50"/>
        <v>10305.142857142859</v>
      </c>
      <c r="H226" s="9">
        <f t="shared" ca="1" si="48"/>
        <v>-231.85878571428475</v>
      </c>
      <c r="I226" s="9">
        <f t="shared" ca="1" si="48"/>
        <v>36.984249999996976</v>
      </c>
      <c r="J226" s="9">
        <f t="shared" ca="1" si="48"/>
        <v>1.4514285714285506</v>
      </c>
      <c r="K226" s="9">
        <f t="shared" ca="1" si="51"/>
        <v>234.78997265846957</v>
      </c>
      <c r="L226" s="9">
        <f t="shared" ca="1" si="52"/>
        <v>-80.936989654113631</v>
      </c>
      <c r="M226">
        <f t="shared" ca="1" si="54"/>
        <v>56.539960317460313</v>
      </c>
      <c r="N226">
        <f t="shared" ca="1" si="55"/>
        <v>31.224523809523809</v>
      </c>
    </row>
    <row r="227" spans="1:14" x14ac:dyDescent="0.25">
      <c r="A227" s="4">
        <f t="shared" si="49"/>
        <v>0.43153935185184977</v>
      </c>
      <c r="B227" s="3">
        <f t="shared" si="56"/>
        <v>1553301285</v>
      </c>
      <c r="C227">
        <f t="shared" si="53"/>
        <v>3</v>
      </c>
      <c r="D227">
        <f t="shared" si="53"/>
        <v>66</v>
      </c>
      <c r="E227">
        <f t="shared" ca="1" si="46"/>
        <v>-107943.4425</v>
      </c>
      <c r="F227">
        <f t="shared" ca="1" si="47"/>
        <v>77687.371249999997</v>
      </c>
      <c r="G227">
        <f t="shared" ca="1" si="50"/>
        <v>10312.400000000001</v>
      </c>
      <c r="H227" s="9">
        <f t="shared" ca="1" si="48"/>
        <v>-231.85878571428475</v>
      </c>
      <c r="I227" s="9">
        <f t="shared" ca="1" si="48"/>
        <v>36.984250000002795</v>
      </c>
      <c r="J227" s="9">
        <f t="shared" ca="1" si="48"/>
        <v>1.4514285714285506</v>
      </c>
      <c r="K227" s="9">
        <f t="shared" ca="1" si="51"/>
        <v>234.7899726584705</v>
      </c>
      <c r="L227" s="9">
        <f t="shared" ca="1" si="52"/>
        <v>-80.936989654112239</v>
      </c>
      <c r="M227">
        <f t="shared" ca="1" si="54"/>
        <v>56.541597222222222</v>
      </c>
      <c r="N227">
        <f t="shared" ca="1" si="55"/>
        <v>31.205972222222222</v>
      </c>
    </row>
    <row r="228" spans="1:14" x14ac:dyDescent="0.25">
      <c r="A228" s="4">
        <f t="shared" si="49"/>
        <v>0.43159722222222013</v>
      </c>
      <c r="B228" s="3">
        <f t="shared" si="56"/>
        <v>1553301290</v>
      </c>
      <c r="C228">
        <f t="shared" si="53"/>
        <v>3</v>
      </c>
      <c r="D228">
        <f t="shared" si="53"/>
        <v>66</v>
      </c>
      <c r="E228">
        <f t="shared" ref="E228:E291" ca="1" si="57">INDIRECT("E$"&amp;C228)+INDIRECT("H$"&amp;C228)*($B228-INDIRECT("B$"&amp;D228))</f>
        <v>-109102.73642857143</v>
      </c>
      <c r="F228">
        <f t="shared" ref="F228:F291" ca="1" si="58">INDIRECT("F$"&amp;C228)+INDIRECT("I$"&amp;C228)*($B228-INDIRECT("B$"&amp;D228))</f>
        <v>77872.29250000001</v>
      </c>
      <c r="G228">
        <f t="shared" ca="1" si="50"/>
        <v>10319.657142857144</v>
      </c>
      <c r="H228" s="9">
        <f t="shared" ca="1" si="48"/>
        <v>-231.85878571428475</v>
      </c>
      <c r="I228" s="9">
        <f t="shared" ca="1" si="48"/>
        <v>36.984249999999882</v>
      </c>
      <c r="J228" s="9">
        <f t="shared" ca="1" si="48"/>
        <v>1.4514285714285506</v>
      </c>
      <c r="K228" s="9">
        <f t="shared" ca="1" si="51"/>
        <v>234.78997265847005</v>
      </c>
      <c r="L228" s="9">
        <f t="shared" ca="1" si="52"/>
        <v>-80.936989654112935</v>
      </c>
      <c r="M228">
        <f t="shared" ca="1" si="54"/>
        <v>56.543234126984125</v>
      </c>
      <c r="N228">
        <f t="shared" ca="1" si="55"/>
        <v>31.187420634920635</v>
      </c>
    </row>
    <row r="229" spans="1:14" x14ac:dyDescent="0.25">
      <c r="A229" s="4">
        <f t="shared" si="49"/>
        <v>0.43165509259259049</v>
      </c>
      <c r="B229" s="3">
        <f t="shared" si="56"/>
        <v>1553301295</v>
      </c>
      <c r="C229">
        <f t="shared" si="53"/>
        <v>3</v>
      </c>
      <c r="D229">
        <f t="shared" si="53"/>
        <v>66</v>
      </c>
      <c r="E229">
        <f t="shared" ca="1" si="57"/>
        <v>-110262.03035714285</v>
      </c>
      <c r="F229">
        <f t="shared" ca="1" si="58"/>
        <v>78057.21375000001</v>
      </c>
      <c r="G229">
        <f t="shared" ca="1" si="50"/>
        <v>10326.914285714287</v>
      </c>
      <c r="H229" s="9">
        <f t="shared" ca="1" si="48"/>
        <v>-231.85878571428475</v>
      </c>
      <c r="I229" s="9">
        <f t="shared" ca="1" si="48"/>
        <v>36.984249999999882</v>
      </c>
      <c r="J229" s="9">
        <f t="shared" ca="1" si="48"/>
        <v>1.4514285714285506</v>
      </c>
      <c r="K229" s="9">
        <f t="shared" ca="1" si="51"/>
        <v>234.78997265847005</v>
      </c>
      <c r="L229" s="9">
        <f t="shared" ca="1" si="52"/>
        <v>-80.936989654112935</v>
      </c>
      <c r="M229">
        <f t="shared" ca="1" si="54"/>
        <v>56.544871031746027</v>
      </c>
      <c r="N229">
        <f t="shared" ca="1" si="55"/>
        <v>31.168869047619047</v>
      </c>
    </row>
    <row r="230" spans="1:14" x14ac:dyDescent="0.25">
      <c r="A230" s="4">
        <f t="shared" si="49"/>
        <v>0.43171296296296086</v>
      </c>
      <c r="B230" s="3">
        <f t="shared" si="56"/>
        <v>1553301300</v>
      </c>
      <c r="C230">
        <f t="shared" si="53"/>
        <v>3</v>
      </c>
      <c r="D230">
        <f t="shared" si="53"/>
        <v>66</v>
      </c>
      <c r="E230">
        <f t="shared" ca="1" si="57"/>
        <v>-111421.32428571428</v>
      </c>
      <c r="F230">
        <f t="shared" ca="1" si="58"/>
        <v>78242.135000000009</v>
      </c>
      <c r="G230">
        <f t="shared" ca="1" si="50"/>
        <v>10334.17142857143</v>
      </c>
      <c r="H230" s="9">
        <f t="shared" ca="1" si="48"/>
        <v>-231.85878571428475</v>
      </c>
      <c r="I230" s="9">
        <f t="shared" ca="1" si="48"/>
        <v>36.984249999999882</v>
      </c>
      <c r="J230" s="9">
        <f t="shared" ca="1" si="48"/>
        <v>1.4514285714285506</v>
      </c>
      <c r="K230" s="9">
        <f t="shared" ca="1" si="51"/>
        <v>234.78997265847005</v>
      </c>
      <c r="L230" s="9">
        <f t="shared" ca="1" si="52"/>
        <v>-80.936989654112935</v>
      </c>
      <c r="M230">
        <f t="shared" ca="1" si="54"/>
        <v>56.546507936507936</v>
      </c>
      <c r="N230">
        <f t="shared" ca="1" si="55"/>
        <v>31.15031746031746</v>
      </c>
    </row>
    <row r="231" spans="1:14" x14ac:dyDescent="0.25">
      <c r="A231" s="4">
        <f t="shared" si="49"/>
        <v>0.43177083333333122</v>
      </c>
      <c r="B231" s="3">
        <f t="shared" si="56"/>
        <v>1553301305</v>
      </c>
      <c r="C231">
        <f t="shared" si="53"/>
        <v>3</v>
      </c>
      <c r="D231">
        <f t="shared" si="53"/>
        <v>66</v>
      </c>
      <c r="E231">
        <f t="shared" ca="1" si="57"/>
        <v>-112580.6182142857</v>
      </c>
      <c r="F231">
        <f t="shared" ca="1" si="58"/>
        <v>78427.056250000009</v>
      </c>
      <c r="G231">
        <f t="shared" ca="1" si="50"/>
        <v>10341.428571428572</v>
      </c>
      <c r="H231" s="9">
        <f t="shared" ca="1" si="48"/>
        <v>-231.85878571429058</v>
      </c>
      <c r="I231" s="9">
        <f t="shared" ca="1" si="48"/>
        <v>36.984249999999882</v>
      </c>
      <c r="J231" s="9">
        <f t="shared" ca="1" si="48"/>
        <v>1.4514285714285506</v>
      </c>
      <c r="K231" s="9">
        <f t="shared" ca="1" si="51"/>
        <v>234.78997265847579</v>
      </c>
      <c r="L231" s="9">
        <f t="shared" ca="1" si="52"/>
        <v>-80.936989654113162</v>
      </c>
      <c r="M231">
        <f t="shared" ca="1" si="54"/>
        <v>56.548144841269838</v>
      </c>
      <c r="N231">
        <f t="shared" ca="1" si="55"/>
        <v>31.131765873015873</v>
      </c>
    </row>
    <row r="232" spans="1:14" x14ac:dyDescent="0.25">
      <c r="A232" s="4">
        <f t="shared" si="49"/>
        <v>0.43182870370370158</v>
      </c>
      <c r="B232" s="3">
        <f t="shared" si="56"/>
        <v>1553301310</v>
      </c>
      <c r="C232">
        <f t="shared" si="53"/>
        <v>3</v>
      </c>
      <c r="D232">
        <f t="shared" si="53"/>
        <v>66</v>
      </c>
      <c r="E232">
        <f t="shared" ca="1" si="57"/>
        <v>-113739.91214285715</v>
      </c>
      <c r="F232">
        <f t="shared" ca="1" si="58"/>
        <v>78611.977500000008</v>
      </c>
      <c r="G232">
        <f t="shared" ca="1" si="50"/>
        <v>10348.685714285715</v>
      </c>
      <c r="H232" s="9">
        <f t="shared" ca="1" si="48"/>
        <v>-231.85878571428475</v>
      </c>
      <c r="I232" s="9">
        <f t="shared" ca="1" si="48"/>
        <v>36.984249999999882</v>
      </c>
      <c r="J232" s="9">
        <f t="shared" ca="1" si="48"/>
        <v>1.4514285714285506</v>
      </c>
      <c r="K232" s="9">
        <f t="shared" ca="1" si="51"/>
        <v>234.78997265847005</v>
      </c>
      <c r="L232" s="9">
        <f t="shared" ca="1" si="52"/>
        <v>-80.936989654112935</v>
      </c>
      <c r="M232">
        <f t="shared" ca="1" si="54"/>
        <v>56.549781746031741</v>
      </c>
      <c r="N232">
        <f t="shared" ca="1" si="55"/>
        <v>31.113214285714285</v>
      </c>
    </row>
    <row r="233" spans="1:14" x14ac:dyDescent="0.25">
      <c r="A233" s="4">
        <f t="shared" si="49"/>
        <v>0.43188657407407194</v>
      </c>
      <c r="B233" s="3">
        <f t="shared" si="56"/>
        <v>1553301315</v>
      </c>
      <c r="C233">
        <f t="shared" si="53"/>
        <v>3</v>
      </c>
      <c r="D233">
        <f t="shared" si="53"/>
        <v>66</v>
      </c>
      <c r="E233">
        <f t="shared" ca="1" si="57"/>
        <v>-114899.20607142858</v>
      </c>
      <c r="F233">
        <f t="shared" ca="1" si="58"/>
        <v>78796.898750000008</v>
      </c>
      <c r="G233">
        <f t="shared" ca="1" si="50"/>
        <v>10355.942857142858</v>
      </c>
      <c r="H233" s="9">
        <f t="shared" ca="1" si="48"/>
        <v>-231.85878571428475</v>
      </c>
      <c r="I233" s="9">
        <f t="shared" ca="1" si="48"/>
        <v>36.984249999999882</v>
      </c>
      <c r="J233" s="9">
        <f t="shared" ca="1" si="48"/>
        <v>1.4514285714285506</v>
      </c>
      <c r="K233" s="9">
        <f t="shared" ca="1" si="51"/>
        <v>234.78997265847005</v>
      </c>
      <c r="L233" s="9">
        <f t="shared" ca="1" si="52"/>
        <v>-80.936989654112935</v>
      </c>
      <c r="M233">
        <f t="shared" ca="1" si="54"/>
        <v>56.55141865079365</v>
      </c>
      <c r="N233">
        <f t="shared" ca="1" si="55"/>
        <v>31.094662698412698</v>
      </c>
    </row>
    <row r="234" spans="1:14" x14ac:dyDescent="0.25">
      <c r="A234" s="4">
        <f t="shared" si="49"/>
        <v>0.4319444444444423</v>
      </c>
      <c r="B234" s="3">
        <f t="shared" si="56"/>
        <v>1553301320</v>
      </c>
      <c r="C234">
        <f t="shared" si="53"/>
        <v>3</v>
      </c>
      <c r="D234">
        <f t="shared" si="53"/>
        <v>66</v>
      </c>
      <c r="E234">
        <f t="shared" ca="1" si="57"/>
        <v>-116058.5</v>
      </c>
      <c r="F234">
        <f t="shared" ca="1" si="58"/>
        <v>78981.820000000007</v>
      </c>
      <c r="G234">
        <f t="shared" ca="1" si="50"/>
        <v>10363.200000000001</v>
      </c>
      <c r="H234" s="9">
        <f t="shared" ca="1" si="48"/>
        <v>-231.85878571428475</v>
      </c>
      <c r="I234" s="9">
        <f t="shared" ca="1" si="48"/>
        <v>36.984249999999882</v>
      </c>
      <c r="J234" s="9">
        <f t="shared" ca="1" si="48"/>
        <v>1.4514285714285506</v>
      </c>
      <c r="K234" s="9">
        <f t="shared" ca="1" si="51"/>
        <v>234.78997265847005</v>
      </c>
      <c r="L234" s="9">
        <f t="shared" ca="1" si="52"/>
        <v>-80.936989654112935</v>
      </c>
      <c r="M234">
        <f t="shared" ca="1" si="54"/>
        <v>56.553055555555552</v>
      </c>
      <c r="N234">
        <f t="shared" ca="1" si="55"/>
        <v>31.076111111111111</v>
      </c>
    </row>
    <row r="235" spans="1:14" x14ac:dyDescent="0.25">
      <c r="A235" s="4">
        <f t="shared" si="49"/>
        <v>0.43200231481481266</v>
      </c>
      <c r="B235" s="3">
        <f t="shared" si="56"/>
        <v>1553301325</v>
      </c>
      <c r="C235">
        <f t="shared" si="53"/>
        <v>3</v>
      </c>
      <c r="D235">
        <f t="shared" si="53"/>
        <v>66</v>
      </c>
      <c r="E235">
        <f t="shared" ca="1" si="57"/>
        <v>-117217.79392857142</v>
      </c>
      <c r="F235">
        <f t="shared" ca="1" si="58"/>
        <v>79166.741250000006</v>
      </c>
      <c r="G235">
        <f t="shared" ca="1" si="50"/>
        <v>10370.457142857143</v>
      </c>
      <c r="H235" s="9">
        <f t="shared" ca="1" si="48"/>
        <v>-231.85878571428475</v>
      </c>
      <c r="I235" s="9">
        <f t="shared" ca="1" si="48"/>
        <v>36.984249999999882</v>
      </c>
      <c r="J235" s="9">
        <f t="shared" ca="1" si="48"/>
        <v>1.4514285714285506</v>
      </c>
      <c r="K235" s="9">
        <f t="shared" ca="1" si="51"/>
        <v>234.78997265847005</v>
      </c>
      <c r="L235" s="9">
        <f t="shared" ca="1" si="52"/>
        <v>-80.936989654112935</v>
      </c>
      <c r="M235">
        <f t="shared" ca="1" si="54"/>
        <v>56.554692460317455</v>
      </c>
      <c r="N235">
        <f t="shared" ca="1" si="55"/>
        <v>31.057559523809523</v>
      </c>
    </row>
    <row r="236" spans="1:14" x14ac:dyDescent="0.25">
      <c r="A236" s="4">
        <f t="shared" si="49"/>
        <v>0.43206018518518302</v>
      </c>
      <c r="B236" s="3">
        <f t="shared" si="56"/>
        <v>1553301330</v>
      </c>
      <c r="C236">
        <f t="shared" si="53"/>
        <v>3</v>
      </c>
      <c r="D236">
        <f t="shared" si="53"/>
        <v>66</v>
      </c>
      <c r="E236">
        <f t="shared" ca="1" si="57"/>
        <v>-118377.08785714285</v>
      </c>
      <c r="F236">
        <f t="shared" ca="1" si="58"/>
        <v>79351.662500000006</v>
      </c>
      <c r="G236">
        <f t="shared" ca="1" si="50"/>
        <v>10377.714285714286</v>
      </c>
      <c r="H236" s="9">
        <f t="shared" ca="1" si="48"/>
        <v>-231.85878571428475</v>
      </c>
      <c r="I236" s="9">
        <f t="shared" ca="1" si="48"/>
        <v>36.984249999999882</v>
      </c>
      <c r="J236" s="9">
        <f t="shared" ca="1" si="48"/>
        <v>1.4514285714285506</v>
      </c>
      <c r="K236" s="9">
        <f t="shared" ca="1" si="51"/>
        <v>234.78997265847005</v>
      </c>
      <c r="L236" s="9">
        <f t="shared" ca="1" si="52"/>
        <v>-80.936989654112935</v>
      </c>
      <c r="M236">
        <f t="shared" ca="1" si="54"/>
        <v>56.556329365079364</v>
      </c>
      <c r="N236">
        <f t="shared" ca="1" si="55"/>
        <v>31.039007936507936</v>
      </c>
    </row>
    <row r="237" spans="1:14" x14ac:dyDescent="0.25">
      <c r="A237" s="4">
        <f t="shared" si="49"/>
        <v>0.43211805555555338</v>
      </c>
      <c r="B237" s="3">
        <f t="shared" si="56"/>
        <v>1553301335</v>
      </c>
      <c r="C237">
        <f t="shared" si="53"/>
        <v>3</v>
      </c>
      <c r="D237">
        <f t="shared" si="53"/>
        <v>66</v>
      </c>
      <c r="E237">
        <f t="shared" ca="1" si="57"/>
        <v>-119536.38178571427</v>
      </c>
      <c r="F237">
        <f t="shared" ca="1" si="58"/>
        <v>79536.583750000005</v>
      </c>
      <c r="G237">
        <f t="shared" ca="1" si="50"/>
        <v>10384.971428571429</v>
      </c>
      <c r="H237" s="9">
        <f t="shared" ca="1" si="48"/>
        <v>-231.85878571429058</v>
      </c>
      <c r="I237" s="9">
        <f t="shared" ca="1" si="48"/>
        <v>36.984249999999882</v>
      </c>
      <c r="J237" s="9">
        <f t="shared" ca="1" si="48"/>
        <v>1.4514285714285506</v>
      </c>
      <c r="K237" s="9">
        <f t="shared" ca="1" si="51"/>
        <v>234.78997265847579</v>
      </c>
      <c r="L237" s="9">
        <f t="shared" ca="1" si="52"/>
        <v>-80.936989654113162</v>
      </c>
      <c r="M237">
        <f t="shared" ca="1" si="54"/>
        <v>56.557966269841266</v>
      </c>
      <c r="N237">
        <f t="shared" ca="1" si="55"/>
        <v>31.020456349206349</v>
      </c>
    </row>
    <row r="238" spans="1:14" x14ac:dyDescent="0.25">
      <c r="A238" s="4">
        <f t="shared" si="49"/>
        <v>0.43217592592592374</v>
      </c>
      <c r="B238" s="3">
        <f t="shared" si="56"/>
        <v>1553301340</v>
      </c>
      <c r="C238">
        <f t="shared" si="53"/>
        <v>3</v>
      </c>
      <c r="D238">
        <f t="shared" si="53"/>
        <v>66</v>
      </c>
      <c r="E238">
        <f t="shared" ca="1" si="57"/>
        <v>-120695.67571428572</v>
      </c>
      <c r="F238">
        <f t="shared" ca="1" si="58"/>
        <v>79721.505000000005</v>
      </c>
      <c r="G238">
        <f t="shared" ca="1" si="50"/>
        <v>10392.228571428572</v>
      </c>
      <c r="H238" s="9">
        <f t="shared" ca="1" si="48"/>
        <v>-231.85878571428475</v>
      </c>
      <c r="I238" s="9">
        <f t="shared" ca="1" si="48"/>
        <v>36.984249999999882</v>
      </c>
      <c r="J238" s="9">
        <f t="shared" ca="1" si="48"/>
        <v>1.4514285714285506</v>
      </c>
      <c r="K238" s="9">
        <f t="shared" ca="1" si="51"/>
        <v>234.78997265847005</v>
      </c>
      <c r="L238" s="9">
        <f t="shared" ca="1" si="52"/>
        <v>-80.936989654112935</v>
      </c>
      <c r="M238">
        <f t="shared" ca="1" si="54"/>
        <v>56.559603174603168</v>
      </c>
      <c r="N238">
        <f t="shared" ca="1" si="55"/>
        <v>31.001904761904761</v>
      </c>
    </row>
    <row r="239" spans="1:14" x14ac:dyDescent="0.25">
      <c r="A239" s="4">
        <f t="shared" si="49"/>
        <v>0.4322337962962941</v>
      </c>
      <c r="B239" s="3">
        <f t="shared" si="56"/>
        <v>1553301345</v>
      </c>
      <c r="C239">
        <f t="shared" si="53"/>
        <v>3</v>
      </c>
      <c r="D239">
        <f t="shared" si="53"/>
        <v>66</v>
      </c>
      <c r="E239">
        <f t="shared" ca="1" si="57"/>
        <v>-121854.96964285715</v>
      </c>
      <c r="F239">
        <f t="shared" ca="1" si="58"/>
        <v>79906.426250000004</v>
      </c>
      <c r="G239">
        <f t="shared" ca="1" si="50"/>
        <v>10399.485714285714</v>
      </c>
      <c r="H239" s="9">
        <f t="shared" ca="1" si="48"/>
        <v>-231.85878571428475</v>
      </c>
      <c r="I239" s="9">
        <f t="shared" ca="1" si="48"/>
        <v>36.984249999999882</v>
      </c>
      <c r="J239" s="9">
        <f t="shared" ca="1" si="48"/>
        <v>1.4514285714285506</v>
      </c>
      <c r="K239" s="9">
        <f t="shared" ca="1" si="51"/>
        <v>234.78997265847005</v>
      </c>
      <c r="L239" s="9">
        <f t="shared" ca="1" si="52"/>
        <v>-80.936989654112935</v>
      </c>
      <c r="M239">
        <f t="shared" ca="1" si="54"/>
        <v>56.561240079365078</v>
      </c>
      <c r="N239">
        <f t="shared" ca="1" si="55"/>
        <v>30.983353174603174</v>
      </c>
    </row>
    <row r="240" spans="1:14" x14ac:dyDescent="0.25">
      <c r="A240" s="4">
        <f t="shared" si="49"/>
        <v>0.43229166666666446</v>
      </c>
      <c r="B240" s="3">
        <f t="shared" si="56"/>
        <v>1553301350</v>
      </c>
      <c r="C240">
        <f t="shared" si="53"/>
        <v>3</v>
      </c>
      <c r="D240">
        <f t="shared" si="53"/>
        <v>66</v>
      </c>
      <c r="E240">
        <f t="shared" ca="1" si="57"/>
        <v>-123014.26357142857</v>
      </c>
      <c r="F240">
        <f t="shared" ca="1" si="58"/>
        <v>80091.347500000003</v>
      </c>
      <c r="G240">
        <f t="shared" ca="1" si="50"/>
        <v>10406.742857142857</v>
      </c>
      <c r="H240" s="9">
        <f t="shared" ca="1" si="48"/>
        <v>-231.85878571428475</v>
      </c>
      <c r="I240" s="9">
        <f t="shared" ca="1" si="48"/>
        <v>36.984249999999882</v>
      </c>
      <c r="J240" s="9">
        <f t="shared" ca="1" si="48"/>
        <v>1.4514285714285506</v>
      </c>
      <c r="K240" s="9">
        <f t="shared" ca="1" si="51"/>
        <v>234.78997265847005</v>
      </c>
      <c r="L240" s="9">
        <f t="shared" ca="1" si="52"/>
        <v>-80.936989654112935</v>
      </c>
      <c r="M240">
        <f t="shared" ca="1" si="54"/>
        <v>56.56287698412698</v>
      </c>
      <c r="N240">
        <f t="shared" ca="1" si="55"/>
        <v>30.964801587301586</v>
      </c>
    </row>
    <row r="241" spans="1:14" x14ac:dyDescent="0.25">
      <c r="A241" s="4">
        <f t="shared" si="49"/>
        <v>0.43234953703703483</v>
      </c>
      <c r="B241" s="3">
        <f t="shared" si="56"/>
        <v>1553301355</v>
      </c>
      <c r="C241">
        <f t="shared" si="53"/>
        <v>3</v>
      </c>
      <c r="D241">
        <f t="shared" si="53"/>
        <v>66</v>
      </c>
      <c r="E241">
        <f t="shared" ca="1" si="57"/>
        <v>-124173.5575</v>
      </c>
      <c r="F241">
        <f t="shared" ca="1" si="58"/>
        <v>80276.268750000003</v>
      </c>
      <c r="G241">
        <f t="shared" ca="1" si="50"/>
        <v>10414</v>
      </c>
      <c r="H241" s="9">
        <f t="shared" ca="1" si="48"/>
        <v>-231.85878571428475</v>
      </c>
      <c r="I241" s="9">
        <f t="shared" ca="1" si="48"/>
        <v>36.984249999999882</v>
      </c>
      <c r="J241" s="9">
        <f t="shared" ca="1" si="48"/>
        <v>1.4514285714285506</v>
      </c>
      <c r="K241" s="9">
        <f t="shared" ca="1" si="51"/>
        <v>234.78997265847005</v>
      </c>
      <c r="L241" s="9">
        <f t="shared" ca="1" si="52"/>
        <v>-80.936989654112935</v>
      </c>
      <c r="M241">
        <f t="shared" ca="1" si="54"/>
        <v>56.564513888888882</v>
      </c>
      <c r="N241">
        <f t="shared" ca="1" si="55"/>
        <v>30.946249999999999</v>
      </c>
    </row>
    <row r="242" spans="1:14" x14ac:dyDescent="0.25">
      <c r="A242" s="4">
        <f t="shared" si="49"/>
        <v>0.43240740740740519</v>
      </c>
      <c r="B242" s="3">
        <f t="shared" si="56"/>
        <v>1553301360</v>
      </c>
      <c r="C242">
        <f t="shared" si="53"/>
        <v>3</v>
      </c>
      <c r="D242">
        <f t="shared" si="53"/>
        <v>66</v>
      </c>
      <c r="E242">
        <f t="shared" ca="1" si="57"/>
        <v>-125332.85142857142</v>
      </c>
      <c r="F242">
        <f t="shared" ca="1" si="58"/>
        <v>80461.19</v>
      </c>
      <c r="G242">
        <f t="shared" ca="1" si="50"/>
        <v>10421.257142857143</v>
      </c>
      <c r="H242" s="9">
        <f t="shared" ca="1" si="48"/>
        <v>-231.85878571428475</v>
      </c>
      <c r="I242" s="9">
        <f t="shared" ca="1" si="48"/>
        <v>36.984249999999882</v>
      </c>
      <c r="J242" s="9">
        <f t="shared" ca="1" si="48"/>
        <v>1.4514285714289143</v>
      </c>
      <c r="K242" s="9">
        <f t="shared" ca="1" si="51"/>
        <v>234.78997265847005</v>
      </c>
      <c r="L242" s="9">
        <f t="shared" ca="1" si="52"/>
        <v>-80.936989654112935</v>
      </c>
      <c r="M242">
        <f t="shared" ca="1" si="54"/>
        <v>56.566150793650792</v>
      </c>
      <c r="N242">
        <f t="shared" ca="1" si="55"/>
        <v>30.927698412698412</v>
      </c>
    </row>
    <row r="243" spans="1:14" x14ac:dyDescent="0.25">
      <c r="A243" s="4">
        <f t="shared" si="49"/>
        <v>0.43246527777777555</v>
      </c>
      <c r="B243" s="3">
        <f t="shared" si="56"/>
        <v>1553301365</v>
      </c>
      <c r="C243">
        <f t="shared" si="53"/>
        <v>3</v>
      </c>
      <c r="D243">
        <f t="shared" si="53"/>
        <v>66</v>
      </c>
      <c r="E243">
        <f t="shared" ca="1" si="57"/>
        <v>-126492.14535714284</v>
      </c>
      <c r="F243">
        <f t="shared" ca="1" si="58"/>
        <v>80646.111250000002</v>
      </c>
      <c r="G243">
        <f t="shared" ca="1" si="50"/>
        <v>10428.514285714287</v>
      </c>
      <c r="H243" s="9">
        <f t="shared" ca="1" si="48"/>
        <v>-231.85878571429058</v>
      </c>
      <c r="I243" s="9">
        <f t="shared" ca="1" si="48"/>
        <v>36.984249999999882</v>
      </c>
      <c r="J243" s="9">
        <f t="shared" ca="1" si="48"/>
        <v>1.4514285714285506</v>
      </c>
      <c r="K243" s="9">
        <f t="shared" ca="1" si="51"/>
        <v>234.78997265847579</v>
      </c>
      <c r="L243" s="9">
        <f t="shared" ca="1" si="52"/>
        <v>-80.936989654113162</v>
      </c>
      <c r="M243">
        <f t="shared" ca="1" si="54"/>
        <v>56.567787698412694</v>
      </c>
      <c r="N243">
        <f t="shared" ca="1" si="55"/>
        <v>30.909146825396824</v>
      </c>
    </row>
    <row r="244" spans="1:14" x14ac:dyDescent="0.25">
      <c r="A244" s="4">
        <f t="shared" si="49"/>
        <v>0.43252314814814591</v>
      </c>
      <c r="B244" s="3">
        <f t="shared" si="56"/>
        <v>1553301370</v>
      </c>
      <c r="C244">
        <f t="shared" si="53"/>
        <v>3</v>
      </c>
      <c r="D244">
        <f t="shared" si="53"/>
        <v>66</v>
      </c>
      <c r="E244">
        <f t="shared" ca="1" si="57"/>
        <v>-127651.4392857143</v>
      </c>
      <c r="F244">
        <f t="shared" ca="1" si="58"/>
        <v>80831.032500000001</v>
      </c>
      <c r="G244">
        <f t="shared" ca="1" si="50"/>
        <v>10435.77142857143</v>
      </c>
      <c r="H244" s="9">
        <f t="shared" ca="1" si="48"/>
        <v>-231.85878571428475</v>
      </c>
      <c r="I244" s="9">
        <f t="shared" ca="1" si="48"/>
        <v>36.984250000002795</v>
      </c>
      <c r="J244" s="9">
        <f t="shared" ca="1" si="48"/>
        <v>1.4514285714285506</v>
      </c>
      <c r="K244" s="9">
        <f t="shared" ca="1" si="51"/>
        <v>234.7899726584705</v>
      </c>
      <c r="L244" s="9">
        <f t="shared" ca="1" si="52"/>
        <v>-80.936989654112239</v>
      </c>
      <c r="M244">
        <f t="shared" ca="1" si="54"/>
        <v>56.569424603174603</v>
      </c>
      <c r="N244">
        <f t="shared" ca="1" si="55"/>
        <v>30.890595238095237</v>
      </c>
    </row>
    <row r="245" spans="1:14" x14ac:dyDescent="0.25">
      <c r="A245" s="4">
        <f t="shared" si="49"/>
        <v>0.43258101851851627</v>
      </c>
      <c r="B245" s="3">
        <f t="shared" si="56"/>
        <v>1553301375</v>
      </c>
      <c r="C245">
        <f t="shared" si="53"/>
        <v>3</v>
      </c>
      <c r="D245">
        <f t="shared" si="53"/>
        <v>66</v>
      </c>
      <c r="E245">
        <f t="shared" ca="1" si="57"/>
        <v>-128810.73321428572</v>
      </c>
      <c r="F245">
        <f t="shared" ca="1" si="58"/>
        <v>81015.953750000015</v>
      </c>
      <c r="G245">
        <f t="shared" ca="1" si="50"/>
        <v>10443.028571428573</v>
      </c>
      <c r="H245" s="9">
        <f t="shared" ca="1" si="48"/>
        <v>-231.85878571428475</v>
      </c>
      <c r="I245" s="9">
        <f t="shared" ca="1" si="48"/>
        <v>36.984249999996976</v>
      </c>
      <c r="J245" s="9">
        <f t="shared" ca="1" si="48"/>
        <v>1.4514285714285506</v>
      </c>
      <c r="K245" s="9">
        <f t="shared" ca="1" si="51"/>
        <v>234.78997265846957</v>
      </c>
      <c r="L245" s="9">
        <f t="shared" ca="1" si="52"/>
        <v>-80.936989654113631</v>
      </c>
      <c r="M245">
        <f t="shared" ca="1" si="54"/>
        <v>56.571061507936506</v>
      </c>
      <c r="N245">
        <f t="shared" ca="1" si="55"/>
        <v>30.87204365079365</v>
      </c>
    </row>
    <row r="246" spans="1:14" x14ac:dyDescent="0.25">
      <c r="A246" s="5">
        <f t="shared" si="49"/>
        <v>0.43263888888888663</v>
      </c>
      <c r="B246" s="3">
        <f t="shared" si="56"/>
        <v>1553301380</v>
      </c>
      <c r="C246">
        <f t="shared" si="53"/>
        <v>3</v>
      </c>
      <c r="D246">
        <f t="shared" si="53"/>
        <v>66</v>
      </c>
      <c r="E246">
        <f t="shared" ca="1" si="57"/>
        <v>-129970.02714285714</v>
      </c>
      <c r="F246">
        <f t="shared" ca="1" si="58"/>
        <v>81200.875</v>
      </c>
      <c r="G246">
        <f t="shared" ca="1" si="50"/>
        <v>10450.285714285716</v>
      </c>
      <c r="H246" s="9">
        <f t="shared" ca="1" si="48"/>
        <v>-231.85878571428475</v>
      </c>
      <c r="I246" s="9">
        <f t="shared" ca="1" si="48"/>
        <v>36.984250000002795</v>
      </c>
      <c r="J246" s="9">
        <f t="shared" ca="1" si="48"/>
        <v>1.4514285714285506</v>
      </c>
      <c r="K246" s="9">
        <f t="shared" ca="1" si="51"/>
        <v>234.7899726584705</v>
      </c>
      <c r="L246" s="9">
        <f t="shared" ca="1" si="52"/>
        <v>-80.936989654112239</v>
      </c>
      <c r="M246">
        <f t="shared" ca="1" si="54"/>
        <v>56.572698412698408</v>
      </c>
      <c r="N246">
        <f t="shared" ca="1" si="55"/>
        <v>30.853492063492062</v>
      </c>
    </row>
    <row r="247" spans="1:14" x14ac:dyDescent="0.25">
      <c r="A247" s="4">
        <f t="shared" si="49"/>
        <v>0.43269675925925699</v>
      </c>
      <c r="B247" s="3">
        <f t="shared" si="56"/>
        <v>1553301385</v>
      </c>
      <c r="C247">
        <f t="shared" si="53"/>
        <v>3</v>
      </c>
      <c r="D247">
        <f t="shared" si="53"/>
        <v>66</v>
      </c>
      <c r="E247">
        <f t="shared" ca="1" si="57"/>
        <v>-131129.32107142857</v>
      </c>
      <c r="F247">
        <f t="shared" ca="1" si="58"/>
        <v>81385.796250000014</v>
      </c>
      <c r="G247">
        <f t="shared" ca="1" si="50"/>
        <v>10457.542857142858</v>
      </c>
      <c r="H247" s="9">
        <f t="shared" ref="H247:J261" ca="1" si="59">(E248-E247)/($B248-$B247)</f>
        <v>-8.4419754168588845E-5</v>
      </c>
      <c r="I247" s="9">
        <f t="shared" ca="1" si="59"/>
        <v>5.2395367078102495E-5</v>
      </c>
      <c r="J247" s="9">
        <f t="shared" ca="1" si="59"/>
        <v>6.7324621983407671E-6</v>
      </c>
      <c r="K247" s="9">
        <f t="shared" ca="1" si="51"/>
        <v>9.935778472336267E-5</v>
      </c>
      <c r="L247" s="9">
        <f t="shared" ca="1" si="52"/>
        <v>-58.174072785293482</v>
      </c>
      <c r="M247">
        <f t="shared" ca="1" si="54"/>
        <v>56.574335317460317</v>
      </c>
      <c r="N247">
        <f t="shared" ca="1" si="55"/>
        <v>30.834940476190475</v>
      </c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Beacons</vt:lpstr>
      <vt:lpstr>Params</vt:lpstr>
      <vt:lpstr>FIN123</vt:lpstr>
      <vt:lpstr>AFR01</vt:lpstr>
      <vt:lpstr>GZP155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dcterms:created xsi:type="dcterms:W3CDTF">2019-03-15T12:04:58Z</dcterms:created>
  <dcterms:modified xsi:type="dcterms:W3CDTF">2019-04-16T18:01:10Z</dcterms:modified>
</cp:coreProperties>
</file>