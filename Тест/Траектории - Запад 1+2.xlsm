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/>
  </bookViews>
  <sheets>
    <sheet name="Beacons" sheetId="1" r:id="rId1"/>
    <sheet name="Params" sheetId="11" r:id="rId2"/>
    <sheet name="GLP101" sheetId="2" r:id="rId3"/>
    <sheet name="GLP101 (2)" sheetId="12" r:id="rId4"/>
    <sheet name="KIL002" sheetId="3" r:id="rId5"/>
    <sheet name="GLP001" sheetId="5" r:id="rId6"/>
    <sheet name="GLP111" sheetId="4" r:id="rId7"/>
    <sheet name="KIL003" sheetId="6" r:id="rId8"/>
    <sheet name="GLP007" sheetId="7" r:id="rId9"/>
    <sheet name="GLP102" sheetId="8" r:id="rId10"/>
    <sheet name="GLP113" sheetId="9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18" i="1"/>
  <c r="L19" i="1"/>
  <c r="L18" i="1"/>
  <c r="I75" i="1"/>
  <c r="J74" i="1" s="1"/>
  <c r="G75" i="1"/>
  <c r="L75" i="1" s="1"/>
  <c r="I74" i="1"/>
  <c r="G74" i="1"/>
  <c r="L74" i="1" s="1"/>
  <c r="I71" i="1"/>
  <c r="I72" i="1"/>
  <c r="J71" i="1" s="1"/>
  <c r="G72" i="1"/>
  <c r="L72" i="1" s="1"/>
  <c r="G71" i="1"/>
  <c r="L71" i="1" s="1"/>
  <c r="I69" i="1"/>
  <c r="J68" i="1" s="1"/>
  <c r="G69" i="1"/>
  <c r="L69" i="1" s="1"/>
  <c r="I68" i="1"/>
  <c r="G68" i="1"/>
  <c r="L68" i="1" s="1"/>
  <c r="I66" i="1"/>
  <c r="J65" i="1" s="1"/>
  <c r="G66" i="1"/>
  <c r="L66" i="1" s="1"/>
  <c r="I65" i="1"/>
  <c r="G65" i="1"/>
  <c r="L65" i="1" s="1"/>
  <c r="I63" i="1"/>
  <c r="J62" i="1" s="1"/>
  <c r="G63" i="1"/>
  <c r="F62" i="1" s="1"/>
  <c r="I62" i="1"/>
  <c r="G62" i="1"/>
  <c r="L62" i="1" s="1"/>
  <c r="I60" i="1"/>
  <c r="J59" i="1" s="1"/>
  <c r="G60" i="1"/>
  <c r="L60" i="1" s="1"/>
  <c r="I59" i="1"/>
  <c r="G59" i="1"/>
  <c r="L59" i="1" s="1"/>
  <c r="I57" i="1"/>
  <c r="J56" i="1" s="1"/>
  <c r="G57" i="1"/>
  <c r="L57" i="1" s="1"/>
  <c r="I56" i="1"/>
  <c r="G56" i="1"/>
  <c r="L56" i="1" s="1"/>
  <c r="I54" i="1"/>
  <c r="J53" i="1" s="1"/>
  <c r="G54" i="1"/>
  <c r="L54" i="1" s="1"/>
  <c r="I53" i="1"/>
  <c r="G53" i="1"/>
  <c r="L53" i="1" s="1"/>
  <c r="I51" i="1"/>
  <c r="J50" i="1" s="1"/>
  <c r="G51" i="1"/>
  <c r="L51" i="1" s="1"/>
  <c r="I50" i="1"/>
  <c r="G50" i="1"/>
  <c r="L50" i="1" s="1"/>
  <c r="I48" i="1"/>
  <c r="J47" i="1" s="1"/>
  <c r="G48" i="1"/>
  <c r="F47" i="1" s="1"/>
  <c r="I47" i="1"/>
  <c r="G47" i="1"/>
  <c r="L47" i="1" s="1"/>
  <c r="I45" i="1"/>
  <c r="J44" i="1" s="1"/>
  <c r="G45" i="1"/>
  <c r="F44" i="1" s="1"/>
  <c r="I44" i="1"/>
  <c r="G44" i="1"/>
  <c r="L44" i="1" s="1"/>
  <c r="L48" i="1" l="1"/>
  <c r="F53" i="1"/>
  <c r="F74" i="1"/>
  <c r="F71" i="1"/>
  <c r="F68" i="1"/>
  <c r="F65" i="1"/>
  <c r="L63" i="1"/>
  <c r="F59" i="1"/>
  <c r="F56" i="1"/>
  <c r="F50" i="1"/>
  <c r="L45" i="1"/>
  <c r="I42" i="1"/>
  <c r="I41" i="1"/>
  <c r="I39" i="1"/>
  <c r="I38" i="1"/>
  <c r="I36" i="1"/>
  <c r="I35" i="1"/>
  <c r="I33" i="1"/>
  <c r="I32" i="1"/>
  <c r="I30" i="1"/>
  <c r="I29" i="1"/>
  <c r="I27" i="1"/>
  <c r="I26" i="1"/>
  <c r="I23" i="1"/>
  <c r="J22" i="1" s="1"/>
  <c r="I22" i="1"/>
  <c r="G7" i="1"/>
  <c r="G8" i="1"/>
  <c r="O95" i="5"/>
  <c r="O94" i="5"/>
  <c r="O93" i="5"/>
  <c r="O92" i="5"/>
  <c r="O91" i="5"/>
  <c r="O59" i="5" l="1"/>
  <c r="O58" i="5"/>
  <c r="O57" i="5"/>
  <c r="O56" i="5"/>
  <c r="O55" i="5"/>
  <c r="O35" i="5"/>
  <c r="O34" i="5"/>
  <c r="O33" i="5"/>
  <c r="O32" i="5"/>
  <c r="O31" i="5"/>
  <c r="A152" i="5"/>
  <c r="B152" i="5"/>
  <c r="A153" i="5"/>
  <c r="A9" i="5"/>
  <c r="A10" i="5" s="1"/>
  <c r="A11" i="5" s="1"/>
  <c r="A12" i="5" s="1"/>
  <c r="E5" i="5"/>
  <c r="N5" i="5"/>
  <c r="F5" i="5"/>
  <c r="M5" i="5"/>
  <c r="B153" i="5" l="1"/>
  <c r="B9" i="5"/>
  <c r="B10" i="5" s="1"/>
  <c r="A13" i="5"/>
  <c r="A14" i="5" s="1"/>
  <c r="A15" i="5" s="1"/>
  <c r="A16" i="5" s="1"/>
  <c r="A17" i="5" s="1"/>
  <c r="A18" i="5" s="1"/>
  <c r="A19" i="5" s="1"/>
  <c r="A20" i="5" s="1"/>
  <c r="A21" i="5" s="1"/>
  <c r="M3" i="5"/>
  <c r="F3" i="5"/>
  <c r="E3" i="5"/>
  <c r="E2" i="5"/>
  <c r="N3" i="5"/>
  <c r="E4" i="5"/>
  <c r="H3" i="5" l="1"/>
  <c r="H4" i="5"/>
  <c r="A22" i="5"/>
  <c r="A23" i="5" s="1"/>
  <c r="A24" i="5" s="1"/>
  <c r="A25" i="5" s="1"/>
  <c r="A26" i="5" s="1"/>
  <c r="A27" i="5" s="1"/>
  <c r="A28" i="5" s="1"/>
  <c r="A29" i="5" s="1"/>
  <c r="A30" i="5" s="1"/>
  <c r="B11" i="5"/>
  <c r="B12" i="5" s="1"/>
  <c r="H2" i="5"/>
  <c r="O56" i="2"/>
  <c r="O55" i="2"/>
  <c r="O54" i="2"/>
  <c r="O53" i="2"/>
  <c r="O52" i="2"/>
  <c r="E10" i="5"/>
  <c r="E12" i="5"/>
  <c r="E9" i="5"/>
  <c r="A31" i="5" l="1"/>
  <c r="A32" i="5" s="1"/>
  <c r="A33" i="5" s="1"/>
  <c r="A34" i="5" s="1"/>
  <c r="A35" i="5" s="1"/>
  <c r="A36" i="5" s="1"/>
  <c r="B13" i="5"/>
  <c r="H9" i="5"/>
  <c r="A7" i="12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A6" i="12"/>
  <c r="D4" i="12"/>
  <c r="D3" i="12"/>
  <c r="D2" i="12"/>
  <c r="E13" i="5"/>
  <c r="E11" i="5"/>
  <c r="G2" i="12" l="1"/>
  <c r="D15" i="12" s="1"/>
  <c r="A37" i="5"/>
  <c r="A38" i="5" s="1"/>
  <c r="A39" i="5" s="1"/>
  <c r="H12" i="5"/>
  <c r="B14" i="5"/>
  <c r="H10" i="5"/>
  <c r="H11" i="5"/>
  <c r="G3" i="12"/>
  <c r="B17" i="12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A6" i="3"/>
  <c r="E14" i="5"/>
  <c r="D36" i="12" l="1"/>
  <c r="D28" i="12"/>
  <c r="D30" i="12"/>
  <c r="D35" i="12"/>
  <c r="D6" i="12"/>
  <c r="D9" i="12"/>
  <c r="D39" i="12"/>
  <c r="D12" i="12"/>
  <c r="D37" i="12"/>
  <c r="D8" i="12"/>
  <c r="D32" i="12"/>
  <c r="D25" i="12"/>
  <c r="D16" i="12"/>
  <c r="G15" i="12" s="1"/>
  <c r="D38" i="12"/>
  <c r="D27" i="12"/>
  <c r="D20" i="12"/>
  <c r="D7" i="12"/>
  <c r="D29" i="12"/>
  <c r="D22" i="12"/>
  <c r="D17" i="12"/>
  <c r="D21" i="12"/>
  <c r="D14" i="12"/>
  <c r="G14" i="12" s="1"/>
  <c r="D33" i="12"/>
  <c r="D24" i="12"/>
  <c r="D19" i="12"/>
  <c r="D31" i="12"/>
  <c r="D18" i="12"/>
  <c r="D34" i="12"/>
  <c r="D11" i="12"/>
  <c r="D13" i="12"/>
  <c r="D23" i="12"/>
  <c r="D10" i="12"/>
  <c r="D26" i="12"/>
  <c r="A40" i="5"/>
  <c r="A41" i="5" s="1"/>
  <c r="A42" i="5" s="1"/>
  <c r="A43" i="5" s="1"/>
  <c r="A44" i="5" s="1"/>
  <c r="A45" i="5" s="1"/>
  <c r="A46" i="5" s="1"/>
  <c r="A47" i="5" s="1"/>
  <c r="H13" i="5"/>
  <c r="B15" i="5"/>
  <c r="B41" i="12"/>
  <c r="D40" i="12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B6" i="3"/>
  <c r="D24" i="11"/>
  <c r="F24" i="11" s="1"/>
  <c r="D23" i="11"/>
  <c r="F23" i="11" s="1"/>
  <c r="D22" i="11"/>
  <c r="D21" i="11"/>
  <c r="E18" i="11"/>
  <c r="C11" i="11"/>
  <c r="C12" i="11" s="1"/>
  <c r="C13" i="11" s="1"/>
  <c r="C5" i="11"/>
  <c r="C6" i="11" s="1"/>
  <c r="C7" i="11" s="1"/>
  <c r="E15" i="5"/>
  <c r="G9" i="12" l="1"/>
  <c r="G32" i="12"/>
  <c r="G21" i="12"/>
  <c r="G36" i="12"/>
  <c r="G28" i="12"/>
  <c r="G6" i="12"/>
  <c r="G24" i="12"/>
  <c r="G19" i="12"/>
  <c r="G29" i="12"/>
  <c r="G26" i="12"/>
  <c r="G38" i="12"/>
  <c r="G8" i="12"/>
  <c r="G34" i="12"/>
  <c r="G11" i="12"/>
  <c r="G7" i="12"/>
  <c r="G37" i="12"/>
  <c r="G35" i="12"/>
  <c r="G17" i="12"/>
  <c r="G16" i="12"/>
  <c r="G12" i="12"/>
  <c r="G13" i="12"/>
  <c r="G18" i="12"/>
  <c r="G27" i="12"/>
  <c r="G10" i="12"/>
  <c r="G20" i="12"/>
  <c r="G33" i="12"/>
  <c r="G30" i="12"/>
  <c r="G25" i="12"/>
  <c r="G23" i="12"/>
  <c r="G39" i="12"/>
  <c r="G22" i="12"/>
  <c r="G31" i="12"/>
  <c r="A48" i="5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H14" i="5"/>
  <c r="B16" i="5"/>
  <c r="B42" i="12"/>
  <c r="D41" i="12"/>
  <c r="G40" i="12" s="1"/>
  <c r="A140" i="3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B7" i="3"/>
  <c r="A6" i="2"/>
  <c r="E16" i="5"/>
  <c r="A67" i="5" l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H15" i="5"/>
  <c r="B17" i="5"/>
  <c r="B43" i="12"/>
  <c r="D42" i="12"/>
  <c r="G41" i="12" s="1"/>
  <c r="B8" i="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E2" i="2"/>
  <c r="E17" i="5"/>
  <c r="A99" i="5" l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H16" i="5"/>
  <c r="B18" i="5"/>
  <c r="B44" i="12"/>
  <c r="D43" i="12"/>
  <c r="G42" i="12" s="1"/>
  <c r="B9" i="3"/>
  <c r="B53" i="2"/>
  <c r="D8" i="9"/>
  <c r="E8" i="9" s="1"/>
  <c r="D3" i="9"/>
  <c r="D4" i="9"/>
  <c r="D2" i="9"/>
  <c r="E7" i="8"/>
  <c r="D3" i="8"/>
  <c r="D2" i="8"/>
  <c r="D5" i="7"/>
  <c r="D3" i="7"/>
  <c r="D2" i="7"/>
  <c r="D5" i="6"/>
  <c r="D4" i="6"/>
  <c r="D2" i="6"/>
  <c r="E6" i="5"/>
  <c r="E3" i="4"/>
  <c r="D3" i="4"/>
  <c r="E2" i="4"/>
  <c r="D2" i="4"/>
  <c r="E4" i="3"/>
  <c r="E3" i="3"/>
  <c r="E2" i="3"/>
  <c r="E4" i="2"/>
  <c r="E3" i="2"/>
  <c r="E9" i="6"/>
  <c r="D9" i="6"/>
  <c r="A9" i="6"/>
  <c r="A8" i="6"/>
  <c r="N2" i="5"/>
  <c r="M2" i="5"/>
  <c r="E153" i="5"/>
  <c r="E162" i="3"/>
  <c r="E18" i="5"/>
  <c r="E138" i="2"/>
  <c r="O2" i="5" l="1"/>
  <c r="P2" i="5"/>
  <c r="E2" i="7"/>
  <c r="F2" i="5"/>
  <c r="H5" i="5"/>
  <c r="A143" i="5"/>
  <c r="A144" i="5" s="1"/>
  <c r="A145" i="5" s="1"/>
  <c r="A146" i="5" s="1"/>
  <c r="A147" i="5" s="1"/>
  <c r="A148" i="5" s="1"/>
  <c r="A149" i="5" s="1"/>
  <c r="A150" i="5" s="1"/>
  <c r="A151" i="5" s="1"/>
  <c r="H17" i="5"/>
  <c r="B19" i="5"/>
  <c r="H3" i="3"/>
  <c r="B45" i="12"/>
  <c r="D44" i="12"/>
  <c r="G43" i="12" s="1"/>
  <c r="H2" i="3"/>
  <c r="B10" i="3"/>
  <c r="B54" i="2"/>
  <c r="D8" i="7"/>
  <c r="D10" i="7" s="1"/>
  <c r="D11" i="7" s="1"/>
  <c r="D8" i="6"/>
  <c r="D10" i="6" s="1"/>
  <c r="D11" i="6" s="1"/>
  <c r="H2" i="2"/>
  <c r="H3" i="2"/>
  <c r="D7" i="9"/>
  <c r="D9" i="9" s="1"/>
  <c r="D10" i="9" s="1"/>
  <c r="D6" i="8"/>
  <c r="D8" i="8" s="1"/>
  <c r="Q2" i="1"/>
  <c r="R2" i="1" s="1"/>
  <c r="M8" i="1"/>
  <c r="M9" i="1"/>
  <c r="M10" i="1"/>
  <c r="M11" i="1"/>
  <c r="M7" i="1"/>
  <c r="J26" i="1"/>
  <c r="J41" i="1"/>
  <c r="E3" i="8" s="1"/>
  <c r="J38" i="1"/>
  <c r="J35" i="1"/>
  <c r="J32" i="1"/>
  <c r="J29" i="1"/>
  <c r="E4" i="9"/>
  <c r="J18" i="1"/>
  <c r="F4" i="5" s="1"/>
  <c r="J14" i="1"/>
  <c r="E4" i="12" s="1"/>
  <c r="J11" i="1"/>
  <c r="J7" i="1"/>
  <c r="E2" i="12" s="1"/>
  <c r="G33" i="1"/>
  <c r="L33" i="1" s="1"/>
  <c r="G32" i="1"/>
  <c r="L32" i="1" s="1"/>
  <c r="M9" i="5"/>
  <c r="M17" i="5"/>
  <c r="N15" i="5"/>
  <c r="E32" i="3"/>
  <c r="E91" i="2"/>
  <c r="E80" i="2"/>
  <c r="E6" i="2"/>
  <c r="E28" i="2"/>
  <c r="E141" i="3"/>
  <c r="E107" i="3"/>
  <c r="E20" i="3"/>
  <c r="E117" i="3"/>
  <c r="E159" i="3"/>
  <c r="E24" i="2"/>
  <c r="E134" i="2"/>
  <c r="E96" i="2"/>
  <c r="E161" i="3"/>
  <c r="E18" i="2"/>
  <c r="E85" i="2"/>
  <c r="E35" i="3"/>
  <c r="E28" i="3"/>
  <c r="E124" i="2"/>
  <c r="E8" i="2"/>
  <c r="E95" i="3"/>
  <c r="E64" i="2"/>
  <c r="E52" i="3"/>
  <c r="E155" i="3"/>
  <c r="E102" i="3"/>
  <c r="M10" i="5"/>
  <c r="N18" i="5"/>
  <c r="N16" i="5"/>
  <c r="E108" i="3"/>
  <c r="E83" i="3"/>
  <c r="E60" i="3"/>
  <c r="E88" i="2"/>
  <c r="E68" i="2"/>
  <c r="E81" i="3"/>
  <c r="E15" i="2"/>
  <c r="E105" i="2"/>
  <c r="E94" i="3"/>
  <c r="E13" i="2"/>
  <c r="E21" i="2"/>
  <c r="E111" i="3"/>
  <c r="E66" i="3"/>
  <c r="E104" i="2"/>
  <c r="E130" i="2"/>
  <c r="E51" i="3"/>
  <c r="E46" i="3"/>
  <c r="M12" i="5"/>
  <c r="N9" i="5"/>
  <c r="N17" i="5"/>
  <c r="E65" i="2"/>
  <c r="E19" i="3"/>
  <c r="E136" i="3"/>
  <c r="E22" i="2"/>
  <c r="E13" i="3"/>
  <c r="E6" i="3"/>
  <c r="E72" i="2"/>
  <c r="E112" i="2"/>
  <c r="E58" i="2"/>
  <c r="E18" i="3"/>
  <c r="E43" i="3"/>
  <c r="E30" i="2"/>
  <c r="E82" i="2"/>
  <c r="E106" i="3"/>
  <c r="E22" i="3"/>
  <c r="E10" i="3"/>
  <c r="E75" i="3"/>
  <c r="E41" i="3"/>
  <c r="E84" i="2"/>
  <c r="E61" i="3"/>
  <c r="E56" i="3"/>
  <c r="E74" i="2"/>
  <c r="E113" i="2"/>
  <c r="E42" i="2"/>
  <c r="E47" i="2"/>
  <c r="E110" i="3"/>
  <c r="E153" i="3"/>
  <c r="E128" i="3"/>
  <c r="E39" i="3"/>
  <c r="E57" i="2"/>
  <c r="E36" i="2"/>
  <c r="E145" i="3"/>
  <c r="E119" i="3"/>
  <c r="E27" i="3"/>
  <c r="E62" i="2"/>
  <c r="E34" i="3"/>
  <c r="E120" i="2"/>
  <c r="E154" i="3"/>
  <c r="E89" i="2"/>
  <c r="E147" i="3"/>
  <c r="E11" i="3"/>
  <c r="E55" i="3"/>
  <c r="E121" i="3"/>
  <c r="E78" i="3"/>
  <c r="E63" i="2"/>
  <c r="E44" i="2"/>
  <c r="E124" i="3"/>
  <c r="E56" i="2"/>
  <c r="E135" i="3"/>
  <c r="E59" i="2"/>
  <c r="E46" i="2"/>
  <c r="E137" i="3"/>
  <c r="E123" i="3"/>
  <c r="E71" i="3"/>
  <c r="E108" i="2"/>
  <c r="E115" i="3"/>
  <c r="M13" i="5"/>
  <c r="N10" i="5"/>
  <c r="E152" i="5"/>
  <c r="E100" i="2"/>
  <c r="E104" i="3"/>
  <c r="E16" i="2"/>
  <c r="E49" i="3"/>
  <c r="E97" i="3"/>
  <c r="E76" i="3"/>
  <c r="E40" i="3"/>
  <c r="E129" i="3"/>
  <c r="E136" i="2"/>
  <c r="E90" i="2"/>
  <c r="E116" i="3"/>
  <c r="E151" i="3"/>
  <c r="E127" i="2"/>
  <c r="E78" i="2"/>
  <c r="E135" i="2"/>
  <c r="E115" i="2"/>
  <c r="E12" i="2"/>
  <c r="E114" i="3"/>
  <c r="E41" i="2"/>
  <c r="E33" i="2"/>
  <c r="E74" i="3"/>
  <c r="E114" i="2"/>
  <c r="E99" i="3"/>
  <c r="E95" i="2"/>
  <c r="E131" i="2"/>
  <c r="E57" i="3"/>
  <c r="M11" i="5"/>
  <c r="N12" i="5"/>
  <c r="E48" i="3"/>
  <c r="E76" i="2"/>
  <c r="E77" i="3"/>
  <c r="E71" i="2"/>
  <c r="E148" i="3"/>
  <c r="E23" i="3"/>
  <c r="E70" i="2"/>
  <c r="E160" i="3"/>
  <c r="E127" i="3"/>
  <c r="E98" i="2"/>
  <c r="E9" i="2"/>
  <c r="E40" i="2"/>
  <c r="E59" i="3"/>
  <c r="E15" i="3"/>
  <c r="E117" i="2"/>
  <c r="E26" i="2"/>
  <c r="E61" i="2"/>
  <c r="E96" i="3"/>
  <c r="E52" i="2"/>
  <c r="E149" i="3"/>
  <c r="E34" i="2"/>
  <c r="E43" i="2"/>
  <c r="E44" i="3"/>
  <c r="E33" i="3"/>
  <c r="E79" i="2"/>
  <c r="E69" i="3"/>
  <c r="E50" i="3"/>
  <c r="E106" i="2"/>
  <c r="E67" i="2"/>
  <c r="E20" i="2"/>
  <c r="E51" i="2"/>
  <c r="E25" i="3"/>
  <c r="E73" i="2"/>
  <c r="E99" i="2"/>
  <c r="E31" i="2"/>
  <c r="E36" i="3"/>
  <c r="E19" i="2"/>
  <c r="E131" i="3"/>
  <c r="E38" i="3"/>
  <c r="E92" i="3"/>
  <c r="E88" i="3"/>
  <c r="E75" i="2"/>
  <c r="E107" i="2"/>
  <c r="M14" i="5"/>
  <c r="N11" i="5"/>
  <c r="E134" i="3"/>
  <c r="E58" i="3"/>
  <c r="E21" i="3"/>
  <c r="E64" i="3"/>
  <c r="E39" i="2"/>
  <c r="E133" i="2"/>
  <c r="E132" i="2"/>
  <c r="E103" i="3"/>
  <c r="E37" i="3"/>
  <c r="E14" i="2"/>
  <c r="E102" i="2"/>
  <c r="E152" i="3"/>
  <c r="E83" i="2"/>
  <c r="E69" i="2"/>
  <c r="E125" i="2"/>
  <c r="E122" i="3"/>
  <c r="E125" i="3"/>
  <c r="M15" i="5"/>
  <c r="N13" i="5"/>
  <c r="E35" i="2"/>
  <c r="E138" i="3"/>
  <c r="E93" i="3"/>
  <c r="E8" i="3"/>
  <c r="E81" i="2"/>
  <c r="E42" i="3"/>
  <c r="E77" i="2"/>
  <c r="E70" i="3"/>
  <c r="E103" i="2"/>
  <c r="E126" i="3"/>
  <c r="N19" i="5"/>
  <c r="E123" i="2"/>
  <c r="E48" i="2"/>
  <c r="E10" i="2"/>
  <c r="E47" i="3"/>
  <c r="E12" i="3"/>
  <c r="E146" i="3"/>
  <c r="E25" i="2"/>
  <c r="E85" i="3"/>
  <c r="E122" i="2"/>
  <c r="E80" i="3"/>
  <c r="E45" i="2"/>
  <c r="E27" i="2"/>
  <c r="E129" i="2"/>
  <c r="E31" i="3"/>
  <c r="E128" i="2"/>
  <c r="E32" i="2"/>
  <c r="E45" i="3"/>
  <c r="E158" i="3"/>
  <c r="E111" i="2"/>
  <c r="E139" i="3"/>
  <c r="E29" i="2"/>
  <c r="E17" i="3"/>
  <c r="E150" i="3"/>
  <c r="E92" i="2"/>
  <c r="E142" i="3"/>
  <c r="E16" i="3"/>
  <c r="E97" i="2"/>
  <c r="E112" i="3"/>
  <c r="E7" i="2"/>
  <c r="E118" i="3"/>
  <c r="E101" i="2"/>
  <c r="E109" i="2"/>
  <c r="M18" i="5"/>
  <c r="M16" i="5"/>
  <c r="N14" i="5"/>
  <c r="E67" i="3"/>
  <c r="E17" i="2"/>
  <c r="E23" i="2"/>
  <c r="E109" i="3"/>
  <c r="E130" i="3"/>
  <c r="E140" i="3"/>
  <c r="E9" i="3"/>
  <c r="E14" i="3"/>
  <c r="E86" i="3"/>
  <c r="E50" i="2"/>
  <c r="E30" i="3"/>
  <c r="E82" i="3"/>
  <c r="E84" i="3"/>
  <c r="E93" i="2"/>
  <c r="E132" i="3"/>
  <c r="E137" i="2"/>
  <c r="E37" i="2"/>
  <c r="E54" i="3"/>
  <c r="E29" i="3"/>
  <c r="E126" i="2"/>
  <c r="E24" i="3"/>
  <c r="E68" i="3"/>
  <c r="E62" i="3"/>
  <c r="E116" i="2"/>
  <c r="E113" i="3"/>
  <c r="E156" i="3"/>
  <c r="E87" i="2"/>
  <c r="E133" i="3"/>
  <c r="E98" i="3"/>
  <c r="E72" i="3"/>
  <c r="M19" i="5"/>
  <c r="E119" i="2"/>
  <c r="E120" i="3"/>
  <c r="E38" i="2"/>
  <c r="E65" i="3"/>
  <c r="E121" i="2"/>
  <c r="E19" i="5"/>
  <c r="E60" i="2"/>
  <c r="E26" i="3"/>
  <c r="E79" i="3"/>
  <c r="E87" i="3"/>
  <c r="E144" i="3"/>
  <c r="E101" i="3"/>
  <c r="E100" i="3"/>
  <c r="E143" i="3"/>
  <c r="E63" i="3"/>
  <c r="E73" i="3"/>
  <c r="E11" i="2"/>
  <c r="E86" i="2"/>
  <c r="E110" i="2"/>
  <c r="E118" i="2"/>
  <c r="E94" i="2"/>
  <c r="E157" i="3"/>
  <c r="E66" i="2"/>
  <c r="E49" i="2"/>
  <c r="E7" i="3"/>
  <c r="E105" i="3"/>
  <c r="E53" i="3"/>
  <c r="F32" i="1" l="1"/>
  <c r="N9" i="1"/>
  <c r="N7" i="1"/>
  <c r="N11" i="1"/>
  <c r="I3" i="5"/>
  <c r="I4" i="5"/>
  <c r="G2" i="2"/>
  <c r="G2" i="5"/>
  <c r="G4" i="5"/>
  <c r="G5" i="5"/>
  <c r="G3" i="5"/>
  <c r="F3" i="12"/>
  <c r="F2" i="12"/>
  <c r="F4" i="12"/>
  <c r="I2" i="5"/>
  <c r="N8" i="1"/>
  <c r="E3" i="12"/>
  <c r="H2" i="12" s="1"/>
  <c r="E36" i="12" s="1"/>
  <c r="H152" i="5"/>
  <c r="H18" i="5"/>
  <c r="B20" i="5"/>
  <c r="B21" i="5" s="1"/>
  <c r="P90" i="3"/>
  <c r="P89" i="3"/>
  <c r="P91" i="3"/>
  <c r="P92" i="3"/>
  <c r="P88" i="3"/>
  <c r="B46" i="12"/>
  <c r="D45" i="12"/>
  <c r="G44" i="12" s="1"/>
  <c r="H6" i="3"/>
  <c r="H7" i="3"/>
  <c r="B11" i="3"/>
  <c r="H9" i="3"/>
  <c r="B55" i="2"/>
  <c r="E3" i="9"/>
  <c r="F4" i="2"/>
  <c r="E4" i="6"/>
  <c r="F3" i="3"/>
  <c r="E2" i="8"/>
  <c r="E6" i="8" s="1"/>
  <c r="E8" i="8" s="1"/>
  <c r="E3" i="7"/>
  <c r="F4" i="3"/>
  <c r="E5" i="6"/>
  <c r="E2" i="9"/>
  <c r="E7" i="9" s="1"/>
  <c r="E9" i="9" s="1"/>
  <c r="E2" i="6"/>
  <c r="F2" i="3"/>
  <c r="F3" i="2"/>
  <c r="G3" i="2"/>
  <c r="F2" i="9"/>
  <c r="G6" i="5"/>
  <c r="G4" i="3"/>
  <c r="F2" i="7"/>
  <c r="G3" i="3"/>
  <c r="G2" i="3"/>
  <c r="F3" i="8"/>
  <c r="F3" i="6"/>
  <c r="F4" i="9"/>
  <c r="F5" i="6"/>
  <c r="F4" i="6"/>
  <c r="F2" i="4"/>
  <c r="F3" i="9"/>
  <c r="F5" i="7"/>
  <c r="F2" i="6"/>
  <c r="F4" i="7"/>
  <c r="F3" i="4"/>
  <c r="F2" i="8"/>
  <c r="F3" i="7"/>
  <c r="G4" i="2"/>
  <c r="N10" i="1"/>
  <c r="F2" i="2"/>
  <c r="E5" i="7"/>
  <c r="F6" i="5"/>
  <c r="D9" i="8"/>
  <c r="G42" i="1"/>
  <c r="G41" i="1"/>
  <c r="L41" i="1" s="1"/>
  <c r="G39" i="1"/>
  <c r="G38" i="1"/>
  <c r="L38" i="1" s="1"/>
  <c r="G36" i="1"/>
  <c r="L36" i="1" s="1"/>
  <c r="G35" i="1"/>
  <c r="L35" i="1" s="1"/>
  <c r="G30" i="1"/>
  <c r="L30" i="1" s="1"/>
  <c r="G29" i="1"/>
  <c r="L29" i="1" s="1"/>
  <c r="G27" i="1"/>
  <c r="L27" i="1" s="1"/>
  <c r="G26" i="1"/>
  <c r="L26" i="1" s="1"/>
  <c r="G23" i="1"/>
  <c r="G22" i="1"/>
  <c r="L22" i="1" s="1"/>
  <c r="G19" i="1"/>
  <c r="F18" i="1" s="1"/>
  <c r="N4" i="5" s="1"/>
  <c r="G18" i="1"/>
  <c r="M4" i="5" s="1"/>
  <c r="G15" i="1"/>
  <c r="M15" i="1" s="1"/>
  <c r="G14" i="1"/>
  <c r="G12" i="1"/>
  <c r="F11" i="1" s="1"/>
  <c r="G11" i="1"/>
  <c r="F7" i="1"/>
  <c r="F11" i="5"/>
  <c r="G153" i="5"/>
  <c r="P56" i="2"/>
  <c r="F162" i="3"/>
  <c r="E21" i="5"/>
  <c r="F42" i="5"/>
  <c r="F13" i="5"/>
  <c r="N20" i="5"/>
  <c r="G162" i="3"/>
  <c r="P52" i="2"/>
  <c r="P53" i="2"/>
  <c r="F41" i="5"/>
  <c r="F14" i="5"/>
  <c r="P55" i="2"/>
  <c r="G138" i="2"/>
  <c r="F10" i="5"/>
  <c r="F18" i="5"/>
  <c r="F40" i="5"/>
  <c r="F15" i="5"/>
  <c r="N21" i="5"/>
  <c r="F20" i="5"/>
  <c r="F9" i="5"/>
  <c r="F19" i="5"/>
  <c r="F16" i="5"/>
  <c r="F138" i="2"/>
  <c r="P54" i="2"/>
  <c r="M21" i="5"/>
  <c r="F12" i="5"/>
  <c r="F153" i="5"/>
  <c r="M20" i="5"/>
  <c r="E20" i="5"/>
  <c r="F17" i="5"/>
  <c r="F21" i="5"/>
  <c r="F41" i="1" l="1"/>
  <c r="L42" i="1"/>
  <c r="L23" i="1"/>
  <c r="N23" i="1"/>
  <c r="F38" i="1"/>
  <c r="L39" i="1"/>
  <c r="F35" i="1"/>
  <c r="F22" i="1"/>
  <c r="F26" i="1"/>
  <c r="F29" i="1"/>
  <c r="N4" i="3" s="1"/>
  <c r="M4" i="3"/>
  <c r="J3" i="5"/>
  <c r="E34" i="12"/>
  <c r="E27" i="12"/>
  <c r="E44" i="12"/>
  <c r="E20" i="12"/>
  <c r="E31" i="12"/>
  <c r="E17" i="12"/>
  <c r="E45" i="12"/>
  <c r="H3" i="12"/>
  <c r="K3" i="12" s="1"/>
  <c r="E25" i="12"/>
  <c r="E6" i="12"/>
  <c r="E29" i="12"/>
  <c r="E32" i="12"/>
  <c r="E21" i="12"/>
  <c r="E19" i="12"/>
  <c r="E7" i="12"/>
  <c r="E30" i="12"/>
  <c r="E14" i="12"/>
  <c r="E8" i="12"/>
  <c r="E39" i="12"/>
  <c r="E43" i="12"/>
  <c r="E10" i="12"/>
  <c r="E33" i="12"/>
  <c r="E24" i="12"/>
  <c r="E41" i="12"/>
  <c r="E37" i="12"/>
  <c r="H36" i="12" s="1"/>
  <c r="E9" i="12"/>
  <c r="E12" i="12"/>
  <c r="E22" i="12"/>
  <c r="E13" i="12"/>
  <c r="E26" i="12"/>
  <c r="E23" i="12"/>
  <c r="I17" i="5"/>
  <c r="I16" i="5"/>
  <c r="I15" i="5"/>
  <c r="I14" i="5"/>
  <c r="I13" i="5"/>
  <c r="I12" i="5"/>
  <c r="I10" i="5"/>
  <c r="I11" i="5"/>
  <c r="I9" i="5"/>
  <c r="I18" i="5"/>
  <c r="L18" i="5" s="1"/>
  <c r="I40" i="5"/>
  <c r="I41" i="5"/>
  <c r="K2" i="5"/>
  <c r="L2" i="5"/>
  <c r="O3" i="5"/>
  <c r="O4" i="5"/>
  <c r="I3" i="12"/>
  <c r="L4" i="5"/>
  <c r="K4" i="5"/>
  <c r="E11" i="12"/>
  <c r="E28" i="12"/>
  <c r="E18" i="12"/>
  <c r="L3" i="5"/>
  <c r="K3" i="5"/>
  <c r="M6" i="5"/>
  <c r="L2" i="12"/>
  <c r="P4" i="5"/>
  <c r="P3" i="5"/>
  <c r="I2" i="12"/>
  <c r="F45" i="12" s="1"/>
  <c r="N6" i="5"/>
  <c r="M2" i="12"/>
  <c r="N2" i="2"/>
  <c r="G57" i="5"/>
  <c r="G33" i="5"/>
  <c r="G58" i="5"/>
  <c r="J2" i="5"/>
  <c r="L3" i="12"/>
  <c r="M2" i="3"/>
  <c r="M3" i="2"/>
  <c r="E35" i="12"/>
  <c r="H35" i="12" s="1"/>
  <c r="K2" i="12"/>
  <c r="J2" i="12"/>
  <c r="J4" i="5"/>
  <c r="E42" i="12"/>
  <c r="E40" i="12"/>
  <c r="E38" i="12"/>
  <c r="E15" i="12"/>
  <c r="E16" i="12"/>
  <c r="M3" i="12"/>
  <c r="N2" i="3"/>
  <c r="N3" i="2"/>
  <c r="M14" i="1"/>
  <c r="L4" i="12"/>
  <c r="M3" i="3"/>
  <c r="M4" i="2"/>
  <c r="F14" i="1"/>
  <c r="J5" i="5"/>
  <c r="I5" i="5"/>
  <c r="K5" i="5" s="1"/>
  <c r="H153" i="5"/>
  <c r="B22" i="5"/>
  <c r="I19" i="5"/>
  <c r="I20" i="5"/>
  <c r="H20" i="5"/>
  <c r="H19" i="5"/>
  <c r="J2" i="2"/>
  <c r="B47" i="12"/>
  <c r="E46" i="12"/>
  <c r="D46" i="12"/>
  <c r="G45" i="12" s="1"/>
  <c r="I2" i="3"/>
  <c r="H8" i="3"/>
  <c r="J2" i="3"/>
  <c r="J3" i="3"/>
  <c r="I3" i="3"/>
  <c r="B12" i="3"/>
  <c r="H10" i="3"/>
  <c r="B56" i="2"/>
  <c r="E8" i="7"/>
  <c r="E10" i="7" s="1"/>
  <c r="E11" i="7" s="1"/>
  <c r="J3" i="2"/>
  <c r="E9" i="8"/>
  <c r="F8" i="8"/>
  <c r="G8" i="8" s="1"/>
  <c r="E10" i="9"/>
  <c r="F9" i="9"/>
  <c r="G9" i="9" s="1"/>
  <c r="E8" i="6"/>
  <c r="E10" i="6" s="1"/>
  <c r="E11" i="6" s="1"/>
  <c r="I3" i="2"/>
  <c r="M2" i="2"/>
  <c r="I2" i="2"/>
  <c r="M42" i="5"/>
  <c r="G11" i="5"/>
  <c r="N153" i="5"/>
  <c r="E22" i="5"/>
  <c r="G132" i="2"/>
  <c r="G86" i="3"/>
  <c r="G140" i="3"/>
  <c r="G50" i="2"/>
  <c r="F48" i="2"/>
  <c r="F100" i="3"/>
  <c r="F94" i="3"/>
  <c r="F123" i="2"/>
  <c r="F74" i="2"/>
  <c r="F26" i="2"/>
  <c r="G78" i="2"/>
  <c r="G82" i="3"/>
  <c r="G15" i="3"/>
  <c r="G114" i="3"/>
  <c r="F8" i="2"/>
  <c r="F6" i="3"/>
  <c r="F120" i="3"/>
  <c r="F125" i="3"/>
  <c r="F123" i="3"/>
  <c r="G150" i="3"/>
  <c r="G105" i="2"/>
  <c r="G96" i="2"/>
  <c r="G56" i="3"/>
  <c r="G157" i="3"/>
  <c r="G27" i="2"/>
  <c r="F12" i="2"/>
  <c r="F89" i="2"/>
  <c r="F75" i="2"/>
  <c r="F101" i="3"/>
  <c r="F124" i="3"/>
  <c r="F113" i="2"/>
  <c r="G116" i="2"/>
  <c r="G61" i="3"/>
  <c r="G144" i="3"/>
  <c r="G107" i="3"/>
  <c r="F17" i="3"/>
  <c r="F20" i="2"/>
  <c r="F126" i="2"/>
  <c r="F127" i="2"/>
  <c r="F21" i="3"/>
  <c r="G127" i="2"/>
  <c r="G36" i="3"/>
  <c r="G139" i="3"/>
  <c r="G110" i="3"/>
  <c r="F18" i="3"/>
  <c r="F27" i="2"/>
  <c r="F115" i="2"/>
  <c r="F103" i="2"/>
  <c r="F106" i="2"/>
  <c r="G36" i="2"/>
  <c r="G100" i="2"/>
  <c r="G79" i="2"/>
  <c r="G87" i="3"/>
  <c r="G147" i="3"/>
  <c r="G46" i="2"/>
  <c r="F11" i="2"/>
  <c r="F78" i="3"/>
  <c r="F46" i="3"/>
  <c r="G123" i="3"/>
  <c r="G14" i="3"/>
  <c r="G30" i="2"/>
  <c r="F107" i="2"/>
  <c r="F14" i="2"/>
  <c r="F63" i="3"/>
  <c r="F71" i="3"/>
  <c r="G93" i="2"/>
  <c r="F156" i="3"/>
  <c r="M41" i="5"/>
  <c r="G13" i="5"/>
  <c r="M138" i="2"/>
  <c r="G98" i="2"/>
  <c r="G101" i="2"/>
  <c r="G17" i="3"/>
  <c r="G111" i="3"/>
  <c r="G41" i="2"/>
  <c r="F40" i="3"/>
  <c r="F63" i="2"/>
  <c r="F128" i="2"/>
  <c r="F139" i="3"/>
  <c r="G85" i="2"/>
  <c r="F49" i="2"/>
  <c r="G67" i="2"/>
  <c r="G24" i="3"/>
  <c r="G160" i="3"/>
  <c r="G129" i="3"/>
  <c r="F42" i="3"/>
  <c r="F41" i="2"/>
  <c r="F62" i="2"/>
  <c r="F98" i="2"/>
  <c r="F59" i="2"/>
  <c r="G101" i="3"/>
  <c r="G133" i="2"/>
  <c r="G76" i="2"/>
  <c r="G79" i="3"/>
  <c r="G108" i="3"/>
  <c r="G43" i="2"/>
  <c r="F50" i="3"/>
  <c r="F92" i="2"/>
  <c r="F137" i="2"/>
  <c r="F79" i="2"/>
  <c r="G54" i="2"/>
  <c r="F70" i="2"/>
  <c r="G77" i="2"/>
  <c r="G84" i="3"/>
  <c r="G151" i="3"/>
  <c r="G25" i="2"/>
  <c r="F132" i="3"/>
  <c r="F37" i="3"/>
  <c r="F87" i="3"/>
  <c r="F99" i="3"/>
  <c r="F100" i="2"/>
  <c r="G118" i="2"/>
  <c r="G77" i="3"/>
  <c r="G143" i="3"/>
  <c r="G45" i="2"/>
  <c r="F115" i="3"/>
  <c r="F34" i="3"/>
  <c r="F65" i="3"/>
  <c r="F39" i="3"/>
  <c r="F11" i="3"/>
  <c r="F14" i="3"/>
  <c r="G108" i="2"/>
  <c r="G11" i="3"/>
  <c r="G42" i="3"/>
  <c r="G146" i="3"/>
  <c r="G16" i="2"/>
  <c r="F60" i="3"/>
  <c r="F160" i="3"/>
  <c r="F151" i="3"/>
  <c r="F24" i="3"/>
  <c r="G7" i="2"/>
  <c r="G121" i="2"/>
  <c r="G90" i="2"/>
  <c r="G38" i="3"/>
  <c r="G130" i="3"/>
  <c r="G26" i="2"/>
  <c r="F86" i="2"/>
  <c r="F13" i="2"/>
  <c r="F28" i="2"/>
  <c r="F40" i="2"/>
  <c r="F112" i="2"/>
  <c r="F54" i="3"/>
  <c r="F16" i="3"/>
  <c r="G42" i="5"/>
  <c r="G31" i="3"/>
  <c r="F111" i="2"/>
  <c r="G59" i="3"/>
  <c r="G96" i="3"/>
  <c r="F119" i="3"/>
  <c r="G102" i="2"/>
  <c r="G113" i="3"/>
  <c r="F130" i="2"/>
  <c r="G33" i="3"/>
  <c r="F64" i="3"/>
  <c r="G155" i="3"/>
  <c r="F6" i="2"/>
  <c r="G17" i="2"/>
  <c r="G134" i="2"/>
  <c r="G116" i="3"/>
  <c r="F42" i="2"/>
  <c r="G41" i="5"/>
  <c r="G52" i="3"/>
  <c r="F70" i="3"/>
  <c r="G112" i="2"/>
  <c r="G109" i="3"/>
  <c r="F21" i="2"/>
  <c r="G75" i="2"/>
  <c r="F51" i="3"/>
  <c r="G136" i="2"/>
  <c r="F43" i="3"/>
  <c r="G40" i="2"/>
  <c r="G37" i="3"/>
  <c r="F159" i="3"/>
  <c r="G82" i="2"/>
  <c r="G35" i="2"/>
  <c r="F136" i="2"/>
  <c r="G124" i="3"/>
  <c r="F158" i="3"/>
  <c r="M40" i="5"/>
  <c r="G14" i="5"/>
  <c r="N42" i="5"/>
  <c r="G106" i="2"/>
  <c r="G99" i="2"/>
  <c r="G9" i="3"/>
  <c r="G112" i="3"/>
  <c r="G51" i="2"/>
  <c r="F56" i="2"/>
  <c r="F24" i="2"/>
  <c r="F31" i="2"/>
  <c r="F50" i="2"/>
  <c r="G62" i="2"/>
  <c r="F25" i="2"/>
  <c r="G130" i="2"/>
  <c r="G10" i="3"/>
  <c r="G97" i="3"/>
  <c r="G37" i="2"/>
  <c r="F131" i="3"/>
  <c r="F56" i="3"/>
  <c r="F33" i="2"/>
  <c r="F7" i="2"/>
  <c r="F132" i="2"/>
  <c r="F67" i="3"/>
  <c r="G115" i="2"/>
  <c r="G63" i="2"/>
  <c r="G13" i="3"/>
  <c r="G104" i="3"/>
  <c r="G47" i="2"/>
  <c r="F52" i="2"/>
  <c r="F15" i="2"/>
  <c r="F79" i="3"/>
  <c r="F9" i="2"/>
  <c r="G35" i="3"/>
  <c r="F83" i="2"/>
  <c r="G74" i="2"/>
  <c r="G18" i="3"/>
  <c r="G142" i="3"/>
  <c r="G14" i="2"/>
  <c r="F97" i="2"/>
  <c r="F126" i="3"/>
  <c r="F103" i="3"/>
  <c r="F9" i="3"/>
  <c r="F118" i="2"/>
  <c r="G83" i="2"/>
  <c r="G27" i="3"/>
  <c r="G103" i="3"/>
  <c r="G9" i="2"/>
  <c r="F121" i="2"/>
  <c r="F122" i="3"/>
  <c r="F125" i="2"/>
  <c r="F69" i="2"/>
  <c r="G125" i="2"/>
  <c r="F61" i="2"/>
  <c r="G88" i="2"/>
  <c r="G57" i="3"/>
  <c r="G40" i="3"/>
  <c r="G153" i="3"/>
  <c r="F74" i="3"/>
  <c r="F127" i="3"/>
  <c r="F108" i="3"/>
  <c r="F65" i="2"/>
  <c r="F93" i="3"/>
  <c r="F82" i="3"/>
  <c r="G87" i="2"/>
  <c r="G74" i="3"/>
  <c r="G47" i="3"/>
  <c r="G118" i="3"/>
  <c r="G24" i="2"/>
  <c r="F84" i="3"/>
  <c r="F59" i="3"/>
  <c r="F49" i="3"/>
  <c r="F81" i="3"/>
  <c r="F22" i="5"/>
  <c r="M153" i="5"/>
  <c r="F43" i="2"/>
  <c r="G107" i="2"/>
  <c r="F35" i="3"/>
  <c r="G69" i="3"/>
  <c r="F46" i="2"/>
  <c r="G70" i="2"/>
  <c r="F38" i="2"/>
  <c r="G73" i="3"/>
  <c r="F86" i="3"/>
  <c r="G158" i="3"/>
  <c r="F102" i="2"/>
  <c r="G81" i="2"/>
  <c r="F96" i="2"/>
  <c r="G9" i="5"/>
  <c r="F148" i="3"/>
  <c r="G136" i="3"/>
  <c r="F39" i="2"/>
  <c r="F109" i="2"/>
  <c r="F129" i="3"/>
  <c r="F113" i="3"/>
  <c r="G53" i="2"/>
  <c r="G62" i="3"/>
  <c r="F58" i="3"/>
  <c r="G119" i="3"/>
  <c r="F73" i="3"/>
  <c r="F120" i="2"/>
  <c r="F7" i="3"/>
  <c r="F95" i="2"/>
  <c r="N162" i="3"/>
  <c r="G20" i="5"/>
  <c r="G15" i="5"/>
  <c r="N41" i="5"/>
  <c r="G58" i="2"/>
  <c r="G67" i="3"/>
  <c r="G7" i="3"/>
  <c r="G138" i="3"/>
  <c r="G29" i="2"/>
  <c r="F69" i="3"/>
  <c r="F41" i="3"/>
  <c r="F53" i="3"/>
  <c r="F55" i="3"/>
  <c r="G103" i="2"/>
  <c r="F101" i="2"/>
  <c r="G61" i="2"/>
  <c r="G55" i="3"/>
  <c r="G93" i="3"/>
  <c r="G44" i="2"/>
  <c r="F112" i="3"/>
  <c r="F153" i="3"/>
  <c r="F136" i="3"/>
  <c r="F117" i="3"/>
  <c r="F114" i="2"/>
  <c r="F105" i="2"/>
  <c r="G114" i="2"/>
  <c r="G50" i="3"/>
  <c r="G66" i="3"/>
  <c r="G98" i="3"/>
  <c r="G6" i="2"/>
  <c r="F48" i="3"/>
  <c r="F15" i="3"/>
  <c r="F8" i="3"/>
  <c r="F36" i="3"/>
  <c r="G141" i="3"/>
  <c r="G135" i="2"/>
  <c r="G57" i="2"/>
  <c r="G34" i="3"/>
  <c r="G149" i="3"/>
  <c r="G52" i="2"/>
  <c r="F29" i="2"/>
  <c r="F99" i="2"/>
  <c r="F80" i="2"/>
  <c r="G92" i="2"/>
  <c r="G117" i="2"/>
  <c r="G97" i="2"/>
  <c r="G16" i="3"/>
  <c r="G120" i="3"/>
  <c r="G22" i="2"/>
  <c r="F22" i="2"/>
  <c r="F58" i="2"/>
  <c r="F52" i="3"/>
  <c r="F78" i="2"/>
  <c r="G104" i="2"/>
  <c r="F143" i="3"/>
  <c r="G73" i="2"/>
  <c r="G32" i="3"/>
  <c r="G132" i="3"/>
  <c r="G125" i="3"/>
  <c r="F32" i="3"/>
  <c r="F30" i="2"/>
  <c r="F87" i="2"/>
  <c r="F68" i="2"/>
  <c r="F67" i="2"/>
  <c r="F116" i="3"/>
  <c r="G122" i="2"/>
  <c r="G8" i="3"/>
  <c r="G54" i="3"/>
  <c r="G126" i="3"/>
  <c r="F44" i="2"/>
  <c r="F13" i="3"/>
  <c r="F144" i="3"/>
  <c r="F138" i="3"/>
  <c r="F157" i="3"/>
  <c r="G51" i="3"/>
  <c r="F107" i="3"/>
  <c r="G17" i="5"/>
  <c r="G134" i="3"/>
  <c r="F73" i="2"/>
  <c r="G88" i="3"/>
  <c r="F60" i="2"/>
  <c r="F64" i="2"/>
  <c r="F44" i="3"/>
  <c r="F110" i="2"/>
  <c r="G21" i="2"/>
  <c r="G119" i="2"/>
  <c r="F85" i="3"/>
  <c r="G43" i="3"/>
  <c r="F131" i="2"/>
  <c r="G15" i="2"/>
  <c r="G38" i="2"/>
  <c r="G66" i="2"/>
  <c r="F36" i="2"/>
  <c r="G84" i="2"/>
  <c r="F23" i="2"/>
  <c r="G28" i="3"/>
  <c r="F10" i="2"/>
  <c r="G49" i="3"/>
  <c r="F33" i="3"/>
  <c r="G48" i="2"/>
  <c r="G95" i="2"/>
  <c r="F90" i="2"/>
  <c r="G94" i="2"/>
  <c r="F27" i="3"/>
  <c r="M162" i="3"/>
  <c r="G21" i="5"/>
  <c r="G16" i="5"/>
  <c r="N40" i="5"/>
  <c r="G131" i="2"/>
  <c r="G68" i="3"/>
  <c r="G25" i="3"/>
  <c r="G121" i="3"/>
  <c r="F37" i="2"/>
  <c r="F19" i="3"/>
  <c r="F134" i="3"/>
  <c r="F128" i="3"/>
  <c r="F149" i="3"/>
  <c r="G41" i="3"/>
  <c r="G22" i="5"/>
  <c r="G110" i="2"/>
  <c r="G44" i="3"/>
  <c r="G100" i="3"/>
  <c r="G42" i="2"/>
  <c r="F45" i="2"/>
  <c r="F57" i="2"/>
  <c r="F124" i="2"/>
  <c r="F116" i="2"/>
  <c r="G111" i="2"/>
  <c r="F122" i="2"/>
  <c r="G60" i="2"/>
  <c r="G75" i="3"/>
  <c r="G29" i="3"/>
  <c r="G106" i="3"/>
  <c r="F17" i="2"/>
  <c r="F154" i="3"/>
  <c r="F130" i="3"/>
  <c r="F98" i="3"/>
  <c r="F121" i="3"/>
  <c r="G34" i="2"/>
  <c r="G109" i="2"/>
  <c r="G69" i="2"/>
  <c r="G64" i="3"/>
  <c r="G156" i="3"/>
  <c r="G18" i="2"/>
  <c r="F25" i="3"/>
  <c r="F129" i="2"/>
  <c r="F88" i="2"/>
  <c r="G46" i="3"/>
  <c r="G56" i="2"/>
  <c r="G126" i="2"/>
  <c r="G65" i="3"/>
  <c r="G148" i="3"/>
  <c r="G31" i="2"/>
  <c r="F155" i="3"/>
  <c r="F133" i="2"/>
  <c r="F51" i="2"/>
  <c r="F84" i="2"/>
  <c r="G81" i="3"/>
  <c r="F80" i="3"/>
  <c r="G128" i="2"/>
  <c r="G78" i="3"/>
  <c r="G117" i="3"/>
  <c r="G8" i="2"/>
  <c r="F92" i="3"/>
  <c r="F30" i="3"/>
  <c r="F57" i="3"/>
  <c r="F61" i="3"/>
  <c r="F110" i="3"/>
  <c r="F31" i="3"/>
  <c r="G59" i="2"/>
  <c r="G19" i="3"/>
  <c r="G63" i="3"/>
  <c r="G131" i="3"/>
  <c r="F68" i="3"/>
  <c r="F91" i="2"/>
  <c r="F93" i="2"/>
  <c r="F119" i="2"/>
  <c r="F111" i="3"/>
  <c r="G122" i="3"/>
  <c r="G12" i="5"/>
  <c r="G21" i="3"/>
  <c r="F66" i="2"/>
  <c r="G71" i="2"/>
  <c r="G10" i="2"/>
  <c r="F109" i="3"/>
  <c r="G152" i="3"/>
  <c r="F104" i="2"/>
  <c r="G92" i="3"/>
  <c r="G64" i="2"/>
  <c r="F16" i="2"/>
  <c r="N22" i="5"/>
  <c r="F135" i="3"/>
  <c r="G83" i="3"/>
  <c r="F135" i="2"/>
  <c r="G18" i="5"/>
  <c r="G94" i="3"/>
  <c r="F32" i="2"/>
  <c r="G20" i="3"/>
  <c r="F19" i="2"/>
  <c r="G159" i="3"/>
  <c r="F77" i="2"/>
  <c r="G99" i="3"/>
  <c r="G86" i="2"/>
  <c r="F22" i="3"/>
  <c r="G12" i="3"/>
  <c r="F137" i="3"/>
  <c r="G48" i="3"/>
  <c r="F12" i="3"/>
  <c r="G40" i="5"/>
  <c r="G10" i="5"/>
  <c r="G19" i="5"/>
  <c r="F152" i="5"/>
  <c r="G72" i="2"/>
  <c r="G60" i="3"/>
  <c r="G95" i="3"/>
  <c r="G32" i="2"/>
  <c r="F147" i="3"/>
  <c r="F161" i="3"/>
  <c r="F142" i="3"/>
  <c r="F150" i="3"/>
  <c r="F71" i="2"/>
  <c r="G20" i="2"/>
  <c r="G129" i="2"/>
  <c r="G45" i="3"/>
  <c r="G70" i="3"/>
  <c r="G115" i="3"/>
  <c r="G39" i="2"/>
  <c r="F83" i="3"/>
  <c r="F45" i="3"/>
  <c r="F23" i="3"/>
  <c r="F47" i="3"/>
  <c r="G72" i="3"/>
  <c r="F20" i="3"/>
  <c r="G89" i="2"/>
  <c r="G30" i="3"/>
  <c r="G105" i="3"/>
  <c r="G49" i="2"/>
  <c r="F81" i="2"/>
  <c r="F145" i="3"/>
  <c r="F106" i="3"/>
  <c r="F133" i="3"/>
  <c r="F62" i="3"/>
  <c r="F38" i="3"/>
  <c r="G65" i="2"/>
  <c r="G53" i="3"/>
  <c r="G6" i="3"/>
  <c r="G102" i="3"/>
  <c r="F18" i="2"/>
  <c r="F146" i="3"/>
  <c r="F114" i="3"/>
  <c r="F96" i="3"/>
  <c r="F28" i="3"/>
  <c r="G123" i="2"/>
  <c r="G58" i="3"/>
  <c r="G76" i="3"/>
  <c r="G161" i="3"/>
  <c r="F88" i="3"/>
  <c r="F118" i="3"/>
  <c r="F105" i="3"/>
  <c r="F95" i="3"/>
  <c r="F141" i="3"/>
  <c r="G145" i="3"/>
  <c r="G113" i="2"/>
  <c r="G120" i="2"/>
  <c r="G39" i="3"/>
  <c r="G128" i="3"/>
  <c r="G13" i="2"/>
  <c r="F140" i="3"/>
  <c r="F47" i="2"/>
  <c r="F34" i="2"/>
  <c r="F104" i="3"/>
  <c r="G137" i="3"/>
  <c r="M22" i="5"/>
  <c r="G68" i="2"/>
  <c r="G85" i="3"/>
  <c r="G127" i="3"/>
  <c r="G33" i="2"/>
  <c r="F35" i="2"/>
  <c r="F102" i="3"/>
  <c r="F72" i="2"/>
  <c r="F134" i="2"/>
  <c r="F117" i="2"/>
  <c r="F76" i="3"/>
  <c r="F66" i="3"/>
  <c r="G55" i="2"/>
  <c r="G91" i="2"/>
  <c r="G135" i="3"/>
  <c r="F75" i="3"/>
  <c r="F82" i="2"/>
  <c r="F26" i="3"/>
  <c r="F152" i="3"/>
  <c r="G137" i="2"/>
  <c r="G124" i="2"/>
  <c r="F94" i="2"/>
  <c r="G80" i="2"/>
  <c r="G22" i="3"/>
  <c r="G23" i="2"/>
  <c r="G26" i="3"/>
  <c r="F97" i="3"/>
  <c r="F108" i="2"/>
  <c r="F77" i="3"/>
  <c r="G152" i="5"/>
  <c r="G28" i="2"/>
  <c r="F76" i="2"/>
  <c r="G12" i="2"/>
  <c r="G23" i="3"/>
  <c r="G11" i="2"/>
  <c r="F72" i="3"/>
  <c r="G80" i="3"/>
  <c r="F29" i="3"/>
  <c r="G154" i="3"/>
  <c r="F10" i="3"/>
  <c r="G133" i="3"/>
  <c r="G71" i="3"/>
  <c r="G19" i="2"/>
  <c r="F85" i="2"/>
  <c r="O3" i="3" l="1"/>
  <c r="H10" i="12"/>
  <c r="K10" i="12" s="1"/>
  <c r="J40" i="5"/>
  <c r="J41" i="5"/>
  <c r="F37" i="12"/>
  <c r="F42" i="12"/>
  <c r="F40" i="12"/>
  <c r="F26" i="12"/>
  <c r="F6" i="12"/>
  <c r="F41" i="12"/>
  <c r="F20" i="12"/>
  <c r="F34" i="12"/>
  <c r="F25" i="12"/>
  <c r="F38" i="12"/>
  <c r="F31" i="12"/>
  <c r="F13" i="12"/>
  <c r="F29" i="12"/>
  <c r="F32" i="12"/>
  <c r="F15" i="12"/>
  <c r="F39" i="12"/>
  <c r="F36" i="12"/>
  <c r="F21" i="12"/>
  <c r="F19" i="12"/>
  <c r="F27" i="12"/>
  <c r="I26" i="12" s="1"/>
  <c r="F12" i="12"/>
  <c r="F9" i="12"/>
  <c r="F46" i="12"/>
  <c r="I45" i="12" s="1"/>
  <c r="F43" i="12"/>
  <c r="F10" i="12"/>
  <c r="F28" i="12"/>
  <c r="F11" i="12"/>
  <c r="G34" i="5"/>
  <c r="J33" i="5" s="1"/>
  <c r="H19" i="12"/>
  <c r="K19" i="12" s="1"/>
  <c r="H8" i="12"/>
  <c r="K8" i="12" s="1"/>
  <c r="H42" i="12"/>
  <c r="K42" i="12" s="1"/>
  <c r="H17" i="12"/>
  <c r="J17" i="12" s="1"/>
  <c r="H20" i="12"/>
  <c r="K20" i="12" s="1"/>
  <c r="H33" i="12"/>
  <c r="J33" i="12" s="1"/>
  <c r="H22" i="12"/>
  <c r="J22" i="12" s="1"/>
  <c r="H44" i="12"/>
  <c r="K44" i="12" s="1"/>
  <c r="J3" i="12"/>
  <c r="H31" i="12"/>
  <c r="K31" i="12" s="1"/>
  <c r="H29" i="12"/>
  <c r="K29" i="12" s="1"/>
  <c r="H27" i="12"/>
  <c r="J27" i="12" s="1"/>
  <c r="H26" i="12"/>
  <c r="J26" i="12" s="1"/>
  <c r="H32" i="12"/>
  <c r="H21" i="12"/>
  <c r="H43" i="12"/>
  <c r="K43" i="12" s="1"/>
  <c r="H9" i="12"/>
  <c r="J9" i="12" s="1"/>
  <c r="H6" i="12"/>
  <c r="K6" i="12" s="1"/>
  <c r="H13" i="12"/>
  <c r="K13" i="12" s="1"/>
  <c r="H14" i="12"/>
  <c r="K14" i="12" s="1"/>
  <c r="H34" i="12"/>
  <c r="J34" i="12" s="1"/>
  <c r="H24" i="12"/>
  <c r="K24" i="12" s="1"/>
  <c r="H37" i="12"/>
  <c r="J37" i="12" s="1"/>
  <c r="H45" i="12"/>
  <c r="J45" i="12" s="1"/>
  <c r="H41" i="12"/>
  <c r="J41" i="12" s="1"/>
  <c r="H23" i="12"/>
  <c r="J23" i="12" s="1"/>
  <c r="L5" i="5"/>
  <c r="H25" i="12"/>
  <c r="J25" i="12" s="1"/>
  <c r="H11" i="12"/>
  <c r="K11" i="12" s="1"/>
  <c r="H38" i="12"/>
  <c r="K38" i="12" s="1"/>
  <c r="H7" i="12"/>
  <c r="O2" i="12"/>
  <c r="M36" i="12" s="1"/>
  <c r="H39" i="12"/>
  <c r="J39" i="12" s="1"/>
  <c r="N2" i="12"/>
  <c r="L21" i="12" s="1"/>
  <c r="H30" i="12"/>
  <c r="H12" i="12"/>
  <c r="K18" i="5"/>
  <c r="H15" i="12"/>
  <c r="J15" i="12" s="1"/>
  <c r="H28" i="12"/>
  <c r="K28" i="12" s="1"/>
  <c r="J18" i="5"/>
  <c r="J17" i="5"/>
  <c r="J16" i="5"/>
  <c r="J15" i="5"/>
  <c r="J14" i="5"/>
  <c r="J13" i="5"/>
  <c r="J12" i="5"/>
  <c r="J10" i="5"/>
  <c r="J9" i="5"/>
  <c r="J11" i="5"/>
  <c r="J20" i="5"/>
  <c r="J19" i="5"/>
  <c r="J35" i="12"/>
  <c r="K35" i="12"/>
  <c r="L16" i="5"/>
  <c r="K16" i="5"/>
  <c r="N3" i="12"/>
  <c r="O5" i="5"/>
  <c r="H16" i="12"/>
  <c r="L9" i="5"/>
  <c r="K9" i="5"/>
  <c r="L17" i="5"/>
  <c r="K17" i="5"/>
  <c r="F44" i="12"/>
  <c r="F22" i="12"/>
  <c r="F35" i="12"/>
  <c r="F33" i="12"/>
  <c r="F18" i="12"/>
  <c r="H18" i="12"/>
  <c r="H40" i="12"/>
  <c r="K11" i="5"/>
  <c r="L11" i="5"/>
  <c r="K10" i="5"/>
  <c r="L10" i="5"/>
  <c r="O3" i="2"/>
  <c r="P5" i="5"/>
  <c r="J57" i="5"/>
  <c r="K36" i="12"/>
  <c r="J36" i="12"/>
  <c r="K12" i="5"/>
  <c r="L12" i="5"/>
  <c r="G56" i="5"/>
  <c r="J56" i="5" s="1"/>
  <c r="P2" i="2"/>
  <c r="F8" i="12"/>
  <c r="F23" i="12"/>
  <c r="F14" i="12"/>
  <c r="K13" i="5"/>
  <c r="L13" i="5"/>
  <c r="G32" i="5"/>
  <c r="J32" i="5" s="1"/>
  <c r="F24" i="12"/>
  <c r="F7" i="12"/>
  <c r="F30" i="12"/>
  <c r="F17" i="12"/>
  <c r="F16" i="12"/>
  <c r="L14" i="5"/>
  <c r="K14" i="5"/>
  <c r="L15" i="5"/>
  <c r="K15" i="5"/>
  <c r="O2" i="3"/>
  <c r="M4" i="12"/>
  <c r="O3" i="12" s="1"/>
  <c r="N3" i="3"/>
  <c r="N4" i="2"/>
  <c r="I152" i="5"/>
  <c r="J152" i="5"/>
  <c r="J153" i="5" s="1"/>
  <c r="J21" i="5"/>
  <c r="H21" i="5"/>
  <c r="I21" i="5"/>
  <c r="B23" i="5"/>
  <c r="L20" i="5"/>
  <c r="K20" i="5"/>
  <c r="K19" i="5"/>
  <c r="L19" i="5"/>
  <c r="Q90" i="3"/>
  <c r="Q88" i="3"/>
  <c r="Q89" i="3"/>
  <c r="Q91" i="3"/>
  <c r="Q92" i="3"/>
  <c r="O2" i="2"/>
  <c r="F10" i="7"/>
  <c r="G10" i="7" s="1"/>
  <c r="J10" i="3"/>
  <c r="J6" i="3"/>
  <c r="J9" i="3"/>
  <c r="B48" i="12"/>
  <c r="D47" i="12"/>
  <c r="G46" i="12" s="1"/>
  <c r="E47" i="12"/>
  <c r="H46" i="12" s="1"/>
  <c r="F47" i="12"/>
  <c r="I46" i="12" s="1"/>
  <c r="J7" i="3"/>
  <c r="L3" i="3"/>
  <c r="K3" i="3"/>
  <c r="L2" i="3"/>
  <c r="K2" i="3"/>
  <c r="I10" i="3"/>
  <c r="K10" i="3" s="1"/>
  <c r="J8" i="3"/>
  <c r="I6" i="3"/>
  <c r="B13" i="3"/>
  <c r="I11" i="3"/>
  <c r="H11" i="3"/>
  <c r="B57" i="2"/>
  <c r="K3" i="2"/>
  <c r="L3" i="2"/>
  <c r="J54" i="2"/>
  <c r="K2" i="2"/>
  <c r="L2" i="2"/>
  <c r="J55" i="2"/>
  <c r="M98" i="3"/>
  <c r="M154" i="3"/>
  <c r="M123" i="3"/>
  <c r="M111" i="3"/>
  <c r="M152" i="3"/>
  <c r="M120" i="3"/>
  <c r="M109" i="3"/>
  <c r="M161" i="3"/>
  <c r="M137" i="3"/>
  <c r="M32" i="3"/>
  <c r="M26" i="3"/>
  <c r="M53" i="3"/>
  <c r="M27" i="3"/>
  <c r="M6" i="3"/>
  <c r="M80" i="3"/>
  <c r="M22" i="3"/>
  <c r="M44" i="3"/>
  <c r="M68" i="3"/>
  <c r="M17" i="3"/>
  <c r="N16" i="2"/>
  <c r="N19" i="2"/>
  <c r="N51" i="2"/>
  <c r="N41" i="2"/>
  <c r="N50" i="2"/>
  <c r="N45" i="2"/>
  <c r="M99" i="5"/>
  <c r="M102" i="5"/>
  <c r="M71" i="2"/>
  <c r="M123" i="2"/>
  <c r="M79" i="2"/>
  <c r="M63" i="2"/>
  <c r="M106" i="2"/>
  <c r="M61" i="2"/>
  <c r="M69" i="2"/>
  <c r="M104" i="2"/>
  <c r="M117" i="2"/>
  <c r="M57" i="2"/>
  <c r="M72" i="2"/>
  <c r="N94" i="5"/>
  <c r="N101" i="5"/>
  <c r="M36" i="2"/>
  <c r="M45" i="2"/>
  <c r="M29" i="2"/>
  <c r="M42" i="2"/>
  <c r="M23" i="2"/>
  <c r="M7" i="2"/>
  <c r="M13" i="2"/>
  <c r="N107" i="5"/>
  <c r="M17" i="2"/>
  <c r="M10" i="2"/>
  <c r="M27" i="2"/>
  <c r="N23" i="5"/>
  <c r="M108" i="3"/>
  <c r="M47" i="3"/>
  <c r="M30" i="3"/>
  <c r="M13" i="3"/>
  <c r="N27" i="2"/>
  <c r="M105" i="5"/>
  <c r="M133" i="2"/>
  <c r="N105" i="5"/>
  <c r="M50" i="2"/>
  <c r="M97" i="3"/>
  <c r="M115" i="3"/>
  <c r="M85" i="3"/>
  <c r="M52" i="3"/>
  <c r="N25" i="2"/>
  <c r="M96" i="5"/>
  <c r="M135" i="2"/>
  <c r="M68" i="2"/>
  <c r="N102" i="5"/>
  <c r="M38" i="2"/>
  <c r="M130" i="3"/>
  <c r="M135" i="3"/>
  <c r="M102" i="3"/>
  <c r="M141" i="3"/>
  <c r="M124" i="3"/>
  <c r="M159" i="3"/>
  <c r="M113" i="3"/>
  <c r="M107" i="3"/>
  <c r="M112" i="3"/>
  <c r="M77" i="3"/>
  <c r="M84" i="3"/>
  <c r="M56" i="3"/>
  <c r="M74" i="3"/>
  <c r="M40" i="3"/>
  <c r="M63" i="3"/>
  <c r="M28" i="3"/>
  <c r="M20" i="3"/>
  <c r="M23" i="3"/>
  <c r="M72" i="3"/>
  <c r="N9" i="2"/>
  <c r="N31" i="2"/>
  <c r="N32" i="2"/>
  <c r="N28" i="2"/>
  <c r="N26" i="2"/>
  <c r="N17" i="2"/>
  <c r="M104" i="5"/>
  <c r="M95" i="5"/>
  <c r="M94" i="2"/>
  <c r="M67" i="2"/>
  <c r="M80" i="2"/>
  <c r="M107" i="2"/>
  <c r="M131" i="2"/>
  <c r="M81" i="2"/>
  <c r="M127" i="2"/>
  <c r="M87" i="2"/>
  <c r="M62" i="2"/>
  <c r="M130" i="2"/>
  <c r="M121" i="2"/>
  <c r="N100" i="5"/>
  <c r="M9" i="2"/>
  <c r="M37" i="2"/>
  <c r="M32" i="2"/>
  <c r="M138" i="3"/>
  <c r="M57" i="3"/>
  <c r="M54" i="3"/>
  <c r="N39" i="2"/>
  <c r="M115" i="2"/>
  <c r="M108" i="2"/>
  <c r="M34" i="2"/>
  <c r="M144" i="3"/>
  <c r="M118" i="3"/>
  <c r="M95" i="3"/>
  <c r="M151" i="3"/>
  <c r="M128" i="3"/>
  <c r="M114" i="3"/>
  <c r="M156" i="3"/>
  <c r="M101" i="3"/>
  <c r="M122" i="3"/>
  <c r="M34" i="3"/>
  <c r="M66" i="3"/>
  <c r="M58" i="3"/>
  <c r="M78" i="3"/>
  <c r="M75" i="3"/>
  <c r="M8" i="3"/>
  <c r="M76" i="3"/>
  <c r="M48" i="3"/>
  <c r="M15" i="3"/>
  <c r="M86" i="3"/>
  <c r="N38" i="2"/>
  <c r="N43" i="2"/>
  <c r="N47" i="2"/>
  <c r="N8" i="2"/>
  <c r="N24" i="2"/>
  <c r="N52" i="2"/>
  <c r="M100" i="5"/>
  <c r="M107" i="5"/>
  <c r="M110" i="2"/>
  <c r="M99" i="2"/>
  <c r="M137" i="2"/>
  <c r="M76" i="2"/>
  <c r="M64" i="2"/>
  <c r="M56" i="2"/>
  <c r="M105" i="2"/>
  <c r="M114" i="2"/>
  <c r="M132" i="2"/>
  <c r="M82" i="2"/>
  <c r="N152" i="5"/>
  <c r="N93" i="5"/>
  <c r="E23" i="5"/>
  <c r="M35" i="2"/>
  <c r="M18" i="2"/>
  <c r="M39" i="2"/>
  <c r="M15" i="2"/>
  <c r="F23" i="5"/>
  <c r="M14" i="2"/>
  <c r="M6" i="2"/>
  <c r="M142" i="3"/>
  <c r="M19" i="3"/>
  <c r="N34" i="2"/>
  <c r="M106" i="5"/>
  <c r="M77" i="2"/>
  <c r="N103" i="5"/>
  <c r="M30" i="2"/>
  <c r="M103" i="3"/>
  <c r="M116" i="3"/>
  <c r="M61" i="3"/>
  <c r="M51" i="3"/>
  <c r="M16" i="3"/>
  <c r="M82" i="3"/>
  <c r="N18" i="2"/>
  <c r="M126" i="2"/>
  <c r="M88" i="2"/>
  <c r="M90" i="2"/>
  <c r="M28" i="2"/>
  <c r="M52" i="2"/>
  <c r="M93" i="3"/>
  <c r="M136" i="3"/>
  <c r="M99" i="3"/>
  <c r="M155" i="3"/>
  <c r="M133" i="3"/>
  <c r="M100" i="3"/>
  <c r="M160" i="3"/>
  <c r="M147" i="3"/>
  <c r="M125" i="3"/>
  <c r="M38" i="3"/>
  <c r="M70" i="3"/>
  <c r="M43" i="3"/>
  <c r="M67" i="3"/>
  <c r="M83" i="3"/>
  <c r="M71" i="3"/>
  <c r="M62" i="3"/>
  <c r="M29" i="3"/>
  <c r="M37" i="3"/>
  <c r="M59" i="3"/>
  <c r="N10" i="2"/>
  <c r="N29" i="2"/>
  <c r="N33" i="2"/>
  <c r="N40" i="2"/>
  <c r="N11" i="2"/>
  <c r="N7" i="2"/>
  <c r="M98" i="5"/>
  <c r="M93" i="5"/>
  <c r="M136" i="2"/>
  <c r="M91" i="2"/>
  <c r="M122" i="2"/>
  <c r="M111" i="2"/>
  <c r="M93" i="2"/>
  <c r="M74" i="2"/>
  <c r="M66" i="2"/>
  <c r="M92" i="2"/>
  <c r="M89" i="2"/>
  <c r="M119" i="2"/>
  <c r="N104" i="5"/>
  <c r="N95" i="5"/>
  <c r="M51" i="2"/>
  <c r="M11" i="2"/>
  <c r="Q54" i="2"/>
  <c r="M40" i="2"/>
  <c r="G23" i="5"/>
  <c r="M22" i="2"/>
  <c r="M23" i="5"/>
  <c r="M12" i="2"/>
  <c r="M21" i="2"/>
  <c r="M25" i="2"/>
  <c r="M146" i="3"/>
  <c r="M96" i="3"/>
  <c r="M117" i="3"/>
  <c r="M11" i="3"/>
  <c r="M49" i="3"/>
  <c r="N21" i="2"/>
  <c r="M98" i="2"/>
  <c r="M112" i="2"/>
  <c r="M70" i="2"/>
  <c r="M24" i="2"/>
  <c r="M48" i="2"/>
  <c r="M157" i="3"/>
  <c r="M36" i="3"/>
  <c r="M18" i="3"/>
  <c r="N35" i="2"/>
  <c r="M152" i="5"/>
  <c r="M65" i="2"/>
  <c r="M100" i="2"/>
  <c r="M20" i="2"/>
  <c r="M49" i="2"/>
  <c r="M126" i="3"/>
  <c r="M129" i="3"/>
  <c r="M134" i="3"/>
  <c r="M127" i="3"/>
  <c r="M143" i="3"/>
  <c r="M148" i="3"/>
  <c r="M139" i="3"/>
  <c r="M145" i="3"/>
  <c r="M92" i="3"/>
  <c r="M10" i="3"/>
  <c r="M42" i="3"/>
  <c r="M33" i="3"/>
  <c r="M79" i="3"/>
  <c r="M25" i="3"/>
  <c r="M31" i="3"/>
  <c r="M21" i="3"/>
  <c r="M60" i="3"/>
  <c r="M41" i="3"/>
  <c r="M69" i="3"/>
  <c r="N12" i="2"/>
  <c r="N20" i="2"/>
  <c r="N30" i="2"/>
  <c r="N6" i="2"/>
  <c r="N13" i="2"/>
  <c r="N42" i="2"/>
  <c r="M103" i="5"/>
  <c r="M97" i="5"/>
  <c r="M102" i="2"/>
  <c r="M103" i="2"/>
  <c r="M60" i="2"/>
  <c r="M101" i="2"/>
  <c r="M97" i="2"/>
  <c r="M73" i="2"/>
  <c r="M59" i="2"/>
  <c r="M83" i="2"/>
  <c r="M58" i="2"/>
  <c r="M78" i="2"/>
  <c r="N98" i="5"/>
  <c r="N97" i="5"/>
  <c r="M43" i="2"/>
  <c r="Q52" i="2"/>
  <c r="M8" i="2"/>
  <c r="M41" i="2"/>
  <c r="M140" i="3"/>
  <c r="M12" i="3"/>
  <c r="N15" i="2"/>
  <c r="M96" i="2"/>
  <c r="Q55" i="2"/>
  <c r="N138" i="2"/>
  <c r="Q56" i="2"/>
  <c r="M132" i="3"/>
  <c r="M94" i="3"/>
  <c r="M153" i="3"/>
  <c r="M131" i="3"/>
  <c r="M110" i="3"/>
  <c r="M150" i="3"/>
  <c r="M158" i="3"/>
  <c r="M149" i="3"/>
  <c r="M88" i="3"/>
  <c r="M14" i="3"/>
  <c r="M46" i="3"/>
  <c r="M39" i="3"/>
  <c r="M55" i="3"/>
  <c r="M7" i="3"/>
  <c r="M35" i="3"/>
  <c r="M81" i="3"/>
  <c r="M73" i="3"/>
  <c r="M87" i="3"/>
  <c r="M45" i="3"/>
  <c r="N37" i="2"/>
  <c r="N44" i="2"/>
  <c r="N23" i="2"/>
  <c r="N46" i="2"/>
  <c r="N49" i="2"/>
  <c r="N22" i="2"/>
  <c r="M94" i="5"/>
  <c r="M101" i="5"/>
  <c r="M95" i="2"/>
  <c r="M75" i="2"/>
  <c r="M118" i="2"/>
  <c r="M109" i="2"/>
  <c r="M120" i="2"/>
  <c r="M85" i="2"/>
  <c r="M113" i="2"/>
  <c r="M124" i="2"/>
  <c r="M128" i="2"/>
  <c r="M116" i="2"/>
  <c r="N106" i="5"/>
  <c r="N96" i="5"/>
  <c r="M47" i="2"/>
  <c r="M46" i="2"/>
  <c r="Q53" i="2"/>
  <c r="M16" i="2"/>
  <c r="M44" i="2"/>
  <c r="M33" i="2"/>
  <c r="M26" i="2"/>
  <c r="M105" i="3"/>
  <c r="M24" i="3"/>
  <c r="M9" i="3"/>
  <c r="N36" i="2"/>
  <c r="M86" i="2"/>
  <c r="M134" i="2"/>
  <c r="M31" i="2"/>
  <c r="M104" i="3"/>
  <c r="M119" i="3"/>
  <c r="M106" i="3"/>
  <c r="M121" i="3"/>
  <c r="M64" i="3"/>
  <c r="M65" i="3"/>
  <c r="M50" i="3"/>
  <c r="N48" i="2"/>
  <c r="M129" i="2"/>
  <c r="M84" i="2"/>
  <c r="M125" i="2"/>
  <c r="N99" i="5"/>
  <c r="M19" i="2"/>
  <c r="N14" i="2"/>
  <c r="I13" i="12" l="1"/>
  <c r="I30" i="12"/>
  <c r="I18" i="12"/>
  <c r="I36" i="12"/>
  <c r="I21" i="12"/>
  <c r="I20" i="12"/>
  <c r="I11" i="12"/>
  <c r="I15" i="12"/>
  <c r="I25" i="12"/>
  <c r="I33" i="12"/>
  <c r="I9" i="12"/>
  <c r="I31" i="12"/>
  <c r="I40" i="12"/>
  <c r="K33" i="12"/>
  <c r="I34" i="12"/>
  <c r="J10" i="12"/>
  <c r="I43" i="12"/>
  <c r="I10" i="12"/>
  <c r="I39" i="12"/>
  <c r="I37" i="12"/>
  <c r="J42" i="12"/>
  <c r="I27" i="12"/>
  <c r="I28" i="12"/>
  <c r="I23" i="12"/>
  <c r="I8" i="12"/>
  <c r="I32" i="12"/>
  <c r="I14" i="12"/>
  <c r="I12" i="12"/>
  <c r="I41" i="12"/>
  <c r="I29" i="12"/>
  <c r="I42" i="12"/>
  <c r="I38" i="12"/>
  <c r="I6" i="12"/>
  <c r="I44" i="12"/>
  <c r="I19" i="12"/>
  <c r="J8" i="12"/>
  <c r="K17" i="12"/>
  <c r="J19" i="12"/>
  <c r="K22" i="12"/>
  <c r="J43" i="12"/>
  <c r="J44" i="12"/>
  <c r="J31" i="12"/>
  <c r="M10" i="12"/>
  <c r="M45" i="12"/>
  <c r="J20" i="12"/>
  <c r="J13" i="12"/>
  <c r="K23" i="12"/>
  <c r="M13" i="12"/>
  <c r="M39" i="12"/>
  <c r="K26" i="12"/>
  <c r="L8" i="12"/>
  <c r="J11" i="12"/>
  <c r="M41" i="12"/>
  <c r="L37" i="12"/>
  <c r="K37" i="12"/>
  <c r="M37" i="12"/>
  <c r="M23" i="12"/>
  <c r="K27" i="12"/>
  <c r="M34" i="12"/>
  <c r="J29" i="12"/>
  <c r="M32" i="12"/>
  <c r="M30" i="12"/>
  <c r="M21" i="12"/>
  <c r="M18" i="12"/>
  <c r="K41" i="12"/>
  <c r="M47" i="12"/>
  <c r="M35" i="12"/>
  <c r="M17" i="12"/>
  <c r="K25" i="12"/>
  <c r="J14" i="12"/>
  <c r="K9" i="12"/>
  <c r="L18" i="12"/>
  <c r="K21" i="12"/>
  <c r="J21" i="12"/>
  <c r="J32" i="12"/>
  <c r="K32" i="12"/>
  <c r="M46" i="12"/>
  <c r="M42" i="12"/>
  <c r="M16" i="12"/>
  <c r="M28" i="12"/>
  <c r="J6" i="12"/>
  <c r="K39" i="12"/>
  <c r="M31" i="12"/>
  <c r="M19" i="12"/>
  <c r="M8" i="12"/>
  <c r="K34" i="12"/>
  <c r="M15" i="12"/>
  <c r="M12" i="12"/>
  <c r="J38" i="12"/>
  <c r="L6" i="12"/>
  <c r="J24" i="12"/>
  <c r="K45" i="12"/>
  <c r="K15" i="12"/>
  <c r="M9" i="12"/>
  <c r="M40" i="12"/>
  <c r="M22" i="12"/>
  <c r="L14" i="12"/>
  <c r="J7" i="12"/>
  <c r="K7" i="12"/>
  <c r="L28" i="12"/>
  <c r="L38" i="12"/>
  <c r="M43" i="12"/>
  <c r="M38" i="12"/>
  <c r="M33" i="12"/>
  <c r="M26" i="12"/>
  <c r="L43" i="12"/>
  <c r="L23" i="12"/>
  <c r="L40" i="12"/>
  <c r="L46" i="12"/>
  <c r="L32" i="12"/>
  <c r="L34" i="12"/>
  <c r="L45" i="12"/>
  <c r="L7" i="12"/>
  <c r="L11" i="12"/>
  <c r="L19" i="12"/>
  <c r="L17" i="12"/>
  <c r="M6" i="12"/>
  <c r="M27" i="12"/>
  <c r="M14" i="12"/>
  <c r="M29" i="12"/>
  <c r="M11" i="12"/>
  <c r="L44" i="12"/>
  <c r="L9" i="12"/>
  <c r="L36" i="12"/>
  <c r="L33" i="12"/>
  <c r="L12" i="12"/>
  <c r="K30" i="12"/>
  <c r="J30" i="12"/>
  <c r="L42" i="12"/>
  <c r="L16" i="12"/>
  <c r="L25" i="12"/>
  <c r="L13" i="12"/>
  <c r="L24" i="12"/>
  <c r="J28" i="12"/>
  <c r="L41" i="12"/>
  <c r="L30" i="12"/>
  <c r="L20" i="12"/>
  <c r="L29" i="12"/>
  <c r="L22" i="12"/>
  <c r="L47" i="12"/>
  <c r="M44" i="12"/>
  <c r="M20" i="12"/>
  <c r="M25" i="12"/>
  <c r="M24" i="12"/>
  <c r="M7" i="12"/>
  <c r="L27" i="12"/>
  <c r="L39" i="12"/>
  <c r="L15" i="12"/>
  <c r="L31" i="12"/>
  <c r="L26" i="12"/>
  <c r="L10" i="12"/>
  <c r="L35" i="12"/>
  <c r="J12" i="12"/>
  <c r="K12" i="12"/>
  <c r="R88" i="3"/>
  <c r="R90" i="3"/>
  <c r="R92" i="3"/>
  <c r="R91" i="3"/>
  <c r="R89" i="3"/>
  <c r="J40" i="12"/>
  <c r="K40" i="12"/>
  <c r="I16" i="12"/>
  <c r="T5" i="5"/>
  <c r="K18" i="12"/>
  <c r="J18" i="12"/>
  <c r="I17" i="12"/>
  <c r="P3" i="2"/>
  <c r="P2" i="3"/>
  <c r="P3" i="3"/>
  <c r="I22" i="12"/>
  <c r="I7" i="12"/>
  <c r="K16" i="12"/>
  <c r="J16" i="12"/>
  <c r="I24" i="12"/>
  <c r="I35" i="12"/>
  <c r="K46" i="12"/>
  <c r="L152" i="5"/>
  <c r="I153" i="5"/>
  <c r="L153" i="5" s="1"/>
  <c r="K152" i="5"/>
  <c r="K153" i="5" s="1"/>
  <c r="L21" i="5"/>
  <c r="H22" i="5"/>
  <c r="I22" i="5"/>
  <c r="J22" i="5"/>
  <c r="B24" i="5"/>
  <c r="K21" i="5"/>
  <c r="J46" i="12"/>
  <c r="J11" i="3"/>
  <c r="I8" i="3"/>
  <c r="L8" i="3" s="1"/>
  <c r="L10" i="3"/>
  <c r="B49" i="12"/>
  <c r="M48" i="12"/>
  <c r="F48" i="12"/>
  <c r="I47" i="12" s="1"/>
  <c r="D48" i="12"/>
  <c r="G47" i="12" s="1"/>
  <c r="E48" i="12"/>
  <c r="H47" i="12" s="1"/>
  <c r="L48" i="12"/>
  <c r="L6" i="3"/>
  <c r="K6" i="3"/>
  <c r="I7" i="3"/>
  <c r="K11" i="3"/>
  <c r="I9" i="3"/>
  <c r="B14" i="3"/>
  <c r="J12" i="3"/>
  <c r="I12" i="3"/>
  <c r="H12" i="3"/>
  <c r="L11" i="3"/>
  <c r="B58" i="2"/>
  <c r="H56" i="2"/>
  <c r="J56" i="2"/>
  <c r="I56" i="2"/>
  <c r="N115" i="2"/>
  <c r="N111" i="2"/>
  <c r="N107" i="2"/>
  <c r="N72" i="2"/>
  <c r="N124" i="2"/>
  <c r="N99" i="2"/>
  <c r="N135" i="2"/>
  <c r="N95" i="2"/>
  <c r="N131" i="2"/>
  <c r="N125" i="2"/>
  <c r="N106" i="2"/>
  <c r="N28" i="3"/>
  <c r="N60" i="3"/>
  <c r="N84" i="3"/>
  <c r="N29" i="3"/>
  <c r="N16" i="3"/>
  <c r="N15" i="3"/>
  <c r="N54" i="3"/>
  <c r="N7" i="3"/>
  <c r="N68" i="3"/>
  <c r="N24" i="3"/>
  <c r="N125" i="3"/>
  <c r="N143" i="3"/>
  <c r="N157" i="3"/>
  <c r="N136" i="3"/>
  <c r="N158" i="3"/>
  <c r="N128" i="3"/>
  <c r="N159" i="3"/>
  <c r="N120" i="3"/>
  <c r="N132" i="3"/>
  <c r="N24" i="5"/>
  <c r="N89" i="2"/>
  <c r="N70" i="3"/>
  <c r="N40" i="3"/>
  <c r="N109" i="3"/>
  <c r="N151" i="3"/>
  <c r="N59" i="2"/>
  <c r="N82" i="2"/>
  <c r="N52" i="3"/>
  <c r="N50" i="3"/>
  <c r="N97" i="3"/>
  <c r="N110" i="3"/>
  <c r="N87" i="2"/>
  <c r="N122" i="2"/>
  <c r="N119" i="2"/>
  <c r="N102" i="2"/>
  <c r="N69" i="2"/>
  <c r="N132" i="2"/>
  <c r="N114" i="2"/>
  <c r="N137" i="2"/>
  <c r="N133" i="2"/>
  <c r="N62" i="2"/>
  <c r="N79" i="2"/>
  <c r="N32" i="3"/>
  <c r="N64" i="3"/>
  <c r="N62" i="3"/>
  <c r="N57" i="3"/>
  <c r="N10" i="3"/>
  <c r="N74" i="3"/>
  <c r="N67" i="3"/>
  <c r="N66" i="3"/>
  <c r="N23" i="3"/>
  <c r="N65" i="3"/>
  <c r="N146" i="3"/>
  <c r="N141" i="3"/>
  <c r="N156" i="3"/>
  <c r="N98" i="3"/>
  <c r="N93" i="3"/>
  <c r="N155" i="3"/>
  <c r="N101" i="3"/>
  <c r="N121" i="3"/>
  <c r="N115" i="3"/>
  <c r="R52" i="2"/>
  <c r="R56" i="2"/>
  <c r="N66" i="2"/>
  <c r="N77" i="2"/>
  <c r="N101" i="2"/>
  <c r="N136" i="2"/>
  <c r="N63" i="3"/>
  <c r="N76" i="3"/>
  <c r="N139" i="3"/>
  <c r="N118" i="3"/>
  <c r="N105" i="2"/>
  <c r="N17" i="3"/>
  <c r="N77" i="3"/>
  <c r="N31" i="3"/>
  <c r="N142" i="3"/>
  <c r="N108" i="3"/>
  <c r="N91" i="2"/>
  <c r="N109" i="2"/>
  <c r="N123" i="2"/>
  <c r="N81" i="2"/>
  <c r="N112" i="2"/>
  <c r="N71" i="2"/>
  <c r="N108" i="2"/>
  <c r="N73" i="2"/>
  <c r="N74" i="2"/>
  <c r="N126" i="2"/>
  <c r="N69" i="3"/>
  <c r="N30" i="3"/>
  <c r="N48" i="3"/>
  <c r="N9" i="3"/>
  <c r="N61" i="3"/>
  <c r="N14" i="3"/>
  <c r="N87" i="3"/>
  <c r="N85" i="3"/>
  <c r="N45" i="3"/>
  <c r="N82" i="3"/>
  <c r="N80" i="3"/>
  <c r="N133" i="3"/>
  <c r="N106" i="3"/>
  <c r="N117" i="3"/>
  <c r="N148" i="3"/>
  <c r="N131" i="3"/>
  <c r="N105" i="3"/>
  <c r="N153" i="3"/>
  <c r="N134" i="3"/>
  <c r="N113" i="3"/>
  <c r="R54" i="2"/>
  <c r="N63" i="2"/>
  <c r="N18" i="3"/>
  <c r="N59" i="3"/>
  <c r="N96" i="3"/>
  <c r="N140" i="3"/>
  <c r="N64" i="2"/>
  <c r="N90" i="2"/>
  <c r="N84" i="2"/>
  <c r="N53" i="3"/>
  <c r="N33" i="3"/>
  <c r="N111" i="3"/>
  <c r="N130" i="2"/>
  <c r="N61" i="2"/>
  <c r="N88" i="2"/>
  <c r="N104" i="2"/>
  <c r="N120" i="2"/>
  <c r="N65" i="2"/>
  <c r="N134" i="2"/>
  <c r="N127" i="2"/>
  <c r="N58" i="2"/>
  <c r="N56" i="2"/>
  <c r="N51" i="3"/>
  <c r="N44" i="3"/>
  <c r="N42" i="3"/>
  <c r="N43" i="3"/>
  <c r="N8" i="3"/>
  <c r="N73" i="3"/>
  <c r="N19" i="3"/>
  <c r="N58" i="3"/>
  <c r="N88" i="3"/>
  <c r="N27" i="3"/>
  <c r="N72" i="3"/>
  <c r="N92" i="3"/>
  <c r="N130" i="3"/>
  <c r="N119" i="3"/>
  <c r="N102" i="3"/>
  <c r="N127" i="3"/>
  <c r="N123" i="3"/>
  <c r="N103" i="3"/>
  <c r="N100" i="3"/>
  <c r="M24" i="5"/>
  <c r="R55" i="2"/>
  <c r="N96" i="2"/>
  <c r="N94" i="2"/>
  <c r="N49" i="3"/>
  <c r="N138" i="3"/>
  <c r="F24" i="5"/>
  <c r="N92" i="2"/>
  <c r="N22" i="3"/>
  <c r="N161" i="3"/>
  <c r="N129" i="2"/>
  <c r="N68" i="2"/>
  <c r="N78" i="2"/>
  <c r="N76" i="2"/>
  <c r="N57" i="2"/>
  <c r="N60" i="2"/>
  <c r="N118" i="2"/>
  <c r="N75" i="2"/>
  <c r="N86" i="2"/>
  <c r="N117" i="2"/>
  <c r="N12" i="3"/>
  <c r="N11" i="3"/>
  <c r="N46" i="3"/>
  <c r="N79" i="3"/>
  <c r="N35" i="3"/>
  <c r="N47" i="3"/>
  <c r="N78" i="3"/>
  <c r="N20" i="3"/>
  <c r="N55" i="3"/>
  <c r="N86" i="3"/>
  <c r="N6" i="3"/>
  <c r="N99" i="3"/>
  <c r="N122" i="3"/>
  <c r="N137" i="3"/>
  <c r="N116" i="3"/>
  <c r="N160" i="3"/>
  <c r="N135" i="3"/>
  <c r="N95" i="3"/>
  <c r="N94" i="3"/>
  <c r="R53" i="2"/>
  <c r="N113" i="2"/>
  <c r="N38" i="3"/>
  <c r="N37" i="3"/>
  <c r="N129" i="3"/>
  <c r="N85" i="2"/>
  <c r="N34" i="3"/>
  <c r="N124" i="3"/>
  <c r="E24" i="5"/>
  <c r="N103" i="2"/>
  <c r="N80" i="2"/>
  <c r="N128" i="2"/>
  <c r="N100" i="2"/>
  <c r="N97" i="2"/>
  <c r="N67" i="2"/>
  <c r="N110" i="2"/>
  <c r="N93" i="2"/>
  <c r="N83" i="2"/>
  <c r="N116" i="2"/>
  <c r="N56" i="3"/>
  <c r="N21" i="3"/>
  <c r="N36" i="3"/>
  <c r="N25" i="3"/>
  <c r="N26" i="3"/>
  <c r="N13" i="3"/>
  <c r="N75" i="3"/>
  <c r="N81" i="3"/>
  <c r="N71" i="3"/>
  <c r="N39" i="3"/>
  <c r="N107" i="3"/>
  <c r="N104" i="3"/>
  <c r="N114" i="3"/>
  <c r="N150" i="3"/>
  <c r="N145" i="3"/>
  <c r="N152" i="3"/>
  <c r="N126" i="3"/>
  <c r="N112" i="3"/>
  <c r="N154" i="3"/>
  <c r="G24" i="5"/>
  <c r="N98" i="2"/>
  <c r="N83" i="3"/>
  <c r="N147" i="3"/>
  <c r="N70" i="2"/>
  <c r="N121" i="2"/>
  <c r="N41" i="3"/>
  <c r="N149" i="3"/>
  <c r="N144" i="3"/>
  <c r="S89" i="3" l="1"/>
  <c r="S90" i="3"/>
  <c r="S92" i="3"/>
  <c r="S88" i="3"/>
  <c r="S91" i="3"/>
  <c r="K47" i="12"/>
  <c r="K22" i="5"/>
  <c r="J23" i="5"/>
  <c r="H23" i="5"/>
  <c r="I23" i="5"/>
  <c r="B25" i="5"/>
  <c r="L22" i="5"/>
  <c r="J47" i="12"/>
  <c r="K8" i="3"/>
  <c r="K12" i="3"/>
  <c r="B50" i="12"/>
  <c r="E49" i="12"/>
  <c r="H48" i="12" s="1"/>
  <c r="D49" i="12"/>
  <c r="G48" i="12" s="1"/>
  <c r="F49" i="12"/>
  <c r="I48" i="12" s="1"/>
  <c r="L49" i="12"/>
  <c r="M49" i="12"/>
  <c r="L9" i="3"/>
  <c r="K9" i="3"/>
  <c r="L7" i="3"/>
  <c r="K7" i="3"/>
  <c r="B15" i="3"/>
  <c r="J13" i="3"/>
  <c r="I13" i="3"/>
  <c r="H13" i="3"/>
  <c r="L12" i="3"/>
  <c r="B59" i="2"/>
  <c r="H57" i="2"/>
  <c r="J57" i="2"/>
  <c r="I57" i="2"/>
  <c r="K56" i="2"/>
  <c r="L56" i="2"/>
  <c r="J53" i="2"/>
  <c r="M53" i="2"/>
  <c r="J16" i="2"/>
  <c r="I18" i="2"/>
  <c r="J25" i="2"/>
  <c r="J28" i="2"/>
  <c r="I49" i="2"/>
  <c r="H7" i="2"/>
  <c r="S53" i="2"/>
  <c r="S55" i="2"/>
  <c r="S52" i="2"/>
  <c r="N25" i="5"/>
  <c r="M25" i="5"/>
  <c r="G25" i="5"/>
  <c r="S54" i="2"/>
  <c r="S56" i="2"/>
  <c r="F25" i="5"/>
  <c r="E25" i="5"/>
  <c r="N54" i="2" l="1"/>
  <c r="J48" i="12"/>
  <c r="L23" i="5"/>
  <c r="I24" i="5"/>
  <c r="H24" i="5"/>
  <c r="J24" i="5"/>
  <c r="B26" i="5"/>
  <c r="K23" i="5"/>
  <c r="L57" i="2"/>
  <c r="K48" i="12"/>
  <c r="B51" i="12"/>
  <c r="D50" i="12"/>
  <c r="G49" i="12" s="1"/>
  <c r="F50" i="12"/>
  <c r="I49" i="12" s="1"/>
  <c r="E50" i="12"/>
  <c r="H49" i="12" s="1"/>
  <c r="L50" i="12"/>
  <c r="M50" i="12"/>
  <c r="K13" i="3"/>
  <c r="B16" i="3"/>
  <c r="J14" i="3"/>
  <c r="I14" i="3"/>
  <c r="H14" i="3"/>
  <c r="L13" i="3"/>
  <c r="K57" i="2"/>
  <c r="B60" i="2"/>
  <c r="H58" i="2"/>
  <c r="J58" i="2"/>
  <c r="I58" i="2"/>
  <c r="I51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J52" i="2"/>
  <c r="I21" i="2"/>
  <c r="I48" i="2"/>
  <c r="I9" i="2"/>
  <c r="N53" i="2"/>
  <c r="E55" i="2"/>
  <c r="H55" i="2" s="1"/>
  <c r="J43" i="2"/>
  <c r="I33" i="2"/>
  <c r="J24" i="2"/>
  <c r="J15" i="2"/>
  <c r="I38" i="2"/>
  <c r="I44" i="2"/>
  <c r="H48" i="2"/>
  <c r="I22" i="2"/>
  <c r="H38" i="2"/>
  <c r="I41" i="2"/>
  <c r="J46" i="2"/>
  <c r="H22" i="2"/>
  <c r="H12" i="2"/>
  <c r="H42" i="2"/>
  <c r="J42" i="2"/>
  <c r="J49" i="2"/>
  <c r="H17" i="2"/>
  <c r="H50" i="2"/>
  <c r="I12" i="2"/>
  <c r="J26" i="2"/>
  <c r="I15" i="2"/>
  <c r="I25" i="2"/>
  <c r="H18" i="2"/>
  <c r="K18" i="2" s="1"/>
  <c r="H30" i="2"/>
  <c r="I19" i="2"/>
  <c r="I13" i="2"/>
  <c r="J31" i="2"/>
  <c r="J44" i="2"/>
  <c r="H31" i="2"/>
  <c r="F54" i="2"/>
  <c r="I35" i="2"/>
  <c r="H9" i="2"/>
  <c r="H39" i="2"/>
  <c r="H41" i="2"/>
  <c r="J7" i="2"/>
  <c r="J32" i="2"/>
  <c r="J51" i="2"/>
  <c r="J39" i="2"/>
  <c r="H13" i="2"/>
  <c r="J9" i="2"/>
  <c r="I50" i="2"/>
  <c r="H33" i="2"/>
  <c r="J36" i="2"/>
  <c r="H43" i="2"/>
  <c r="I47" i="2"/>
  <c r="H34" i="2"/>
  <c r="M55" i="2"/>
  <c r="M54" i="2"/>
  <c r="I30" i="2"/>
  <c r="H51" i="2"/>
  <c r="J41" i="2"/>
  <c r="H46" i="2"/>
  <c r="I39" i="2"/>
  <c r="I26" i="2"/>
  <c r="H11" i="2"/>
  <c r="J17" i="2"/>
  <c r="I23" i="2"/>
  <c r="H6" i="2"/>
  <c r="J13" i="2"/>
  <c r="J10" i="2"/>
  <c r="I7" i="2"/>
  <c r="L7" i="2" s="1"/>
  <c r="J45" i="2"/>
  <c r="I42" i="2"/>
  <c r="J47" i="2"/>
  <c r="I28" i="2"/>
  <c r="J34" i="2"/>
  <c r="F55" i="2"/>
  <c r="I55" i="2" s="1"/>
  <c r="I32" i="2"/>
  <c r="E53" i="2"/>
  <c r="H52" i="2" s="1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H49" i="2"/>
  <c r="K49" i="2" s="1"/>
  <c r="J50" i="2"/>
  <c r="J14" i="2"/>
  <c r="I20" i="2"/>
  <c r="F53" i="2"/>
  <c r="I52" i="2" s="1"/>
  <c r="N55" i="2"/>
  <c r="E54" i="2"/>
  <c r="H29" i="2"/>
  <c r="I37" i="2"/>
  <c r="J48" i="2"/>
  <c r="I31" i="2"/>
  <c r="H14" i="2"/>
  <c r="H36" i="2"/>
  <c r="I14" i="2"/>
  <c r="H8" i="2"/>
  <c r="I34" i="2"/>
  <c r="F26" i="5"/>
  <c r="M26" i="5"/>
  <c r="E26" i="5"/>
  <c r="N26" i="5"/>
  <c r="G26" i="5"/>
  <c r="K49" i="12" l="1"/>
  <c r="K41" i="2"/>
  <c r="K24" i="5"/>
  <c r="L24" i="5"/>
  <c r="I25" i="5"/>
  <c r="J25" i="5"/>
  <c r="H25" i="5"/>
  <c r="B27" i="5"/>
  <c r="L37" i="2"/>
  <c r="K14" i="3"/>
  <c r="L33" i="2"/>
  <c r="L20" i="2"/>
  <c r="K46" i="2"/>
  <c r="L58" i="2"/>
  <c r="K23" i="2"/>
  <c r="K43" i="2"/>
  <c r="L55" i="2"/>
  <c r="L10" i="2"/>
  <c r="L52" i="2"/>
  <c r="L35" i="2"/>
  <c r="L51" i="2"/>
  <c r="K17" i="2"/>
  <c r="J49" i="12"/>
  <c r="B52" i="12"/>
  <c r="L51" i="12"/>
  <c r="D51" i="12"/>
  <c r="G50" i="12" s="1"/>
  <c r="E51" i="12"/>
  <c r="H50" i="12" s="1"/>
  <c r="F51" i="12"/>
  <c r="I50" i="12" s="1"/>
  <c r="M51" i="12"/>
  <c r="B17" i="3"/>
  <c r="J15" i="3"/>
  <c r="I15" i="3"/>
  <c r="H15" i="3"/>
  <c r="L14" i="3"/>
  <c r="K58" i="2"/>
  <c r="K11" i="2"/>
  <c r="B61" i="2"/>
  <c r="H59" i="2"/>
  <c r="I59" i="2"/>
  <c r="J59" i="2"/>
  <c r="K29" i="2"/>
  <c r="K10" i="2"/>
  <c r="K45" i="2"/>
  <c r="K33" i="2"/>
  <c r="L19" i="2"/>
  <c r="L47" i="2"/>
  <c r="K15" i="2"/>
  <c r="K25" i="2"/>
  <c r="K27" i="2"/>
  <c r="L42" i="2"/>
  <c r="K48" i="2"/>
  <c r="L11" i="2"/>
  <c r="K42" i="2"/>
  <c r="L48" i="2"/>
  <c r="L26" i="2"/>
  <c r="L18" i="2"/>
  <c r="H53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K51" i="2"/>
  <c r="L32" i="2"/>
  <c r="L9" i="2"/>
  <c r="K44" i="2"/>
  <c r="K35" i="2"/>
  <c r="L34" i="2"/>
  <c r="L28" i="2"/>
  <c r="L50" i="2"/>
  <c r="L41" i="2"/>
  <c r="K19" i="2"/>
  <c r="L22" i="2"/>
  <c r="I54" i="2"/>
  <c r="K39" i="2"/>
  <c r="L23" i="2"/>
  <c r="K52" i="2"/>
  <c r="L24" i="2"/>
  <c r="L39" i="2"/>
  <c r="K47" i="2"/>
  <c r="L13" i="2"/>
  <c r="L49" i="2"/>
  <c r="K30" i="2"/>
  <c r="K16" i="2"/>
  <c r="K50" i="2"/>
  <c r="K26" i="2"/>
  <c r="L14" i="2"/>
  <c r="K40" i="2"/>
  <c r="K7" i="2"/>
  <c r="L43" i="2"/>
  <c r="K37" i="2"/>
  <c r="H54" i="2"/>
  <c r="K14" i="2"/>
  <c r="L16" i="2"/>
  <c r="K31" i="2"/>
  <c r="L27" i="2"/>
  <c r="L21" i="2"/>
  <c r="K34" i="2"/>
  <c r="L8" i="2"/>
  <c r="K8" i="2"/>
  <c r="K20" i="2"/>
  <c r="K55" i="2"/>
  <c r="I53" i="2"/>
  <c r="L40" i="2"/>
  <c r="L36" i="2"/>
  <c r="L29" i="2"/>
  <c r="E27" i="5"/>
  <c r="N27" i="5"/>
  <c r="M27" i="5"/>
  <c r="G27" i="5"/>
  <c r="F27" i="5"/>
  <c r="L25" i="5" l="1"/>
  <c r="J26" i="5"/>
  <c r="I26" i="5"/>
  <c r="H26" i="5"/>
  <c r="B28" i="5"/>
  <c r="K25" i="5"/>
  <c r="K50" i="12"/>
  <c r="K15" i="3"/>
  <c r="K59" i="2"/>
  <c r="B53" i="12"/>
  <c r="L52" i="12"/>
  <c r="D52" i="12"/>
  <c r="G51" i="12" s="1"/>
  <c r="E52" i="12"/>
  <c r="H51" i="12" s="1"/>
  <c r="F52" i="12"/>
  <c r="I51" i="12" s="1"/>
  <c r="M52" i="12"/>
  <c r="J50" i="12"/>
  <c r="B18" i="3"/>
  <c r="J16" i="3"/>
  <c r="I16" i="3"/>
  <c r="H16" i="3"/>
  <c r="L15" i="3"/>
  <c r="L59" i="2"/>
  <c r="B62" i="2"/>
  <c r="H60" i="2"/>
  <c r="J60" i="2"/>
  <c r="I60" i="2"/>
  <c r="L53" i="2"/>
  <c r="K54" i="2"/>
  <c r="K53" i="2"/>
  <c r="L54" i="2"/>
  <c r="N28" i="5"/>
  <c r="M28" i="5"/>
  <c r="G28" i="5"/>
  <c r="F28" i="5"/>
  <c r="E28" i="5"/>
  <c r="K51" i="12" l="1"/>
  <c r="K26" i="5"/>
  <c r="J27" i="5"/>
  <c r="H27" i="5"/>
  <c r="I27" i="5"/>
  <c r="B29" i="5"/>
  <c r="B30" i="5" s="1"/>
  <c r="L26" i="5"/>
  <c r="L60" i="2"/>
  <c r="B54" i="12"/>
  <c r="F53" i="12"/>
  <c r="I52" i="12" s="1"/>
  <c r="J51" i="12"/>
  <c r="L16" i="3"/>
  <c r="K16" i="3"/>
  <c r="B19" i="3"/>
  <c r="J17" i="3"/>
  <c r="I17" i="3"/>
  <c r="H17" i="3"/>
  <c r="K60" i="2"/>
  <c r="B63" i="2"/>
  <c r="H61" i="2"/>
  <c r="J61" i="2"/>
  <c r="I61" i="2"/>
  <c r="G29" i="5"/>
  <c r="F30" i="5"/>
  <c r="F29" i="5"/>
  <c r="E29" i="5"/>
  <c r="N29" i="5"/>
  <c r="N30" i="5"/>
  <c r="M29" i="5"/>
  <c r="G30" i="5"/>
  <c r="E30" i="5"/>
  <c r="M30" i="5"/>
  <c r="B31" i="5" l="1"/>
  <c r="L27" i="5"/>
  <c r="H28" i="5"/>
  <c r="H29" i="5"/>
  <c r="I28" i="5"/>
  <c r="I29" i="5"/>
  <c r="J29" i="5"/>
  <c r="J28" i="5"/>
  <c r="K27" i="5"/>
  <c r="K17" i="3"/>
  <c r="L61" i="2"/>
  <c r="B55" i="12"/>
  <c r="F54" i="12"/>
  <c r="I53" i="12" s="1"/>
  <c r="L17" i="3"/>
  <c r="B20" i="3"/>
  <c r="J18" i="3"/>
  <c r="I18" i="3"/>
  <c r="H18" i="3"/>
  <c r="K61" i="2"/>
  <c r="B64" i="2"/>
  <c r="H62" i="2"/>
  <c r="I62" i="2"/>
  <c r="J62" i="2"/>
  <c r="E31" i="5"/>
  <c r="G31" i="5"/>
  <c r="F31" i="5"/>
  <c r="N31" i="5"/>
  <c r="M31" i="5"/>
  <c r="H30" i="5" l="1"/>
  <c r="I30" i="5"/>
  <c r="J30" i="5"/>
  <c r="B32" i="5"/>
  <c r="L29" i="5"/>
  <c r="L28" i="5"/>
  <c r="K29" i="5"/>
  <c r="K28" i="5"/>
  <c r="B56" i="12"/>
  <c r="F55" i="12"/>
  <c r="I54" i="12" s="1"/>
  <c r="L18" i="3"/>
  <c r="K18" i="3"/>
  <c r="B21" i="3"/>
  <c r="J19" i="3"/>
  <c r="I19" i="3"/>
  <c r="H19" i="3"/>
  <c r="K62" i="2"/>
  <c r="L62" i="2"/>
  <c r="B65" i="2"/>
  <c r="H63" i="2"/>
  <c r="J63" i="2"/>
  <c r="I63" i="2"/>
  <c r="K30" i="5" l="1"/>
  <c r="J31" i="5"/>
  <c r="B33" i="5"/>
  <c r="L30" i="5"/>
  <c r="K19" i="3"/>
  <c r="L63" i="2"/>
  <c r="N56" i="12"/>
  <c r="B57" i="12"/>
  <c r="F56" i="12"/>
  <c r="I55" i="12" s="1"/>
  <c r="E56" i="12"/>
  <c r="M56" i="12"/>
  <c r="D56" i="12"/>
  <c r="L56" i="12"/>
  <c r="N52" i="12"/>
  <c r="N53" i="12"/>
  <c r="N54" i="12"/>
  <c r="N55" i="12"/>
  <c r="L19" i="3"/>
  <c r="B22" i="3"/>
  <c r="J20" i="3"/>
  <c r="H20" i="3"/>
  <c r="I20" i="3"/>
  <c r="K63" i="2"/>
  <c r="B66" i="2"/>
  <c r="H64" i="2"/>
  <c r="I64" i="2"/>
  <c r="J64" i="2"/>
  <c r="B34" i="5" l="1"/>
  <c r="K20" i="3"/>
  <c r="R52" i="12"/>
  <c r="Q52" i="12"/>
  <c r="P52" i="12"/>
  <c r="O52" i="12"/>
  <c r="O55" i="12"/>
  <c r="D55" i="12" s="1"/>
  <c r="R55" i="12"/>
  <c r="M55" i="12" s="1"/>
  <c r="Q55" i="12"/>
  <c r="L55" i="12" s="1"/>
  <c r="P55" i="12"/>
  <c r="E55" i="12" s="1"/>
  <c r="H55" i="12" s="1"/>
  <c r="P54" i="12"/>
  <c r="E54" i="12" s="1"/>
  <c r="O54" i="12"/>
  <c r="D54" i="12" s="1"/>
  <c r="R54" i="12"/>
  <c r="M54" i="12" s="1"/>
  <c r="Q54" i="12"/>
  <c r="L54" i="12" s="1"/>
  <c r="B58" i="12"/>
  <c r="E57" i="12"/>
  <c r="H56" i="12" s="1"/>
  <c r="F57" i="12"/>
  <c r="I56" i="12" s="1"/>
  <c r="D57" i="12"/>
  <c r="G56" i="12" s="1"/>
  <c r="L57" i="12"/>
  <c r="M57" i="12"/>
  <c r="Q53" i="12"/>
  <c r="L53" i="12" s="1"/>
  <c r="P53" i="12"/>
  <c r="E53" i="12" s="1"/>
  <c r="H52" i="12" s="1"/>
  <c r="O53" i="12"/>
  <c r="D53" i="12" s="1"/>
  <c r="G52" i="12" s="1"/>
  <c r="R53" i="12"/>
  <c r="M53" i="12" s="1"/>
  <c r="R56" i="12"/>
  <c r="Q56" i="12"/>
  <c r="O56" i="12"/>
  <c r="P56" i="12"/>
  <c r="L20" i="3"/>
  <c r="B23" i="3"/>
  <c r="I21" i="3"/>
  <c r="J21" i="3"/>
  <c r="H21" i="3"/>
  <c r="K64" i="2"/>
  <c r="L64" i="2"/>
  <c r="B67" i="2"/>
  <c r="H65" i="2"/>
  <c r="J65" i="2"/>
  <c r="I65" i="2"/>
  <c r="K56" i="12" l="1"/>
  <c r="B35" i="5"/>
  <c r="J52" i="12"/>
  <c r="G54" i="12"/>
  <c r="K21" i="3"/>
  <c r="L65" i="2"/>
  <c r="B59" i="12"/>
  <c r="L58" i="12"/>
  <c r="E58" i="12"/>
  <c r="H57" i="12" s="1"/>
  <c r="F58" i="12"/>
  <c r="I57" i="12" s="1"/>
  <c r="D58" i="12"/>
  <c r="G57" i="12" s="1"/>
  <c r="M58" i="12"/>
  <c r="K52" i="12"/>
  <c r="G53" i="12"/>
  <c r="J56" i="12"/>
  <c r="H53" i="12"/>
  <c r="H54" i="12"/>
  <c r="G55" i="12"/>
  <c r="J55" i="12" s="1"/>
  <c r="L21" i="3"/>
  <c r="B24" i="3"/>
  <c r="J22" i="3"/>
  <c r="H22" i="3"/>
  <c r="I22" i="3"/>
  <c r="B68" i="2"/>
  <c r="H66" i="2"/>
  <c r="J66" i="2"/>
  <c r="I66" i="2"/>
  <c r="K65" i="2"/>
  <c r="M35" i="5"/>
  <c r="F35" i="5"/>
  <c r="G35" i="5"/>
  <c r="N35" i="5"/>
  <c r="E35" i="5"/>
  <c r="K54" i="12" l="1"/>
  <c r="K53" i="12"/>
  <c r="J34" i="5"/>
  <c r="S32" i="5"/>
  <c r="N32" i="5" s="1"/>
  <c r="S35" i="5"/>
  <c r="S34" i="5"/>
  <c r="N34" i="5" s="1"/>
  <c r="S33" i="5"/>
  <c r="N33" i="5" s="1"/>
  <c r="P34" i="5"/>
  <c r="E34" i="5" s="1"/>
  <c r="P33" i="5"/>
  <c r="E33" i="5" s="1"/>
  <c r="P35" i="5"/>
  <c r="P32" i="5"/>
  <c r="E32" i="5" s="1"/>
  <c r="Q35" i="5"/>
  <c r="Q34" i="5"/>
  <c r="F34" i="5" s="1"/>
  <c r="Q32" i="5"/>
  <c r="F32" i="5" s="1"/>
  <c r="Q33" i="5"/>
  <c r="F33" i="5" s="1"/>
  <c r="R32" i="5"/>
  <c r="M32" i="5" s="1"/>
  <c r="R34" i="5"/>
  <c r="M34" i="5" s="1"/>
  <c r="R33" i="5"/>
  <c r="M33" i="5" s="1"/>
  <c r="R35" i="5"/>
  <c r="S31" i="5"/>
  <c r="R31" i="5"/>
  <c r="Q31" i="5"/>
  <c r="P31" i="5"/>
  <c r="B36" i="5"/>
  <c r="J57" i="12"/>
  <c r="L22" i="3"/>
  <c r="L66" i="2"/>
  <c r="J54" i="12"/>
  <c r="B60" i="12"/>
  <c r="F59" i="12"/>
  <c r="I58" i="12" s="1"/>
  <c r="D59" i="12"/>
  <c r="G58" i="12" s="1"/>
  <c r="L59" i="12"/>
  <c r="M59" i="12"/>
  <c r="E59" i="12"/>
  <c r="H58" i="12" s="1"/>
  <c r="K57" i="12"/>
  <c r="J53" i="12"/>
  <c r="K55" i="12"/>
  <c r="K22" i="3"/>
  <c r="B25" i="3"/>
  <c r="J23" i="3"/>
  <c r="I23" i="3"/>
  <c r="H23" i="3"/>
  <c r="B69" i="2"/>
  <c r="H67" i="2"/>
  <c r="I67" i="2"/>
  <c r="J67" i="2"/>
  <c r="K66" i="2"/>
  <c r="E36" i="5"/>
  <c r="F36" i="5"/>
  <c r="M36" i="5"/>
  <c r="G36" i="5"/>
  <c r="N36" i="5"/>
  <c r="I32" i="5" l="1"/>
  <c r="H32" i="5"/>
  <c r="H33" i="5"/>
  <c r="I33" i="5"/>
  <c r="I34" i="5"/>
  <c r="H34" i="5"/>
  <c r="H35" i="5"/>
  <c r="I35" i="5"/>
  <c r="J35" i="5"/>
  <c r="B37" i="5"/>
  <c r="K58" i="12"/>
  <c r="K23" i="3"/>
  <c r="L67" i="2"/>
  <c r="K67" i="2"/>
  <c r="J58" i="12"/>
  <c r="B61" i="12"/>
  <c r="E60" i="12"/>
  <c r="H59" i="12" s="1"/>
  <c r="D60" i="12"/>
  <c r="G59" i="12" s="1"/>
  <c r="F60" i="12"/>
  <c r="I59" i="12" s="1"/>
  <c r="L60" i="12"/>
  <c r="M60" i="12"/>
  <c r="L23" i="3"/>
  <c r="B26" i="3"/>
  <c r="J24" i="3"/>
  <c r="I24" i="3"/>
  <c r="H24" i="3"/>
  <c r="B70" i="2"/>
  <c r="H68" i="2"/>
  <c r="J68" i="2"/>
  <c r="I68" i="2"/>
  <c r="N37" i="5"/>
  <c r="E37" i="5"/>
  <c r="M37" i="5"/>
  <c r="F37" i="5"/>
  <c r="G37" i="5"/>
  <c r="L33" i="5" l="1"/>
  <c r="L32" i="5"/>
  <c r="K32" i="5"/>
  <c r="L34" i="5"/>
  <c r="K34" i="5"/>
  <c r="K33" i="5"/>
  <c r="H31" i="5"/>
  <c r="I31" i="5"/>
  <c r="L35" i="5"/>
  <c r="H36" i="5"/>
  <c r="J36" i="5"/>
  <c r="I36" i="5"/>
  <c r="B38" i="5"/>
  <c r="K35" i="5"/>
  <c r="K59" i="12"/>
  <c r="K24" i="3"/>
  <c r="L68" i="2"/>
  <c r="J59" i="12"/>
  <c r="B62" i="12"/>
  <c r="L61" i="12"/>
  <c r="F61" i="12"/>
  <c r="I60" i="12" s="1"/>
  <c r="D61" i="12"/>
  <c r="G60" i="12" s="1"/>
  <c r="E61" i="12"/>
  <c r="H60" i="12" s="1"/>
  <c r="M61" i="12"/>
  <c r="L24" i="3"/>
  <c r="B27" i="3"/>
  <c r="I25" i="3"/>
  <c r="J25" i="3"/>
  <c r="H25" i="3"/>
  <c r="B71" i="2"/>
  <c r="H69" i="2"/>
  <c r="J69" i="2"/>
  <c r="I69" i="2"/>
  <c r="K68" i="2"/>
  <c r="M38" i="5"/>
  <c r="G38" i="5"/>
  <c r="N38" i="5"/>
  <c r="E38" i="5"/>
  <c r="F38" i="5"/>
  <c r="L31" i="5" l="1"/>
  <c r="K31" i="5"/>
  <c r="L36" i="5"/>
  <c r="H37" i="5"/>
  <c r="I37" i="5"/>
  <c r="J37" i="5"/>
  <c r="B39" i="5"/>
  <c r="K36" i="5"/>
  <c r="K60" i="12"/>
  <c r="K25" i="3"/>
  <c r="L69" i="2"/>
  <c r="J60" i="12"/>
  <c r="B63" i="12"/>
  <c r="D62" i="12"/>
  <c r="G61" i="12" s="1"/>
  <c r="E62" i="12"/>
  <c r="H61" i="12" s="1"/>
  <c r="L62" i="12"/>
  <c r="M62" i="12"/>
  <c r="F62" i="12"/>
  <c r="I61" i="12" s="1"/>
  <c r="B28" i="3"/>
  <c r="J26" i="3"/>
  <c r="H26" i="3"/>
  <c r="I26" i="3"/>
  <c r="L25" i="3"/>
  <c r="K69" i="2"/>
  <c r="B72" i="2"/>
  <c r="H70" i="2"/>
  <c r="J70" i="2"/>
  <c r="I70" i="2"/>
  <c r="E39" i="5"/>
  <c r="F39" i="5"/>
  <c r="N39" i="5"/>
  <c r="G39" i="5"/>
  <c r="M39" i="5"/>
  <c r="K37" i="5" l="1"/>
  <c r="H38" i="5"/>
  <c r="I38" i="5"/>
  <c r="J38" i="5"/>
  <c r="B40" i="5"/>
  <c r="L37" i="5"/>
  <c r="K61" i="12"/>
  <c r="L26" i="3"/>
  <c r="B64" i="12"/>
  <c r="F63" i="12"/>
  <c r="I62" i="12" s="1"/>
  <c r="E63" i="12"/>
  <c r="H62" i="12" s="1"/>
  <c r="M63" i="12"/>
  <c r="D63" i="12"/>
  <c r="G62" i="12" s="1"/>
  <c r="L63" i="12"/>
  <c r="J61" i="12"/>
  <c r="K26" i="3"/>
  <c r="B29" i="3"/>
  <c r="J27" i="3"/>
  <c r="I27" i="3"/>
  <c r="H27" i="3"/>
  <c r="B73" i="2"/>
  <c r="H71" i="2"/>
  <c r="J71" i="2"/>
  <c r="I71" i="2"/>
  <c r="K70" i="2"/>
  <c r="L70" i="2"/>
  <c r="E40" i="5"/>
  <c r="J62" i="12" l="1"/>
  <c r="L38" i="5"/>
  <c r="K38" i="5"/>
  <c r="J39" i="5"/>
  <c r="H39" i="5"/>
  <c r="I39" i="5"/>
  <c r="B41" i="5"/>
  <c r="K27" i="3"/>
  <c r="L71" i="2"/>
  <c r="K62" i="12"/>
  <c r="B65" i="12"/>
  <c r="D64" i="12"/>
  <c r="G63" i="12" s="1"/>
  <c r="E64" i="12"/>
  <c r="H63" i="12" s="1"/>
  <c r="L64" i="12"/>
  <c r="M64" i="12"/>
  <c r="F64" i="12"/>
  <c r="I63" i="12" s="1"/>
  <c r="L27" i="3"/>
  <c r="B30" i="3"/>
  <c r="J28" i="3"/>
  <c r="H28" i="3"/>
  <c r="I28" i="3"/>
  <c r="K71" i="2"/>
  <c r="B74" i="2"/>
  <c r="H72" i="2"/>
  <c r="J72" i="2"/>
  <c r="I72" i="2"/>
  <c r="E41" i="5"/>
  <c r="K63" i="12" l="1"/>
  <c r="L39" i="5"/>
  <c r="H40" i="5"/>
  <c r="B42" i="5"/>
  <c r="K39" i="5"/>
  <c r="L28" i="3"/>
  <c r="L72" i="2"/>
  <c r="B66" i="12"/>
  <c r="F65" i="12"/>
  <c r="I64" i="12" s="1"/>
  <c r="D65" i="12"/>
  <c r="G64" i="12" s="1"/>
  <c r="E65" i="12"/>
  <c r="H64" i="12" s="1"/>
  <c r="L65" i="12"/>
  <c r="M65" i="12"/>
  <c r="J63" i="12"/>
  <c r="B31" i="3"/>
  <c r="I29" i="3"/>
  <c r="J29" i="3"/>
  <c r="H29" i="3"/>
  <c r="K28" i="3"/>
  <c r="K72" i="2"/>
  <c r="B75" i="2"/>
  <c r="H73" i="2"/>
  <c r="J73" i="2"/>
  <c r="I73" i="2"/>
  <c r="E42" i="5"/>
  <c r="K64" i="12" l="1"/>
  <c r="H41" i="5"/>
  <c r="K40" i="5"/>
  <c r="L40" i="5"/>
  <c r="B43" i="5"/>
  <c r="K29" i="3"/>
  <c r="L73" i="2"/>
  <c r="J64" i="12"/>
  <c r="B67" i="12"/>
  <c r="L66" i="12"/>
  <c r="F66" i="12"/>
  <c r="I65" i="12" s="1"/>
  <c r="D66" i="12"/>
  <c r="G65" i="12" s="1"/>
  <c r="E66" i="12"/>
  <c r="H65" i="12" s="1"/>
  <c r="M66" i="12"/>
  <c r="L29" i="3"/>
  <c r="B32" i="3"/>
  <c r="J30" i="3"/>
  <c r="H30" i="3"/>
  <c r="I30" i="3"/>
  <c r="K73" i="2"/>
  <c r="B76" i="2"/>
  <c r="H74" i="2"/>
  <c r="J74" i="2"/>
  <c r="I74" i="2"/>
  <c r="F43" i="5"/>
  <c r="N43" i="5"/>
  <c r="M43" i="5"/>
  <c r="G43" i="5"/>
  <c r="E43" i="5"/>
  <c r="K65" i="12" l="1"/>
  <c r="I42" i="5"/>
  <c r="J42" i="5"/>
  <c r="H42" i="5"/>
  <c r="K41" i="5"/>
  <c r="L41" i="5"/>
  <c r="B44" i="5"/>
  <c r="J65" i="12"/>
  <c r="L30" i="3"/>
  <c r="L74" i="2"/>
  <c r="B68" i="12"/>
  <c r="L67" i="12"/>
  <c r="E67" i="12"/>
  <c r="H66" i="12" s="1"/>
  <c r="F67" i="12"/>
  <c r="I66" i="12" s="1"/>
  <c r="D67" i="12"/>
  <c r="G66" i="12" s="1"/>
  <c r="M67" i="12"/>
  <c r="K30" i="3"/>
  <c r="B33" i="3"/>
  <c r="J31" i="3"/>
  <c r="I31" i="3"/>
  <c r="H31" i="3"/>
  <c r="K74" i="2"/>
  <c r="B77" i="2"/>
  <c r="H75" i="2"/>
  <c r="J75" i="2"/>
  <c r="I75" i="2"/>
  <c r="G44" i="5"/>
  <c r="N44" i="5"/>
  <c r="E44" i="5"/>
  <c r="M44" i="5"/>
  <c r="F44" i="5"/>
  <c r="J66" i="12" l="1"/>
  <c r="K42" i="5"/>
  <c r="L42" i="5"/>
  <c r="I43" i="5"/>
  <c r="J43" i="5"/>
  <c r="H43" i="5"/>
  <c r="B45" i="5"/>
  <c r="K31" i="3"/>
  <c r="L75" i="2"/>
  <c r="K66" i="12"/>
  <c r="B69" i="12"/>
  <c r="L68" i="12"/>
  <c r="F68" i="12"/>
  <c r="I67" i="12" s="1"/>
  <c r="E68" i="12"/>
  <c r="H67" i="12" s="1"/>
  <c r="D68" i="12"/>
  <c r="G67" i="12" s="1"/>
  <c r="M68" i="12"/>
  <c r="L31" i="3"/>
  <c r="B34" i="3"/>
  <c r="J32" i="3"/>
  <c r="I32" i="3"/>
  <c r="H32" i="3"/>
  <c r="B78" i="2"/>
  <c r="H76" i="2"/>
  <c r="J76" i="2"/>
  <c r="I76" i="2"/>
  <c r="K75" i="2"/>
  <c r="G45" i="5"/>
  <c r="F45" i="5"/>
  <c r="M45" i="5"/>
  <c r="E45" i="5"/>
  <c r="N45" i="5"/>
  <c r="J67" i="12" l="1"/>
  <c r="K43" i="5"/>
  <c r="H44" i="5"/>
  <c r="I44" i="5"/>
  <c r="J44" i="5"/>
  <c r="B46" i="5"/>
  <c r="L43" i="5"/>
  <c r="K32" i="3"/>
  <c r="L76" i="2"/>
  <c r="K67" i="12"/>
  <c r="B70" i="12"/>
  <c r="D69" i="12"/>
  <c r="G68" i="12" s="1"/>
  <c r="L69" i="12"/>
  <c r="F69" i="12"/>
  <c r="I68" i="12" s="1"/>
  <c r="M69" i="12"/>
  <c r="E69" i="12"/>
  <c r="H68" i="12" s="1"/>
  <c r="L32" i="3"/>
  <c r="B35" i="3"/>
  <c r="I33" i="3"/>
  <c r="J33" i="3"/>
  <c r="H33" i="3"/>
  <c r="B79" i="2"/>
  <c r="H77" i="2"/>
  <c r="J77" i="2"/>
  <c r="I77" i="2"/>
  <c r="K76" i="2"/>
  <c r="M46" i="5"/>
  <c r="F46" i="5"/>
  <c r="E46" i="5"/>
  <c r="N46" i="5"/>
  <c r="G46" i="5"/>
  <c r="L44" i="5" l="1"/>
  <c r="I45" i="5"/>
  <c r="H45" i="5"/>
  <c r="J45" i="5"/>
  <c r="B47" i="5"/>
  <c r="K44" i="5"/>
  <c r="K68" i="12"/>
  <c r="K33" i="3"/>
  <c r="L77" i="2"/>
  <c r="J68" i="12"/>
  <c r="B71" i="12"/>
  <c r="F70" i="12"/>
  <c r="I69" i="12" s="1"/>
  <c r="D70" i="12"/>
  <c r="G69" i="12" s="1"/>
  <c r="L70" i="12"/>
  <c r="E70" i="12"/>
  <c r="H69" i="12" s="1"/>
  <c r="M70" i="12"/>
  <c r="B36" i="3"/>
  <c r="J34" i="3"/>
  <c r="I34" i="3"/>
  <c r="H34" i="3"/>
  <c r="L33" i="3"/>
  <c r="K77" i="2"/>
  <c r="B80" i="2"/>
  <c r="H78" i="2"/>
  <c r="J78" i="2"/>
  <c r="I78" i="2"/>
  <c r="N47" i="5"/>
  <c r="E47" i="5"/>
  <c r="G47" i="5"/>
  <c r="F47" i="5"/>
  <c r="M47" i="5"/>
  <c r="J69" i="12" l="1"/>
  <c r="K45" i="5"/>
  <c r="H46" i="5"/>
  <c r="I46" i="5"/>
  <c r="J46" i="5"/>
  <c r="B48" i="5"/>
  <c r="L45" i="5"/>
  <c r="K69" i="12"/>
  <c r="L34" i="3"/>
  <c r="L78" i="2"/>
  <c r="B72" i="12"/>
  <c r="L71" i="12"/>
  <c r="E71" i="12"/>
  <c r="H70" i="12" s="1"/>
  <c r="F71" i="12"/>
  <c r="I70" i="12" s="1"/>
  <c r="D71" i="12"/>
  <c r="G70" i="12" s="1"/>
  <c r="M71" i="12"/>
  <c r="K34" i="3"/>
  <c r="B37" i="3"/>
  <c r="J35" i="3"/>
  <c r="I35" i="3"/>
  <c r="H35" i="3"/>
  <c r="B81" i="2"/>
  <c r="H79" i="2"/>
  <c r="J79" i="2"/>
  <c r="I79" i="2"/>
  <c r="K78" i="2"/>
  <c r="G48" i="5"/>
  <c r="F48" i="5"/>
  <c r="E48" i="5"/>
  <c r="M48" i="5"/>
  <c r="N48" i="5"/>
  <c r="K70" i="12" l="1"/>
  <c r="L46" i="5"/>
  <c r="H47" i="5"/>
  <c r="I47" i="5"/>
  <c r="J47" i="5"/>
  <c r="B49" i="5"/>
  <c r="K46" i="5"/>
  <c r="L79" i="2"/>
  <c r="K79" i="2"/>
  <c r="J70" i="12"/>
  <c r="B73" i="12"/>
  <c r="F72" i="12"/>
  <c r="I71" i="12" s="1"/>
  <c r="L72" i="12"/>
  <c r="E72" i="12"/>
  <c r="H71" i="12" s="1"/>
  <c r="D72" i="12"/>
  <c r="G71" i="12" s="1"/>
  <c r="M72" i="12"/>
  <c r="K35" i="3"/>
  <c r="L35" i="3"/>
  <c r="B38" i="3"/>
  <c r="J36" i="3"/>
  <c r="I36" i="3"/>
  <c r="H36" i="3"/>
  <c r="B82" i="2"/>
  <c r="H80" i="2"/>
  <c r="J80" i="2"/>
  <c r="I80" i="2"/>
  <c r="N49" i="5"/>
  <c r="G49" i="5"/>
  <c r="E49" i="5"/>
  <c r="F49" i="5"/>
  <c r="M49" i="5"/>
  <c r="J71" i="12" l="1"/>
  <c r="L47" i="5"/>
  <c r="K47" i="5"/>
  <c r="I48" i="5"/>
  <c r="H48" i="5"/>
  <c r="J48" i="5"/>
  <c r="B50" i="5"/>
  <c r="L80" i="2"/>
  <c r="K71" i="12"/>
  <c r="B74" i="12"/>
  <c r="F73" i="12"/>
  <c r="I72" i="12" s="1"/>
  <c r="D73" i="12"/>
  <c r="G72" i="12" s="1"/>
  <c r="L73" i="12"/>
  <c r="E73" i="12"/>
  <c r="H72" i="12" s="1"/>
  <c r="M73" i="12"/>
  <c r="L36" i="3"/>
  <c r="K36" i="3"/>
  <c r="B39" i="3"/>
  <c r="I37" i="3"/>
  <c r="J37" i="3"/>
  <c r="H37" i="3"/>
  <c r="K80" i="2"/>
  <c r="B83" i="2"/>
  <c r="H81" i="2"/>
  <c r="J81" i="2"/>
  <c r="I81" i="2"/>
  <c r="E50" i="5"/>
  <c r="G50" i="5"/>
  <c r="N50" i="5"/>
  <c r="F50" i="5"/>
  <c r="M50" i="5"/>
  <c r="K72" i="12" l="1"/>
  <c r="L48" i="5"/>
  <c r="I49" i="5"/>
  <c r="J49" i="5"/>
  <c r="H49" i="5"/>
  <c r="B51" i="5"/>
  <c r="K48" i="5"/>
  <c r="K37" i="3"/>
  <c r="J72" i="12"/>
  <c r="B75" i="12"/>
  <c r="L74" i="12"/>
  <c r="D74" i="12"/>
  <c r="G73" i="12" s="1"/>
  <c r="E74" i="12"/>
  <c r="H73" i="12" s="1"/>
  <c r="F74" i="12"/>
  <c r="I73" i="12" s="1"/>
  <c r="M74" i="12"/>
  <c r="L37" i="3"/>
  <c r="B40" i="3"/>
  <c r="J38" i="3"/>
  <c r="I38" i="3"/>
  <c r="H38" i="3"/>
  <c r="K81" i="2"/>
  <c r="L81" i="2"/>
  <c r="B84" i="2"/>
  <c r="H82" i="2"/>
  <c r="J82" i="2"/>
  <c r="I82" i="2"/>
  <c r="F51" i="5"/>
  <c r="M51" i="5"/>
  <c r="G51" i="5"/>
  <c r="E51" i="5"/>
  <c r="N51" i="5"/>
  <c r="K73" i="12" l="1"/>
  <c r="L49" i="5"/>
  <c r="J50" i="5"/>
  <c r="H50" i="5"/>
  <c r="I50" i="5"/>
  <c r="B52" i="5"/>
  <c r="K49" i="5"/>
  <c r="J73" i="12"/>
  <c r="K38" i="3"/>
  <c r="L82" i="2"/>
  <c r="B76" i="12"/>
  <c r="L75" i="12"/>
  <c r="F75" i="12"/>
  <c r="I74" i="12" s="1"/>
  <c r="E75" i="12"/>
  <c r="H74" i="12" s="1"/>
  <c r="D75" i="12"/>
  <c r="G74" i="12" s="1"/>
  <c r="M75" i="12"/>
  <c r="L38" i="3"/>
  <c r="B41" i="3"/>
  <c r="J39" i="3"/>
  <c r="I39" i="3"/>
  <c r="H39" i="3"/>
  <c r="K82" i="2"/>
  <c r="B85" i="2"/>
  <c r="H83" i="2"/>
  <c r="J83" i="2"/>
  <c r="I83" i="2"/>
  <c r="E52" i="5"/>
  <c r="F52" i="5"/>
  <c r="N52" i="5"/>
  <c r="M52" i="5"/>
  <c r="G52" i="5"/>
  <c r="J74" i="12" l="1"/>
  <c r="L50" i="5"/>
  <c r="J51" i="5"/>
  <c r="I51" i="5"/>
  <c r="H51" i="5"/>
  <c r="K50" i="5"/>
  <c r="B53" i="5"/>
  <c r="K39" i="3"/>
  <c r="L83" i="2"/>
  <c r="K83" i="2"/>
  <c r="K74" i="12"/>
  <c r="B77" i="12"/>
  <c r="L76" i="12"/>
  <c r="F76" i="12"/>
  <c r="I75" i="12" s="1"/>
  <c r="E76" i="12"/>
  <c r="H75" i="12" s="1"/>
  <c r="D76" i="12"/>
  <c r="G75" i="12" s="1"/>
  <c r="M76" i="12"/>
  <c r="L39" i="3"/>
  <c r="B42" i="3"/>
  <c r="J40" i="3"/>
  <c r="I40" i="3"/>
  <c r="H40" i="3"/>
  <c r="B86" i="2"/>
  <c r="H84" i="2"/>
  <c r="J84" i="2"/>
  <c r="I84" i="2"/>
  <c r="F53" i="5"/>
  <c r="E53" i="5"/>
  <c r="N53" i="5"/>
  <c r="M53" i="5"/>
  <c r="G53" i="5"/>
  <c r="K51" i="5" l="1"/>
  <c r="J52" i="5"/>
  <c r="H52" i="5"/>
  <c r="I52" i="5"/>
  <c r="B54" i="5"/>
  <c r="L51" i="5"/>
  <c r="K75" i="12"/>
  <c r="K40" i="3"/>
  <c r="L84" i="2"/>
  <c r="J75" i="12"/>
  <c r="B78" i="12"/>
  <c r="L77" i="12"/>
  <c r="D77" i="12"/>
  <c r="G76" i="12" s="1"/>
  <c r="E77" i="12"/>
  <c r="H76" i="12" s="1"/>
  <c r="F77" i="12"/>
  <c r="I76" i="12" s="1"/>
  <c r="M77" i="12"/>
  <c r="L40" i="3"/>
  <c r="B43" i="3"/>
  <c r="I41" i="3"/>
  <c r="J41" i="3"/>
  <c r="H41" i="3"/>
  <c r="B87" i="2"/>
  <c r="H85" i="2"/>
  <c r="J85" i="2"/>
  <c r="I85" i="2"/>
  <c r="K84" i="2"/>
  <c r="M54" i="5"/>
  <c r="G54" i="5"/>
  <c r="E54" i="5"/>
  <c r="N54" i="5"/>
  <c r="F54" i="5"/>
  <c r="L52" i="5" l="1"/>
  <c r="I53" i="5"/>
  <c r="J53" i="5"/>
  <c r="H53" i="5"/>
  <c r="B55" i="5"/>
  <c r="K52" i="5"/>
  <c r="J76" i="12"/>
  <c r="K41" i="3"/>
  <c r="L85" i="2"/>
  <c r="K76" i="12"/>
  <c r="B79" i="12"/>
  <c r="L78" i="12"/>
  <c r="D78" i="12"/>
  <c r="G77" i="12" s="1"/>
  <c r="E78" i="12"/>
  <c r="H77" i="12" s="1"/>
  <c r="F78" i="12"/>
  <c r="I77" i="12" s="1"/>
  <c r="M78" i="12"/>
  <c r="L41" i="3"/>
  <c r="B44" i="3"/>
  <c r="J42" i="3"/>
  <c r="I42" i="3"/>
  <c r="H42" i="3"/>
  <c r="B88" i="2"/>
  <c r="H86" i="2"/>
  <c r="J86" i="2"/>
  <c r="I86" i="2"/>
  <c r="K85" i="2"/>
  <c r="M55" i="5"/>
  <c r="E55" i="5"/>
  <c r="F55" i="5"/>
  <c r="G55" i="5"/>
  <c r="N55" i="5"/>
  <c r="J77" i="12" l="1"/>
  <c r="L53" i="5"/>
  <c r="K53" i="5"/>
  <c r="J54" i="5"/>
  <c r="H54" i="5"/>
  <c r="I54" i="5"/>
  <c r="B56" i="5"/>
  <c r="K42" i="3"/>
  <c r="L86" i="2"/>
  <c r="K77" i="12"/>
  <c r="B80" i="12"/>
  <c r="E79" i="12"/>
  <c r="H78" i="12" s="1"/>
  <c r="D79" i="12"/>
  <c r="G78" i="12" s="1"/>
  <c r="L79" i="12"/>
  <c r="M79" i="12"/>
  <c r="F79" i="12"/>
  <c r="I78" i="12" s="1"/>
  <c r="L42" i="3"/>
  <c r="B45" i="3"/>
  <c r="J43" i="3"/>
  <c r="H43" i="3"/>
  <c r="I43" i="3"/>
  <c r="B89" i="2"/>
  <c r="H87" i="2"/>
  <c r="J87" i="2"/>
  <c r="I87" i="2"/>
  <c r="K86" i="2"/>
  <c r="J78" i="12" l="1"/>
  <c r="L54" i="5"/>
  <c r="J55" i="5"/>
  <c r="B57" i="5"/>
  <c r="K54" i="5"/>
  <c r="L43" i="3"/>
  <c r="L87" i="2"/>
  <c r="B81" i="12"/>
  <c r="L80" i="12"/>
  <c r="E80" i="12"/>
  <c r="H79" i="12" s="1"/>
  <c r="D80" i="12"/>
  <c r="G79" i="12" s="1"/>
  <c r="F80" i="12"/>
  <c r="I79" i="12" s="1"/>
  <c r="M80" i="12"/>
  <c r="K78" i="12"/>
  <c r="K43" i="3"/>
  <c r="B46" i="3"/>
  <c r="J44" i="3"/>
  <c r="H44" i="3"/>
  <c r="I44" i="3"/>
  <c r="B90" i="2"/>
  <c r="H88" i="2"/>
  <c r="J88" i="2"/>
  <c r="I88" i="2"/>
  <c r="K87" i="2"/>
  <c r="B58" i="5" l="1"/>
  <c r="J79" i="12"/>
  <c r="L44" i="3"/>
  <c r="L88" i="2"/>
  <c r="K79" i="12"/>
  <c r="B82" i="12"/>
  <c r="L81" i="12"/>
  <c r="F81" i="12"/>
  <c r="I80" i="12" s="1"/>
  <c r="M81" i="12"/>
  <c r="D81" i="12"/>
  <c r="G80" i="12" s="1"/>
  <c r="E81" i="12"/>
  <c r="H80" i="12" s="1"/>
  <c r="K44" i="3"/>
  <c r="B47" i="3"/>
  <c r="I45" i="3"/>
  <c r="H45" i="3"/>
  <c r="J45" i="3"/>
  <c r="B91" i="2"/>
  <c r="H89" i="2"/>
  <c r="J89" i="2"/>
  <c r="I89" i="2"/>
  <c r="K88" i="2"/>
  <c r="B59" i="5" l="1"/>
  <c r="J80" i="12"/>
  <c r="L89" i="2"/>
  <c r="K80" i="12"/>
  <c r="B83" i="12"/>
  <c r="D82" i="12"/>
  <c r="G81" i="12" s="1"/>
  <c r="F82" i="12"/>
  <c r="I81" i="12" s="1"/>
  <c r="M82" i="12"/>
  <c r="E82" i="12"/>
  <c r="H81" i="12" s="1"/>
  <c r="L82" i="12"/>
  <c r="L45" i="3"/>
  <c r="K45" i="3"/>
  <c r="B48" i="3"/>
  <c r="J46" i="3"/>
  <c r="I46" i="3"/>
  <c r="H46" i="3"/>
  <c r="K89" i="2"/>
  <c r="B92" i="2"/>
  <c r="H90" i="2"/>
  <c r="J90" i="2"/>
  <c r="I90" i="2"/>
  <c r="N59" i="5"/>
  <c r="G59" i="5"/>
  <c r="M59" i="5"/>
  <c r="F59" i="5"/>
  <c r="E59" i="5"/>
  <c r="K81" i="12" l="1"/>
  <c r="J58" i="5"/>
  <c r="S56" i="5"/>
  <c r="N56" i="5" s="1"/>
  <c r="S58" i="5"/>
  <c r="N58" i="5" s="1"/>
  <c r="S57" i="5"/>
  <c r="N57" i="5" s="1"/>
  <c r="S59" i="5"/>
  <c r="P56" i="5"/>
  <c r="E56" i="5" s="1"/>
  <c r="P57" i="5"/>
  <c r="E57" i="5" s="1"/>
  <c r="P59" i="5"/>
  <c r="P58" i="5"/>
  <c r="E58" i="5" s="1"/>
  <c r="Q59" i="5"/>
  <c r="Q57" i="5"/>
  <c r="F57" i="5" s="1"/>
  <c r="Q56" i="5"/>
  <c r="F56" i="5" s="1"/>
  <c r="Q58" i="5"/>
  <c r="F58" i="5" s="1"/>
  <c r="R57" i="5"/>
  <c r="M57" i="5" s="1"/>
  <c r="R56" i="5"/>
  <c r="M56" i="5" s="1"/>
  <c r="R59" i="5"/>
  <c r="R58" i="5"/>
  <c r="M58" i="5" s="1"/>
  <c r="S55" i="5"/>
  <c r="R55" i="5"/>
  <c r="Q55" i="5"/>
  <c r="P55" i="5"/>
  <c r="B60" i="5"/>
  <c r="L90" i="2"/>
  <c r="K46" i="3"/>
  <c r="J81" i="12"/>
  <c r="B84" i="12"/>
  <c r="F83" i="12"/>
  <c r="I82" i="12" s="1"/>
  <c r="E83" i="12"/>
  <c r="H82" i="12" s="1"/>
  <c r="D83" i="12"/>
  <c r="G82" i="12" s="1"/>
  <c r="L83" i="12"/>
  <c r="M83" i="12"/>
  <c r="L46" i="3"/>
  <c r="B49" i="3"/>
  <c r="J47" i="3"/>
  <c r="I47" i="3"/>
  <c r="H47" i="3"/>
  <c r="B93" i="2"/>
  <c r="H91" i="2"/>
  <c r="J91" i="2"/>
  <c r="I91" i="2"/>
  <c r="K90" i="2"/>
  <c r="M60" i="5"/>
  <c r="G60" i="5"/>
  <c r="F60" i="5"/>
  <c r="E60" i="5"/>
  <c r="N60" i="5"/>
  <c r="J82" i="12" l="1"/>
  <c r="H57" i="5"/>
  <c r="I57" i="5"/>
  <c r="I56" i="5"/>
  <c r="I58" i="5"/>
  <c r="H58" i="5"/>
  <c r="H56" i="5"/>
  <c r="H59" i="5"/>
  <c r="J59" i="5"/>
  <c r="I59" i="5"/>
  <c r="B61" i="5"/>
  <c r="K82" i="12"/>
  <c r="K47" i="3"/>
  <c r="L91" i="2"/>
  <c r="B85" i="12"/>
  <c r="F84" i="12"/>
  <c r="I83" i="12" s="1"/>
  <c r="D84" i="12"/>
  <c r="G83" i="12" s="1"/>
  <c r="E84" i="12"/>
  <c r="H83" i="12" s="1"/>
  <c r="L84" i="12"/>
  <c r="M84" i="12"/>
  <c r="L47" i="3"/>
  <c r="B50" i="3"/>
  <c r="J48" i="3"/>
  <c r="I48" i="3"/>
  <c r="H48" i="3"/>
  <c r="K91" i="2"/>
  <c r="B94" i="2"/>
  <c r="H92" i="2"/>
  <c r="J92" i="2"/>
  <c r="I92" i="2"/>
  <c r="G61" i="5"/>
  <c r="N61" i="5"/>
  <c r="E61" i="5"/>
  <c r="M61" i="5"/>
  <c r="F61" i="5"/>
  <c r="K56" i="5" l="1"/>
  <c r="L58" i="5"/>
  <c r="K83" i="12"/>
  <c r="K57" i="5"/>
  <c r="L57" i="5"/>
  <c r="K58" i="5"/>
  <c r="L56" i="5"/>
  <c r="H55" i="5"/>
  <c r="I55" i="5"/>
  <c r="K59" i="5"/>
  <c r="J60" i="5"/>
  <c r="H60" i="5"/>
  <c r="I60" i="5"/>
  <c r="B62" i="5"/>
  <c r="L59" i="5"/>
  <c r="K92" i="2"/>
  <c r="B86" i="12"/>
  <c r="E85" i="12"/>
  <c r="H84" i="12" s="1"/>
  <c r="D85" i="12"/>
  <c r="G84" i="12" s="1"/>
  <c r="F85" i="12"/>
  <c r="I84" i="12" s="1"/>
  <c r="L85" i="12"/>
  <c r="M85" i="12"/>
  <c r="J83" i="12"/>
  <c r="L48" i="3"/>
  <c r="K48" i="3"/>
  <c r="B51" i="3"/>
  <c r="J49" i="3"/>
  <c r="I49" i="3"/>
  <c r="H49" i="3"/>
  <c r="L92" i="2"/>
  <c r="B95" i="2"/>
  <c r="H93" i="2"/>
  <c r="I93" i="2"/>
  <c r="J93" i="2"/>
  <c r="M62" i="5"/>
  <c r="F62" i="5"/>
  <c r="N62" i="5"/>
  <c r="E62" i="5"/>
  <c r="G62" i="5"/>
  <c r="J84" i="12" l="1"/>
  <c r="L55" i="5"/>
  <c r="K55" i="5"/>
  <c r="L60" i="5"/>
  <c r="J61" i="5"/>
  <c r="H61" i="5"/>
  <c r="I61" i="5"/>
  <c r="B63" i="5"/>
  <c r="K60" i="5"/>
  <c r="K49" i="3"/>
  <c r="L93" i="2"/>
  <c r="K84" i="12"/>
  <c r="B87" i="12"/>
  <c r="D86" i="12"/>
  <c r="G85" i="12" s="1"/>
  <c r="L86" i="12"/>
  <c r="E86" i="12"/>
  <c r="H85" i="12" s="1"/>
  <c r="F86" i="12"/>
  <c r="I85" i="12" s="1"/>
  <c r="M86" i="12"/>
  <c r="L49" i="3"/>
  <c r="B52" i="3"/>
  <c r="J50" i="3"/>
  <c r="I50" i="3"/>
  <c r="H50" i="3"/>
  <c r="B96" i="2"/>
  <c r="H94" i="2"/>
  <c r="J94" i="2"/>
  <c r="I94" i="2"/>
  <c r="K93" i="2"/>
  <c r="N63" i="5"/>
  <c r="M63" i="5"/>
  <c r="E63" i="5"/>
  <c r="G63" i="5"/>
  <c r="F63" i="5"/>
  <c r="K85" i="12" l="1"/>
  <c r="L61" i="5"/>
  <c r="J62" i="5"/>
  <c r="H62" i="5"/>
  <c r="I62" i="5"/>
  <c r="B64" i="5"/>
  <c r="K61" i="5"/>
  <c r="L94" i="2"/>
  <c r="B88" i="12"/>
  <c r="E87" i="12"/>
  <c r="H86" i="12" s="1"/>
  <c r="D87" i="12"/>
  <c r="G86" i="12" s="1"/>
  <c r="L87" i="12"/>
  <c r="F87" i="12"/>
  <c r="I86" i="12" s="1"/>
  <c r="M87" i="12"/>
  <c r="J85" i="12"/>
  <c r="K50" i="3"/>
  <c r="J51" i="3"/>
  <c r="L50" i="3"/>
  <c r="B53" i="3"/>
  <c r="B97" i="2"/>
  <c r="H95" i="2"/>
  <c r="J95" i="2"/>
  <c r="I95" i="2"/>
  <c r="K94" i="2"/>
  <c r="N64" i="5"/>
  <c r="E64" i="5"/>
  <c r="G64" i="5"/>
  <c r="M64" i="5"/>
  <c r="F64" i="5"/>
  <c r="K62" i="5" l="1"/>
  <c r="H63" i="5"/>
  <c r="I63" i="5"/>
  <c r="J63" i="5"/>
  <c r="B65" i="5"/>
  <c r="L62" i="5"/>
  <c r="J86" i="12"/>
  <c r="L95" i="2"/>
  <c r="K86" i="12"/>
  <c r="B89" i="12"/>
  <c r="L88" i="12"/>
  <c r="F88" i="12"/>
  <c r="I87" i="12" s="1"/>
  <c r="E88" i="12"/>
  <c r="H87" i="12" s="1"/>
  <c r="D88" i="12"/>
  <c r="G87" i="12" s="1"/>
  <c r="M88" i="12"/>
  <c r="J52" i="3"/>
  <c r="H52" i="3"/>
  <c r="I51" i="3"/>
  <c r="B54" i="3"/>
  <c r="H51" i="3"/>
  <c r="K95" i="2"/>
  <c r="B98" i="2"/>
  <c r="H96" i="2"/>
  <c r="J96" i="2"/>
  <c r="I96" i="2"/>
  <c r="N65" i="5"/>
  <c r="F65" i="5"/>
  <c r="G65" i="5"/>
  <c r="M65" i="5"/>
  <c r="E65" i="5"/>
  <c r="J87" i="12" l="1"/>
  <c r="K63" i="5"/>
  <c r="H64" i="5"/>
  <c r="J64" i="5"/>
  <c r="I64" i="5"/>
  <c r="B66" i="5"/>
  <c r="L63" i="5"/>
  <c r="L96" i="2"/>
  <c r="K87" i="12"/>
  <c r="B90" i="12"/>
  <c r="D89" i="12"/>
  <c r="G88" i="12" s="1"/>
  <c r="L89" i="12"/>
  <c r="M89" i="12"/>
  <c r="E89" i="12"/>
  <c r="H88" i="12" s="1"/>
  <c r="F89" i="12"/>
  <c r="I88" i="12" s="1"/>
  <c r="H53" i="3"/>
  <c r="J53" i="3"/>
  <c r="I53" i="3"/>
  <c r="I52" i="3"/>
  <c r="L52" i="3" s="1"/>
  <c r="K51" i="3"/>
  <c r="B55" i="3"/>
  <c r="L51" i="3"/>
  <c r="K96" i="2"/>
  <c r="B99" i="2"/>
  <c r="H97" i="2"/>
  <c r="J97" i="2"/>
  <c r="I97" i="2"/>
  <c r="G66" i="5"/>
  <c r="M66" i="5"/>
  <c r="N66" i="5"/>
  <c r="F66" i="5"/>
  <c r="E66" i="5"/>
  <c r="K88" i="12" l="1"/>
  <c r="K64" i="5"/>
  <c r="J65" i="5"/>
  <c r="H65" i="5"/>
  <c r="I65" i="5"/>
  <c r="L64" i="5"/>
  <c r="B67" i="5"/>
  <c r="L53" i="3"/>
  <c r="L97" i="2"/>
  <c r="J88" i="12"/>
  <c r="B91" i="12"/>
  <c r="D90" i="12"/>
  <c r="G89" i="12" s="1"/>
  <c r="L90" i="12"/>
  <c r="F90" i="12"/>
  <c r="I89" i="12" s="1"/>
  <c r="E90" i="12"/>
  <c r="H89" i="12" s="1"/>
  <c r="M90" i="12"/>
  <c r="K52" i="3"/>
  <c r="H54" i="3"/>
  <c r="J54" i="3"/>
  <c r="I54" i="3"/>
  <c r="K53" i="3"/>
  <c r="B56" i="3"/>
  <c r="K97" i="2"/>
  <c r="B100" i="2"/>
  <c r="H98" i="2"/>
  <c r="J98" i="2"/>
  <c r="I98" i="2"/>
  <c r="N67" i="5"/>
  <c r="E67" i="5"/>
  <c r="F67" i="5"/>
  <c r="M67" i="5"/>
  <c r="G67" i="5"/>
  <c r="K89" i="12" l="1"/>
  <c r="L65" i="5"/>
  <c r="J66" i="5"/>
  <c r="I66" i="5"/>
  <c r="H66" i="5"/>
  <c r="B68" i="5"/>
  <c r="K65" i="5"/>
  <c r="L54" i="3"/>
  <c r="L98" i="2"/>
  <c r="J89" i="12"/>
  <c r="B92" i="12"/>
  <c r="L91" i="12"/>
  <c r="M91" i="12"/>
  <c r="F91" i="12"/>
  <c r="I90" i="12" s="1"/>
  <c r="D91" i="12"/>
  <c r="G90" i="12" s="1"/>
  <c r="E91" i="12"/>
  <c r="H90" i="12" s="1"/>
  <c r="H55" i="3"/>
  <c r="I55" i="3"/>
  <c r="K54" i="3"/>
  <c r="B57" i="3"/>
  <c r="B101" i="2"/>
  <c r="H99" i="2"/>
  <c r="J99" i="2"/>
  <c r="I99" i="2"/>
  <c r="K98" i="2"/>
  <c r="G68" i="5"/>
  <c r="F68" i="5"/>
  <c r="N68" i="5"/>
  <c r="M68" i="5"/>
  <c r="E68" i="5"/>
  <c r="L66" i="5" l="1"/>
  <c r="H67" i="5"/>
  <c r="I67" i="5"/>
  <c r="J67" i="5"/>
  <c r="B69" i="5"/>
  <c r="K66" i="5"/>
  <c r="K90" i="12"/>
  <c r="L55" i="3"/>
  <c r="L99" i="2"/>
  <c r="J90" i="12"/>
  <c r="B93" i="12"/>
  <c r="E92" i="12"/>
  <c r="H91" i="12" s="1"/>
  <c r="D92" i="12"/>
  <c r="G91" i="12" s="1"/>
  <c r="L92" i="12"/>
  <c r="F92" i="12"/>
  <c r="I91" i="12" s="1"/>
  <c r="M92" i="12"/>
  <c r="I56" i="3"/>
  <c r="J56" i="3"/>
  <c r="J55" i="3"/>
  <c r="K55" i="3"/>
  <c r="B58" i="3"/>
  <c r="B102" i="2"/>
  <c r="H100" i="2"/>
  <c r="J100" i="2"/>
  <c r="I100" i="2"/>
  <c r="K99" i="2"/>
  <c r="F69" i="5"/>
  <c r="N69" i="5"/>
  <c r="M69" i="5"/>
  <c r="E69" i="5"/>
  <c r="G69" i="5"/>
  <c r="L67" i="5" l="1"/>
  <c r="H68" i="5"/>
  <c r="J68" i="5"/>
  <c r="I68" i="5"/>
  <c r="B70" i="5"/>
  <c r="K67" i="5"/>
  <c r="J91" i="12"/>
  <c r="L100" i="2"/>
  <c r="K91" i="12"/>
  <c r="B94" i="12"/>
  <c r="F93" i="12"/>
  <c r="I92" i="12" s="1"/>
  <c r="E93" i="12"/>
  <c r="H92" i="12" s="1"/>
  <c r="D93" i="12"/>
  <c r="G92" i="12" s="1"/>
  <c r="L93" i="12"/>
  <c r="M93" i="12"/>
  <c r="H56" i="3"/>
  <c r="K56" i="3" s="1"/>
  <c r="H57" i="3"/>
  <c r="I57" i="3"/>
  <c r="J57" i="3"/>
  <c r="B59" i="3"/>
  <c r="K100" i="2"/>
  <c r="B103" i="2"/>
  <c r="H101" i="2"/>
  <c r="J101" i="2"/>
  <c r="I101" i="2"/>
  <c r="G70" i="5"/>
  <c r="N70" i="5"/>
  <c r="E70" i="5"/>
  <c r="M70" i="5"/>
  <c r="F70" i="5"/>
  <c r="J92" i="12" l="1"/>
  <c r="K68" i="5"/>
  <c r="H69" i="5"/>
  <c r="I69" i="5"/>
  <c r="J69" i="5"/>
  <c r="L68" i="5"/>
  <c r="B71" i="5"/>
  <c r="K57" i="3"/>
  <c r="L101" i="2"/>
  <c r="K92" i="12"/>
  <c r="B95" i="12"/>
  <c r="E94" i="12"/>
  <c r="H93" i="12" s="1"/>
  <c r="L94" i="12"/>
  <c r="F94" i="12"/>
  <c r="I93" i="12" s="1"/>
  <c r="D94" i="12"/>
  <c r="G93" i="12" s="1"/>
  <c r="M94" i="12"/>
  <c r="L57" i="3"/>
  <c r="L56" i="3"/>
  <c r="H58" i="3"/>
  <c r="J58" i="3"/>
  <c r="I58" i="3"/>
  <c r="B60" i="3"/>
  <c r="K101" i="2"/>
  <c r="B104" i="2"/>
  <c r="H102" i="2"/>
  <c r="J102" i="2"/>
  <c r="I102" i="2"/>
  <c r="N71" i="5"/>
  <c r="G71" i="5"/>
  <c r="F71" i="5"/>
  <c r="M71" i="5"/>
  <c r="E71" i="5"/>
  <c r="J93" i="12" l="1"/>
  <c r="L69" i="5"/>
  <c r="J70" i="5"/>
  <c r="H70" i="5"/>
  <c r="I70" i="5"/>
  <c r="B72" i="5"/>
  <c r="K69" i="5"/>
  <c r="L58" i="3"/>
  <c r="L102" i="2"/>
  <c r="K93" i="12"/>
  <c r="B96" i="12"/>
  <c r="F95" i="12"/>
  <c r="I94" i="12" s="1"/>
  <c r="L95" i="12"/>
  <c r="E95" i="12"/>
  <c r="H94" i="12" s="1"/>
  <c r="D95" i="12"/>
  <c r="G94" i="12" s="1"/>
  <c r="M95" i="12"/>
  <c r="H59" i="3"/>
  <c r="I59" i="3"/>
  <c r="K58" i="3"/>
  <c r="B61" i="3"/>
  <c r="K102" i="2"/>
  <c r="B105" i="2"/>
  <c r="H103" i="2"/>
  <c r="J103" i="2"/>
  <c r="I103" i="2"/>
  <c r="N72" i="5"/>
  <c r="E72" i="5"/>
  <c r="M72" i="5"/>
  <c r="G72" i="5"/>
  <c r="F72" i="5"/>
  <c r="K94" i="12" l="1"/>
  <c r="L70" i="5"/>
  <c r="J71" i="5"/>
  <c r="I71" i="5"/>
  <c r="H71" i="5"/>
  <c r="B73" i="5"/>
  <c r="K70" i="5"/>
  <c r="L59" i="3"/>
  <c r="L103" i="2"/>
  <c r="K103" i="2"/>
  <c r="J94" i="12"/>
  <c r="B97" i="12"/>
  <c r="E96" i="12"/>
  <c r="H95" i="12" s="1"/>
  <c r="L96" i="12"/>
  <c r="D96" i="12"/>
  <c r="G95" i="12" s="1"/>
  <c r="F96" i="12"/>
  <c r="I95" i="12" s="1"/>
  <c r="M96" i="12"/>
  <c r="I60" i="3"/>
  <c r="J60" i="3"/>
  <c r="J59" i="3"/>
  <c r="K59" i="3"/>
  <c r="B62" i="3"/>
  <c r="B106" i="2"/>
  <c r="H104" i="2"/>
  <c r="J104" i="2"/>
  <c r="I104" i="2"/>
  <c r="M73" i="5"/>
  <c r="F73" i="5"/>
  <c r="E73" i="5"/>
  <c r="G73" i="5"/>
  <c r="N73" i="5"/>
  <c r="J95" i="12" l="1"/>
  <c r="K71" i="5"/>
  <c r="H72" i="5"/>
  <c r="J72" i="5"/>
  <c r="I72" i="5"/>
  <c r="B74" i="5"/>
  <c r="L71" i="5"/>
  <c r="L104" i="2"/>
  <c r="K95" i="12"/>
  <c r="B98" i="12"/>
  <c r="F97" i="12"/>
  <c r="I96" i="12" s="1"/>
  <c r="E97" i="12"/>
  <c r="H96" i="12" s="1"/>
  <c r="D97" i="12"/>
  <c r="G96" i="12" s="1"/>
  <c r="L97" i="12"/>
  <c r="M97" i="12"/>
  <c r="H60" i="3"/>
  <c r="K60" i="3" s="1"/>
  <c r="H61" i="3"/>
  <c r="I61" i="3"/>
  <c r="J61" i="3"/>
  <c r="B63" i="3"/>
  <c r="K104" i="2"/>
  <c r="B107" i="2"/>
  <c r="H105" i="2"/>
  <c r="J105" i="2"/>
  <c r="I105" i="2"/>
  <c r="G74" i="5"/>
  <c r="F74" i="5"/>
  <c r="M74" i="5"/>
  <c r="E74" i="5"/>
  <c r="N74" i="5"/>
  <c r="L72" i="5" l="1"/>
  <c r="H73" i="5"/>
  <c r="I73" i="5"/>
  <c r="J73" i="5"/>
  <c r="B75" i="5"/>
  <c r="K72" i="5"/>
  <c r="K96" i="12"/>
  <c r="K61" i="3"/>
  <c r="L105" i="2"/>
  <c r="J96" i="12"/>
  <c r="B99" i="12"/>
  <c r="F98" i="12"/>
  <c r="I97" i="12" s="1"/>
  <c r="D98" i="12"/>
  <c r="G97" i="12" s="1"/>
  <c r="M98" i="12"/>
  <c r="L98" i="12"/>
  <c r="E98" i="12"/>
  <c r="H97" i="12" s="1"/>
  <c r="L61" i="3"/>
  <c r="H62" i="3"/>
  <c r="J62" i="3"/>
  <c r="I62" i="3"/>
  <c r="L60" i="3"/>
  <c r="B64" i="3"/>
  <c r="K105" i="2"/>
  <c r="B108" i="2"/>
  <c r="H106" i="2"/>
  <c r="I106" i="2"/>
  <c r="J106" i="2"/>
  <c r="M75" i="5"/>
  <c r="G75" i="5"/>
  <c r="N75" i="5"/>
  <c r="F75" i="5"/>
  <c r="E75" i="5"/>
  <c r="K73" i="5" l="1"/>
  <c r="H74" i="5"/>
  <c r="J74" i="5"/>
  <c r="I74" i="5"/>
  <c r="B76" i="5"/>
  <c r="L73" i="5"/>
  <c r="K97" i="12"/>
  <c r="L62" i="3"/>
  <c r="K106" i="2"/>
  <c r="L106" i="2"/>
  <c r="B100" i="12"/>
  <c r="F99" i="12"/>
  <c r="I98" i="12" s="1"/>
  <c r="E99" i="12"/>
  <c r="H98" i="12" s="1"/>
  <c r="D99" i="12"/>
  <c r="G98" i="12" s="1"/>
  <c r="L99" i="12"/>
  <c r="M99" i="12"/>
  <c r="J97" i="12"/>
  <c r="H63" i="3"/>
  <c r="I63" i="3"/>
  <c r="K62" i="3"/>
  <c r="B65" i="3"/>
  <c r="B109" i="2"/>
  <c r="H107" i="2"/>
  <c r="J107" i="2"/>
  <c r="I107" i="2"/>
  <c r="G76" i="5"/>
  <c r="N76" i="5"/>
  <c r="M76" i="5"/>
  <c r="F76" i="5"/>
  <c r="E76" i="5"/>
  <c r="J98" i="12" l="1"/>
  <c r="L74" i="5"/>
  <c r="I75" i="5"/>
  <c r="H75" i="5"/>
  <c r="J75" i="5"/>
  <c r="B77" i="5"/>
  <c r="K74" i="5"/>
  <c r="L63" i="3"/>
  <c r="L107" i="2"/>
  <c r="K98" i="12"/>
  <c r="B101" i="12"/>
  <c r="D100" i="12"/>
  <c r="G99" i="12" s="1"/>
  <c r="L100" i="12"/>
  <c r="F100" i="12"/>
  <c r="I99" i="12" s="1"/>
  <c r="E100" i="12"/>
  <c r="H99" i="12" s="1"/>
  <c r="M100" i="12"/>
  <c r="H64" i="3"/>
  <c r="I64" i="3"/>
  <c r="J64" i="3"/>
  <c r="J63" i="3"/>
  <c r="K63" i="3"/>
  <c r="B66" i="3"/>
  <c r="K107" i="2"/>
  <c r="B110" i="2"/>
  <c r="H108" i="2"/>
  <c r="J108" i="2"/>
  <c r="I108" i="2"/>
  <c r="F77" i="5"/>
  <c r="N77" i="5"/>
  <c r="E77" i="5"/>
  <c r="M77" i="5"/>
  <c r="G77" i="5"/>
  <c r="K99" i="12" l="1"/>
  <c r="K75" i="5"/>
  <c r="I76" i="5"/>
  <c r="J76" i="5"/>
  <c r="H76" i="5"/>
  <c r="B78" i="5"/>
  <c r="L75" i="5"/>
  <c r="L64" i="3"/>
  <c r="K108" i="2"/>
  <c r="J99" i="12"/>
  <c r="B102" i="12"/>
  <c r="D101" i="12"/>
  <c r="G100" i="12" s="1"/>
  <c r="E101" i="12"/>
  <c r="H100" i="12" s="1"/>
  <c r="L101" i="12"/>
  <c r="M101" i="12"/>
  <c r="F101" i="12"/>
  <c r="I100" i="12" s="1"/>
  <c r="K64" i="3"/>
  <c r="H65" i="3"/>
  <c r="I65" i="3"/>
  <c r="J65" i="3"/>
  <c r="B67" i="3"/>
  <c r="L108" i="2"/>
  <c r="B111" i="2"/>
  <c r="H109" i="2"/>
  <c r="J109" i="2"/>
  <c r="I109" i="2"/>
  <c r="G78" i="5"/>
  <c r="F78" i="5"/>
  <c r="N78" i="5"/>
  <c r="M78" i="5"/>
  <c r="E78" i="5"/>
  <c r="K100" i="12" l="1"/>
  <c r="L76" i="5"/>
  <c r="H77" i="5"/>
  <c r="I77" i="5"/>
  <c r="J77" i="5"/>
  <c r="B79" i="5"/>
  <c r="K76" i="5"/>
  <c r="L65" i="3"/>
  <c r="L109" i="2"/>
  <c r="J100" i="12"/>
  <c r="B103" i="12"/>
  <c r="F102" i="12"/>
  <c r="I101" i="12" s="1"/>
  <c r="D102" i="12"/>
  <c r="G101" i="12" s="1"/>
  <c r="L102" i="12"/>
  <c r="E102" i="12"/>
  <c r="H101" i="12" s="1"/>
  <c r="M102" i="12"/>
  <c r="H66" i="3"/>
  <c r="J66" i="3"/>
  <c r="I66" i="3"/>
  <c r="K65" i="3"/>
  <c r="B68" i="3"/>
  <c r="B112" i="2"/>
  <c r="H110" i="2"/>
  <c r="J110" i="2"/>
  <c r="I110" i="2"/>
  <c r="K109" i="2"/>
  <c r="G79" i="5"/>
  <c r="M79" i="5"/>
  <c r="E79" i="5"/>
  <c r="N79" i="5"/>
  <c r="F79" i="5"/>
  <c r="K101" i="12" l="1"/>
  <c r="L77" i="5"/>
  <c r="I78" i="5"/>
  <c r="H78" i="5"/>
  <c r="J78" i="5"/>
  <c r="B80" i="5"/>
  <c r="K77" i="5"/>
  <c r="L66" i="3"/>
  <c r="L110" i="2"/>
  <c r="J101" i="12"/>
  <c r="B104" i="12"/>
  <c r="L103" i="12"/>
  <c r="E103" i="12"/>
  <c r="H102" i="12" s="1"/>
  <c r="F103" i="12"/>
  <c r="I102" i="12" s="1"/>
  <c r="D103" i="12"/>
  <c r="G102" i="12" s="1"/>
  <c r="M103" i="12"/>
  <c r="H67" i="3"/>
  <c r="J67" i="3"/>
  <c r="I67" i="3"/>
  <c r="K66" i="3"/>
  <c r="B69" i="3"/>
  <c r="K110" i="2"/>
  <c r="B113" i="2"/>
  <c r="H111" i="2"/>
  <c r="J111" i="2"/>
  <c r="I111" i="2"/>
  <c r="M80" i="5"/>
  <c r="N80" i="5"/>
  <c r="E80" i="5"/>
  <c r="G80" i="5"/>
  <c r="F80" i="5"/>
  <c r="J102" i="12" l="1"/>
  <c r="L78" i="5"/>
  <c r="J79" i="5"/>
  <c r="I79" i="5"/>
  <c r="H79" i="5"/>
  <c r="B81" i="5"/>
  <c r="K78" i="5"/>
  <c r="L67" i="3"/>
  <c r="L111" i="2"/>
  <c r="K102" i="12"/>
  <c r="B105" i="12"/>
  <c r="L104" i="12"/>
  <c r="D104" i="12"/>
  <c r="G103" i="12" s="1"/>
  <c r="F104" i="12"/>
  <c r="I103" i="12" s="1"/>
  <c r="E104" i="12"/>
  <c r="H103" i="12" s="1"/>
  <c r="M104" i="12"/>
  <c r="H68" i="3"/>
  <c r="J68" i="3"/>
  <c r="I68" i="3"/>
  <c r="K67" i="3"/>
  <c r="B70" i="3"/>
  <c r="K111" i="2"/>
  <c r="B114" i="2"/>
  <c r="H112" i="2"/>
  <c r="J112" i="2"/>
  <c r="I112" i="2"/>
  <c r="E81" i="5"/>
  <c r="G81" i="5"/>
  <c r="F81" i="5"/>
  <c r="N81" i="5"/>
  <c r="M81" i="5"/>
  <c r="K103" i="12" l="1"/>
  <c r="K79" i="5"/>
  <c r="J80" i="5"/>
  <c r="I80" i="5"/>
  <c r="H80" i="5"/>
  <c r="B82" i="5"/>
  <c r="L79" i="5"/>
  <c r="L68" i="3"/>
  <c r="L112" i="2"/>
  <c r="J103" i="12"/>
  <c r="B106" i="12"/>
  <c r="D105" i="12"/>
  <c r="G104" i="12" s="1"/>
  <c r="F105" i="12"/>
  <c r="I104" i="12" s="1"/>
  <c r="L105" i="12"/>
  <c r="E105" i="12"/>
  <c r="H104" i="12" s="1"/>
  <c r="M105" i="12"/>
  <c r="H69" i="3"/>
  <c r="J69" i="3"/>
  <c r="I69" i="3"/>
  <c r="K68" i="3"/>
  <c r="B71" i="3"/>
  <c r="K112" i="2"/>
  <c r="B115" i="2"/>
  <c r="H113" i="2"/>
  <c r="J113" i="2"/>
  <c r="I113" i="2"/>
  <c r="F82" i="5"/>
  <c r="G82" i="5"/>
  <c r="M82" i="5"/>
  <c r="E82" i="5"/>
  <c r="N82" i="5"/>
  <c r="K104" i="12" l="1"/>
  <c r="K80" i="5"/>
  <c r="H81" i="5"/>
  <c r="I81" i="5"/>
  <c r="J81" i="5"/>
  <c r="B83" i="5"/>
  <c r="L80" i="5"/>
  <c r="L69" i="3"/>
  <c r="L113" i="2"/>
  <c r="J104" i="12"/>
  <c r="B107" i="12"/>
  <c r="F106" i="12"/>
  <c r="I105" i="12" s="1"/>
  <c r="E106" i="12"/>
  <c r="H105" i="12" s="1"/>
  <c r="D106" i="12"/>
  <c r="G105" i="12" s="1"/>
  <c r="L106" i="12"/>
  <c r="M106" i="12"/>
  <c r="H70" i="3"/>
  <c r="J70" i="3"/>
  <c r="I70" i="3"/>
  <c r="K69" i="3"/>
  <c r="B72" i="3"/>
  <c r="K113" i="2"/>
  <c r="B116" i="2"/>
  <c r="H114" i="2"/>
  <c r="J114" i="2"/>
  <c r="I114" i="2"/>
  <c r="F83" i="5"/>
  <c r="E83" i="5"/>
  <c r="N83" i="5"/>
  <c r="G83" i="5"/>
  <c r="M83" i="5"/>
  <c r="J105" i="12" l="1"/>
  <c r="K81" i="5"/>
  <c r="H82" i="5"/>
  <c r="J82" i="5"/>
  <c r="I82" i="5"/>
  <c r="B84" i="5"/>
  <c r="L81" i="5"/>
  <c r="K105" i="12"/>
  <c r="L70" i="3"/>
  <c r="L114" i="2"/>
  <c r="B108" i="12"/>
  <c r="F107" i="12"/>
  <c r="I106" i="12" s="1"/>
  <c r="L107" i="12"/>
  <c r="M107" i="12"/>
  <c r="D107" i="12"/>
  <c r="G106" i="12" s="1"/>
  <c r="E107" i="12"/>
  <c r="H106" i="12" s="1"/>
  <c r="H71" i="3"/>
  <c r="J71" i="3"/>
  <c r="I71" i="3"/>
  <c r="K70" i="3"/>
  <c r="B73" i="3"/>
  <c r="K114" i="2"/>
  <c r="B117" i="2"/>
  <c r="H115" i="2"/>
  <c r="J115" i="2"/>
  <c r="I115" i="2"/>
  <c r="E84" i="5"/>
  <c r="M84" i="5"/>
  <c r="N84" i="5"/>
  <c r="G84" i="5"/>
  <c r="F84" i="5"/>
  <c r="K106" i="12" l="1"/>
  <c r="K82" i="5"/>
  <c r="J83" i="5"/>
  <c r="H83" i="5"/>
  <c r="I83" i="5"/>
  <c r="B85" i="5"/>
  <c r="L82" i="5"/>
  <c r="L71" i="3"/>
  <c r="L115" i="2"/>
  <c r="B109" i="12"/>
  <c r="D108" i="12"/>
  <c r="G107" i="12" s="1"/>
  <c r="L108" i="12"/>
  <c r="E108" i="12"/>
  <c r="H107" i="12" s="1"/>
  <c r="F108" i="12"/>
  <c r="I107" i="12" s="1"/>
  <c r="M108" i="12"/>
  <c r="J106" i="12"/>
  <c r="H72" i="3"/>
  <c r="J72" i="3"/>
  <c r="I72" i="3"/>
  <c r="K71" i="3"/>
  <c r="B74" i="3"/>
  <c r="B118" i="2"/>
  <c r="H116" i="2"/>
  <c r="J116" i="2"/>
  <c r="I116" i="2"/>
  <c r="K115" i="2"/>
  <c r="M85" i="5"/>
  <c r="N85" i="5"/>
  <c r="F85" i="5"/>
  <c r="E85" i="5"/>
  <c r="G85" i="5"/>
  <c r="K107" i="12" l="1"/>
  <c r="L83" i="5"/>
  <c r="H84" i="5"/>
  <c r="J84" i="5"/>
  <c r="I84" i="5"/>
  <c r="B86" i="5"/>
  <c r="K83" i="5"/>
  <c r="L72" i="3"/>
  <c r="L116" i="2"/>
  <c r="B110" i="12"/>
  <c r="E109" i="12"/>
  <c r="H108" i="12" s="1"/>
  <c r="D109" i="12"/>
  <c r="G108" i="12" s="1"/>
  <c r="L109" i="12"/>
  <c r="F109" i="12"/>
  <c r="I108" i="12" s="1"/>
  <c r="M109" i="12"/>
  <c r="J107" i="12"/>
  <c r="H73" i="3"/>
  <c r="J73" i="3"/>
  <c r="I73" i="3"/>
  <c r="K72" i="3"/>
  <c r="B75" i="3"/>
  <c r="K116" i="2"/>
  <c r="B119" i="2"/>
  <c r="H117" i="2"/>
  <c r="J117" i="2"/>
  <c r="I117" i="2"/>
  <c r="E86" i="5"/>
  <c r="M86" i="5"/>
  <c r="N86" i="5"/>
  <c r="F86" i="5"/>
  <c r="G86" i="5"/>
  <c r="J108" i="12" l="1"/>
  <c r="K84" i="5"/>
  <c r="J85" i="5"/>
  <c r="I85" i="5"/>
  <c r="H85" i="5"/>
  <c r="B87" i="5"/>
  <c r="L84" i="5"/>
  <c r="L73" i="3"/>
  <c r="L117" i="2"/>
  <c r="K108" i="12"/>
  <c r="B111" i="12"/>
  <c r="F110" i="12"/>
  <c r="I109" i="12" s="1"/>
  <c r="E110" i="12"/>
  <c r="H109" i="12" s="1"/>
  <c r="L110" i="12"/>
  <c r="D110" i="12"/>
  <c r="G109" i="12" s="1"/>
  <c r="M110" i="12"/>
  <c r="H74" i="3"/>
  <c r="J74" i="3"/>
  <c r="I74" i="3"/>
  <c r="K73" i="3"/>
  <c r="B76" i="3"/>
  <c r="K117" i="2"/>
  <c r="B120" i="2"/>
  <c r="H118" i="2"/>
  <c r="J118" i="2"/>
  <c r="I118" i="2"/>
  <c r="N87" i="5"/>
  <c r="M87" i="5"/>
  <c r="G87" i="5"/>
  <c r="F87" i="5"/>
  <c r="E87" i="5"/>
  <c r="J109" i="12" l="1"/>
  <c r="K85" i="5"/>
  <c r="J86" i="5"/>
  <c r="H86" i="5"/>
  <c r="I86" i="5"/>
  <c r="B88" i="5"/>
  <c r="L85" i="5"/>
  <c r="L74" i="3"/>
  <c r="L118" i="2"/>
  <c r="K109" i="12"/>
  <c r="B112" i="12"/>
  <c r="F111" i="12"/>
  <c r="I110" i="12" s="1"/>
  <c r="E111" i="12"/>
  <c r="H110" i="12" s="1"/>
  <c r="D111" i="12"/>
  <c r="G110" i="12" s="1"/>
  <c r="L111" i="12"/>
  <c r="M111" i="12"/>
  <c r="H75" i="3"/>
  <c r="J75" i="3"/>
  <c r="I75" i="3"/>
  <c r="K74" i="3"/>
  <c r="B77" i="3"/>
  <c r="K118" i="2"/>
  <c r="B121" i="2"/>
  <c r="H119" i="2"/>
  <c r="J119" i="2"/>
  <c r="I119" i="2"/>
  <c r="N88" i="5"/>
  <c r="M88" i="5"/>
  <c r="E88" i="5"/>
  <c r="F88" i="5"/>
  <c r="G88" i="5"/>
  <c r="L86" i="5" l="1"/>
  <c r="J87" i="5"/>
  <c r="H87" i="5"/>
  <c r="I87" i="5"/>
  <c r="B89" i="5"/>
  <c r="K86" i="5"/>
  <c r="K110" i="12"/>
  <c r="L75" i="3"/>
  <c r="L119" i="2"/>
  <c r="B113" i="12"/>
  <c r="E112" i="12"/>
  <c r="H111" i="12" s="1"/>
  <c r="L112" i="12"/>
  <c r="D112" i="12"/>
  <c r="G111" i="12" s="1"/>
  <c r="F112" i="12"/>
  <c r="I111" i="12" s="1"/>
  <c r="M112" i="12"/>
  <c r="J110" i="12"/>
  <c r="H76" i="3"/>
  <c r="I76" i="3"/>
  <c r="J76" i="3"/>
  <c r="K75" i="3"/>
  <c r="B78" i="3"/>
  <c r="K119" i="2"/>
  <c r="B122" i="2"/>
  <c r="H120" i="2"/>
  <c r="J120" i="2"/>
  <c r="I120" i="2"/>
  <c r="E89" i="5"/>
  <c r="G89" i="5"/>
  <c r="N89" i="5"/>
  <c r="F89" i="5"/>
  <c r="M89" i="5"/>
  <c r="J111" i="12" l="1"/>
  <c r="L87" i="5"/>
  <c r="H88" i="5"/>
  <c r="J88" i="5"/>
  <c r="I88" i="5"/>
  <c r="B90" i="5"/>
  <c r="K87" i="5"/>
  <c r="K76" i="3"/>
  <c r="L120" i="2"/>
  <c r="K111" i="12"/>
  <c r="B114" i="12"/>
  <c r="F113" i="12"/>
  <c r="I112" i="12" s="1"/>
  <c r="E113" i="12"/>
  <c r="H112" i="12" s="1"/>
  <c r="D113" i="12"/>
  <c r="G112" i="12" s="1"/>
  <c r="L113" i="12"/>
  <c r="M113" i="12"/>
  <c r="H77" i="3"/>
  <c r="J77" i="3"/>
  <c r="I77" i="3"/>
  <c r="L76" i="3"/>
  <c r="B79" i="3"/>
  <c r="K120" i="2"/>
  <c r="B123" i="2"/>
  <c r="H121" i="2"/>
  <c r="J121" i="2"/>
  <c r="I121" i="2"/>
  <c r="F90" i="5"/>
  <c r="E90" i="5"/>
  <c r="G90" i="5"/>
  <c r="M90" i="5"/>
  <c r="N90" i="5"/>
  <c r="K88" i="5" l="1"/>
  <c r="J89" i="5"/>
  <c r="H89" i="5"/>
  <c r="I89" i="5"/>
  <c r="B91" i="5"/>
  <c r="L88" i="5"/>
  <c r="J112" i="12"/>
  <c r="L77" i="3"/>
  <c r="L121" i="2"/>
  <c r="K112" i="12"/>
  <c r="B115" i="12"/>
  <c r="D114" i="12"/>
  <c r="G113" i="12" s="1"/>
  <c r="L114" i="12"/>
  <c r="F114" i="12"/>
  <c r="I113" i="12" s="1"/>
  <c r="M114" i="12"/>
  <c r="E114" i="12"/>
  <c r="H113" i="12" s="1"/>
  <c r="H78" i="3"/>
  <c r="J78" i="3"/>
  <c r="I78" i="3"/>
  <c r="K77" i="3"/>
  <c r="B80" i="3"/>
  <c r="K121" i="2"/>
  <c r="B124" i="2"/>
  <c r="H122" i="2"/>
  <c r="J122" i="2"/>
  <c r="I122" i="2"/>
  <c r="N91" i="5"/>
  <c r="F91" i="5"/>
  <c r="G91" i="5"/>
  <c r="E91" i="5"/>
  <c r="M91" i="5"/>
  <c r="S92" i="5" l="1"/>
  <c r="S94" i="5"/>
  <c r="S95" i="5"/>
  <c r="S93" i="5"/>
  <c r="R92" i="5"/>
  <c r="R94" i="5"/>
  <c r="R93" i="5"/>
  <c r="R95" i="5"/>
  <c r="S91" i="5"/>
  <c r="R91" i="5"/>
  <c r="L89" i="5"/>
  <c r="H90" i="5"/>
  <c r="J90" i="5"/>
  <c r="I90" i="5"/>
  <c r="B92" i="5"/>
  <c r="K89" i="5"/>
  <c r="K113" i="12"/>
  <c r="L78" i="3"/>
  <c r="L122" i="2"/>
  <c r="J113" i="12"/>
  <c r="B116" i="12"/>
  <c r="E115" i="12"/>
  <c r="H114" i="12" s="1"/>
  <c r="D115" i="12"/>
  <c r="G114" i="12" s="1"/>
  <c r="L115" i="12"/>
  <c r="F115" i="12"/>
  <c r="I114" i="12" s="1"/>
  <c r="M115" i="12"/>
  <c r="H79" i="3"/>
  <c r="J79" i="3"/>
  <c r="I79" i="3"/>
  <c r="K78" i="3"/>
  <c r="B81" i="3"/>
  <c r="K122" i="2"/>
  <c r="B125" i="2"/>
  <c r="H123" i="2"/>
  <c r="J123" i="2"/>
  <c r="I123" i="2"/>
  <c r="E92" i="5"/>
  <c r="M92" i="5"/>
  <c r="N92" i="5"/>
  <c r="G92" i="5"/>
  <c r="F92" i="5"/>
  <c r="J114" i="12" l="1"/>
  <c r="L90" i="5"/>
  <c r="H91" i="5"/>
  <c r="J91" i="5"/>
  <c r="I91" i="5"/>
  <c r="B93" i="5"/>
  <c r="K90" i="5"/>
  <c r="L79" i="3"/>
  <c r="L123" i="2"/>
  <c r="K114" i="12"/>
  <c r="B117" i="12"/>
  <c r="L116" i="12"/>
  <c r="D116" i="12"/>
  <c r="G115" i="12" s="1"/>
  <c r="E116" i="12"/>
  <c r="H115" i="12" s="1"/>
  <c r="F116" i="12"/>
  <c r="I115" i="12" s="1"/>
  <c r="M116" i="12"/>
  <c r="H80" i="3"/>
  <c r="J80" i="3"/>
  <c r="I80" i="3"/>
  <c r="K79" i="3"/>
  <c r="B82" i="3"/>
  <c r="B126" i="2"/>
  <c r="H124" i="2"/>
  <c r="J124" i="2"/>
  <c r="I124" i="2"/>
  <c r="K123" i="2"/>
  <c r="E93" i="5"/>
  <c r="F93" i="5"/>
  <c r="G93" i="5"/>
  <c r="L91" i="5" l="1"/>
  <c r="H92" i="5"/>
  <c r="J92" i="5"/>
  <c r="I92" i="5"/>
  <c r="B94" i="5"/>
  <c r="K91" i="5"/>
  <c r="J115" i="12"/>
  <c r="L80" i="3"/>
  <c r="L124" i="2"/>
  <c r="K115" i="12"/>
  <c r="B118" i="12"/>
  <c r="E117" i="12"/>
  <c r="H116" i="12" s="1"/>
  <c r="L117" i="12"/>
  <c r="D117" i="12"/>
  <c r="G116" i="12" s="1"/>
  <c r="F117" i="12"/>
  <c r="I116" i="12" s="1"/>
  <c r="M117" i="12"/>
  <c r="H81" i="3"/>
  <c r="J81" i="3"/>
  <c r="I81" i="3"/>
  <c r="K80" i="3"/>
  <c r="B83" i="3"/>
  <c r="K124" i="2"/>
  <c r="B127" i="2"/>
  <c r="H125" i="2"/>
  <c r="J125" i="2"/>
  <c r="I125" i="2"/>
  <c r="G94" i="5"/>
  <c r="F94" i="5"/>
  <c r="E94" i="5"/>
  <c r="J116" i="12" l="1"/>
  <c r="L92" i="5"/>
  <c r="H93" i="5"/>
  <c r="J93" i="5"/>
  <c r="I93" i="5"/>
  <c r="B95" i="5"/>
  <c r="K92" i="5"/>
  <c r="L81" i="3"/>
  <c r="L125" i="2"/>
  <c r="K125" i="2"/>
  <c r="B119" i="12"/>
  <c r="D118" i="12"/>
  <c r="G117" i="12" s="1"/>
  <c r="F118" i="12"/>
  <c r="I117" i="12" s="1"/>
  <c r="E118" i="12"/>
  <c r="H117" i="12" s="1"/>
  <c r="L118" i="12"/>
  <c r="M118" i="12"/>
  <c r="K116" i="12"/>
  <c r="H82" i="3"/>
  <c r="J82" i="3"/>
  <c r="I82" i="3"/>
  <c r="K81" i="3"/>
  <c r="B84" i="3"/>
  <c r="B128" i="2"/>
  <c r="H126" i="2"/>
  <c r="J126" i="2"/>
  <c r="I126" i="2"/>
  <c r="E95" i="5"/>
  <c r="G95" i="5"/>
  <c r="F95" i="5"/>
  <c r="K117" i="12" l="1"/>
  <c r="Q94" i="5"/>
  <c r="Q95" i="5"/>
  <c r="Q92" i="5"/>
  <c r="Q93" i="5"/>
  <c r="P92" i="5"/>
  <c r="P94" i="5"/>
  <c r="P95" i="5"/>
  <c r="P93" i="5"/>
  <c r="P91" i="5"/>
  <c r="Q91" i="5"/>
  <c r="L93" i="5"/>
  <c r="J94" i="5"/>
  <c r="H94" i="5"/>
  <c r="I94" i="5"/>
  <c r="B96" i="5"/>
  <c r="K93" i="5"/>
  <c r="L82" i="3"/>
  <c r="L126" i="2"/>
  <c r="J117" i="12"/>
  <c r="B120" i="12"/>
  <c r="E119" i="12"/>
  <c r="H118" i="12" s="1"/>
  <c r="D119" i="12"/>
  <c r="G118" i="12" s="1"/>
  <c r="L119" i="12"/>
  <c r="F119" i="12"/>
  <c r="I118" i="12" s="1"/>
  <c r="M119" i="12"/>
  <c r="H83" i="3"/>
  <c r="J83" i="3"/>
  <c r="I83" i="3"/>
  <c r="K82" i="3"/>
  <c r="B85" i="3"/>
  <c r="K126" i="2"/>
  <c r="B129" i="2"/>
  <c r="H127" i="2"/>
  <c r="J127" i="2"/>
  <c r="I127" i="2"/>
  <c r="G96" i="5"/>
  <c r="F96" i="5"/>
  <c r="E96" i="5"/>
  <c r="J118" i="12" l="1"/>
  <c r="L94" i="5"/>
  <c r="H95" i="5"/>
  <c r="J95" i="5"/>
  <c r="I95" i="5"/>
  <c r="B97" i="5"/>
  <c r="K94" i="5"/>
  <c r="L83" i="3"/>
  <c r="L127" i="2"/>
  <c r="K118" i="12"/>
  <c r="B121" i="12"/>
  <c r="F120" i="12"/>
  <c r="I119" i="12" s="1"/>
  <c r="D120" i="12"/>
  <c r="G119" i="12" s="1"/>
  <c r="L120" i="12"/>
  <c r="E120" i="12"/>
  <c r="H119" i="12" s="1"/>
  <c r="M120" i="12"/>
  <c r="H84" i="3"/>
  <c r="J84" i="3"/>
  <c r="I84" i="3"/>
  <c r="K83" i="3"/>
  <c r="B86" i="3"/>
  <c r="K127" i="2"/>
  <c r="B130" i="2"/>
  <c r="H128" i="2"/>
  <c r="J128" i="2"/>
  <c r="I128" i="2"/>
  <c r="F97" i="5"/>
  <c r="E97" i="5"/>
  <c r="G97" i="5"/>
  <c r="K119" i="12" l="1"/>
  <c r="K95" i="5"/>
  <c r="H96" i="5"/>
  <c r="J96" i="5"/>
  <c r="I96" i="5"/>
  <c r="B98" i="5"/>
  <c r="L95" i="5"/>
  <c r="L84" i="3"/>
  <c r="B122" i="12"/>
  <c r="F121" i="12"/>
  <c r="I120" i="12" s="1"/>
  <c r="D121" i="12"/>
  <c r="G120" i="12" s="1"/>
  <c r="L121" i="12"/>
  <c r="M121" i="12"/>
  <c r="E121" i="12"/>
  <c r="H120" i="12" s="1"/>
  <c r="J119" i="12"/>
  <c r="H85" i="3"/>
  <c r="J85" i="3"/>
  <c r="I85" i="3"/>
  <c r="K84" i="3"/>
  <c r="B87" i="3"/>
  <c r="K128" i="2"/>
  <c r="L128" i="2"/>
  <c r="B131" i="2"/>
  <c r="H129" i="2"/>
  <c r="J129" i="2"/>
  <c r="I129" i="2"/>
  <c r="E98" i="5"/>
  <c r="F98" i="5"/>
  <c r="G98" i="5"/>
  <c r="K120" i="12" l="1"/>
  <c r="L96" i="5"/>
  <c r="H97" i="5"/>
  <c r="J97" i="5"/>
  <c r="I97" i="5"/>
  <c r="B99" i="5"/>
  <c r="K96" i="5"/>
  <c r="L85" i="3"/>
  <c r="L129" i="2"/>
  <c r="J120" i="12"/>
  <c r="B123" i="12"/>
  <c r="E122" i="12"/>
  <c r="H121" i="12" s="1"/>
  <c r="F122" i="12"/>
  <c r="I121" i="12" s="1"/>
  <c r="M122" i="12"/>
  <c r="D122" i="12"/>
  <c r="G121" i="12" s="1"/>
  <c r="L122" i="12"/>
  <c r="H86" i="3"/>
  <c r="J86" i="3"/>
  <c r="I86" i="3"/>
  <c r="K85" i="3"/>
  <c r="B88" i="3"/>
  <c r="K129" i="2"/>
  <c r="B132" i="2"/>
  <c r="H130" i="2"/>
  <c r="J130" i="2"/>
  <c r="I130" i="2"/>
  <c r="F99" i="5"/>
  <c r="G99" i="5"/>
  <c r="E99" i="5"/>
  <c r="J121" i="12" l="1"/>
  <c r="L97" i="5"/>
  <c r="H98" i="5"/>
  <c r="J98" i="5"/>
  <c r="I98" i="5"/>
  <c r="B100" i="5"/>
  <c r="K97" i="5"/>
  <c r="L86" i="3"/>
  <c r="L130" i="2"/>
  <c r="K121" i="12"/>
  <c r="B124" i="12"/>
  <c r="L123" i="12"/>
  <c r="F123" i="12"/>
  <c r="I122" i="12" s="1"/>
  <c r="D123" i="12"/>
  <c r="G122" i="12" s="1"/>
  <c r="E123" i="12"/>
  <c r="H122" i="12" s="1"/>
  <c r="M123" i="12"/>
  <c r="H87" i="3"/>
  <c r="J87" i="3"/>
  <c r="I87" i="3"/>
  <c r="K86" i="3"/>
  <c r="B89" i="3"/>
  <c r="K130" i="2"/>
  <c r="B133" i="2"/>
  <c r="H131" i="2"/>
  <c r="I131" i="2"/>
  <c r="J131" i="2"/>
  <c r="F100" i="5"/>
  <c r="G100" i="5"/>
  <c r="E100" i="5"/>
  <c r="K122" i="12" l="1"/>
  <c r="L98" i="5"/>
  <c r="H99" i="5"/>
  <c r="J99" i="5"/>
  <c r="I99" i="5"/>
  <c r="B101" i="5"/>
  <c r="K98" i="5"/>
  <c r="L87" i="3"/>
  <c r="L131" i="2"/>
  <c r="J122" i="12"/>
  <c r="B125" i="12"/>
  <c r="L124" i="12"/>
  <c r="E124" i="12"/>
  <c r="H123" i="12" s="1"/>
  <c r="D124" i="12"/>
  <c r="G123" i="12" s="1"/>
  <c r="F124" i="12"/>
  <c r="I123" i="12" s="1"/>
  <c r="M124" i="12"/>
  <c r="K87" i="3"/>
  <c r="G89" i="3"/>
  <c r="J88" i="3" s="1"/>
  <c r="B90" i="3"/>
  <c r="B134" i="2"/>
  <c r="H132" i="2"/>
  <c r="J132" i="2"/>
  <c r="I132" i="2"/>
  <c r="K131" i="2"/>
  <c r="E101" i="5"/>
  <c r="F101" i="5"/>
  <c r="G101" i="5"/>
  <c r="J123" i="12" l="1"/>
  <c r="L99" i="5"/>
  <c r="H100" i="5"/>
  <c r="J100" i="5"/>
  <c r="I100" i="5"/>
  <c r="B102" i="5"/>
  <c r="K99" i="5"/>
  <c r="K123" i="12"/>
  <c r="L132" i="2"/>
  <c r="B126" i="12"/>
  <c r="D125" i="12"/>
  <c r="G124" i="12" s="1"/>
  <c r="E125" i="12"/>
  <c r="H124" i="12" s="1"/>
  <c r="L125" i="12"/>
  <c r="M125" i="12"/>
  <c r="F125" i="12"/>
  <c r="I124" i="12" s="1"/>
  <c r="G90" i="3"/>
  <c r="J89" i="3" s="1"/>
  <c r="B91" i="3"/>
  <c r="B135" i="2"/>
  <c r="H133" i="2"/>
  <c r="J133" i="2"/>
  <c r="I133" i="2"/>
  <c r="K132" i="2"/>
  <c r="F102" i="5"/>
  <c r="G102" i="5"/>
  <c r="E102" i="5"/>
  <c r="K124" i="12" l="1"/>
  <c r="K100" i="5"/>
  <c r="H101" i="5"/>
  <c r="J101" i="5"/>
  <c r="I101" i="5"/>
  <c r="L100" i="5"/>
  <c r="B103" i="5"/>
  <c r="L133" i="2"/>
  <c r="J124" i="12"/>
  <c r="B127" i="12"/>
  <c r="E126" i="12"/>
  <c r="H125" i="12" s="1"/>
  <c r="F126" i="12"/>
  <c r="I125" i="12" s="1"/>
  <c r="D126" i="12"/>
  <c r="G125" i="12" s="1"/>
  <c r="L126" i="12"/>
  <c r="M126" i="12"/>
  <c r="G91" i="3"/>
  <c r="J90" i="3" s="1"/>
  <c r="B92" i="3"/>
  <c r="K133" i="2"/>
  <c r="B136" i="2"/>
  <c r="H134" i="2"/>
  <c r="J134" i="2"/>
  <c r="I134" i="2"/>
  <c r="G103" i="5"/>
  <c r="E103" i="5"/>
  <c r="F103" i="5"/>
  <c r="J125" i="12" l="1"/>
  <c r="K101" i="5"/>
  <c r="H102" i="5"/>
  <c r="J102" i="5"/>
  <c r="I102" i="5"/>
  <c r="B104" i="5"/>
  <c r="L101" i="5"/>
  <c r="O92" i="3"/>
  <c r="O88" i="3"/>
  <c r="O89" i="3"/>
  <c r="O90" i="3"/>
  <c r="O91" i="3"/>
  <c r="L134" i="2"/>
  <c r="K125" i="12"/>
  <c r="B128" i="12"/>
  <c r="L127" i="12"/>
  <c r="E127" i="12"/>
  <c r="H126" i="12" s="1"/>
  <c r="D127" i="12"/>
  <c r="G126" i="12" s="1"/>
  <c r="F127" i="12"/>
  <c r="I126" i="12" s="1"/>
  <c r="M127" i="12"/>
  <c r="M91" i="3"/>
  <c r="J91" i="3"/>
  <c r="B93" i="3"/>
  <c r="K134" i="2"/>
  <c r="B137" i="2"/>
  <c r="H135" i="2"/>
  <c r="I135" i="2"/>
  <c r="J135" i="2"/>
  <c r="F104" i="5"/>
  <c r="E104" i="5"/>
  <c r="G104" i="5"/>
  <c r="K126" i="12" l="1"/>
  <c r="K102" i="5"/>
  <c r="H103" i="5"/>
  <c r="J103" i="5"/>
  <c r="I103" i="5"/>
  <c r="B105" i="5"/>
  <c r="L102" i="5"/>
  <c r="F91" i="3"/>
  <c r="I91" i="3" s="1"/>
  <c r="L135" i="2"/>
  <c r="J126" i="12"/>
  <c r="B129" i="12"/>
  <c r="F128" i="12"/>
  <c r="I127" i="12" s="1"/>
  <c r="E128" i="12"/>
  <c r="H127" i="12" s="1"/>
  <c r="L128" i="12"/>
  <c r="D128" i="12"/>
  <c r="G127" i="12" s="1"/>
  <c r="M128" i="12"/>
  <c r="H92" i="3"/>
  <c r="J92" i="3"/>
  <c r="E90" i="3"/>
  <c r="M90" i="3"/>
  <c r="N90" i="3"/>
  <c r="F90" i="3"/>
  <c r="E89" i="3"/>
  <c r="H88" i="3" s="1"/>
  <c r="N89" i="3"/>
  <c r="M89" i="3"/>
  <c r="F89" i="3"/>
  <c r="I88" i="3" s="1"/>
  <c r="N91" i="3"/>
  <c r="E91" i="3"/>
  <c r="H91" i="3" s="1"/>
  <c r="B94" i="3"/>
  <c r="K135" i="2"/>
  <c r="B138" i="2"/>
  <c r="H136" i="2"/>
  <c r="J136" i="2"/>
  <c r="I136" i="2"/>
  <c r="F105" i="5"/>
  <c r="G105" i="5"/>
  <c r="E105" i="5"/>
  <c r="J127" i="12" l="1"/>
  <c r="K103" i="5"/>
  <c r="H104" i="5"/>
  <c r="J104" i="5"/>
  <c r="I104" i="5"/>
  <c r="B106" i="5"/>
  <c r="L103" i="5"/>
  <c r="K127" i="12"/>
  <c r="I90" i="3"/>
  <c r="K88" i="3"/>
  <c r="L136" i="2"/>
  <c r="B130" i="12"/>
  <c r="E129" i="12"/>
  <c r="H128" i="12" s="1"/>
  <c r="D129" i="12"/>
  <c r="G128" i="12" s="1"/>
  <c r="F129" i="12"/>
  <c r="I128" i="12" s="1"/>
  <c r="L129" i="12"/>
  <c r="M129" i="12"/>
  <c r="H90" i="3"/>
  <c r="H89" i="3"/>
  <c r="L88" i="3"/>
  <c r="L91" i="3"/>
  <c r="K91" i="3"/>
  <c r="I93" i="3"/>
  <c r="I92" i="3"/>
  <c r="L92" i="3" s="1"/>
  <c r="I89" i="3"/>
  <c r="B95" i="3"/>
  <c r="J93" i="3"/>
  <c r="K136" i="2"/>
  <c r="H137" i="2"/>
  <c r="I137" i="2"/>
  <c r="J137" i="2"/>
  <c r="J138" i="2" s="1"/>
  <c r="G106" i="5"/>
  <c r="F106" i="5"/>
  <c r="E106" i="5"/>
  <c r="J128" i="12" l="1"/>
  <c r="K104" i="5"/>
  <c r="H105" i="5"/>
  <c r="I105" i="5"/>
  <c r="J105" i="5"/>
  <c r="B107" i="5"/>
  <c r="L104" i="5"/>
  <c r="L89" i="3"/>
  <c r="K128" i="12"/>
  <c r="B131" i="12"/>
  <c r="M130" i="12"/>
  <c r="L130" i="12"/>
  <c r="D130" i="12"/>
  <c r="G129" i="12" s="1"/>
  <c r="F130" i="12"/>
  <c r="I129" i="12" s="1"/>
  <c r="E130" i="12"/>
  <c r="H129" i="12" s="1"/>
  <c r="H93" i="3"/>
  <c r="K93" i="3" s="1"/>
  <c r="H94" i="3"/>
  <c r="J94" i="3"/>
  <c r="I94" i="3"/>
  <c r="K92" i="3"/>
  <c r="K89" i="3"/>
  <c r="L90" i="3"/>
  <c r="K90" i="3"/>
  <c r="B96" i="3"/>
  <c r="H138" i="2"/>
  <c r="K137" i="2"/>
  <c r="K138" i="2" s="1"/>
  <c r="L137" i="2"/>
  <c r="L138" i="2" s="1"/>
  <c r="I138" i="2"/>
  <c r="F107" i="5"/>
  <c r="G107" i="5"/>
  <c r="E107" i="5"/>
  <c r="K129" i="12" l="1"/>
  <c r="L105" i="5"/>
  <c r="I106" i="5"/>
  <c r="J106" i="5"/>
  <c r="H106" i="5"/>
  <c r="B108" i="5"/>
  <c r="K105" i="5"/>
  <c r="J129" i="12"/>
  <c r="B132" i="12"/>
  <c r="E131" i="12"/>
  <c r="H130" i="12" s="1"/>
  <c r="D131" i="12"/>
  <c r="G130" i="12" s="1"/>
  <c r="L131" i="12"/>
  <c r="M131" i="12"/>
  <c r="F131" i="12"/>
  <c r="I130" i="12" s="1"/>
  <c r="L94" i="3"/>
  <c r="H95" i="3"/>
  <c r="I95" i="3"/>
  <c r="J95" i="3"/>
  <c r="L93" i="3"/>
  <c r="B97" i="3"/>
  <c r="K94" i="3"/>
  <c r="E108" i="5"/>
  <c r="F108" i="5"/>
  <c r="N108" i="5"/>
  <c r="M108" i="5"/>
  <c r="G108" i="5"/>
  <c r="J130" i="12" l="1"/>
  <c r="K106" i="5"/>
  <c r="H107" i="5"/>
  <c r="I107" i="5"/>
  <c r="J107" i="5"/>
  <c r="B109" i="5"/>
  <c r="L106" i="5"/>
  <c r="L95" i="3"/>
  <c r="K95" i="3"/>
  <c r="B133" i="12"/>
  <c r="L132" i="12"/>
  <c r="D132" i="12"/>
  <c r="G131" i="12" s="1"/>
  <c r="F132" i="12"/>
  <c r="I131" i="12" s="1"/>
  <c r="E132" i="12"/>
  <c r="H131" i="12" s="1"/>
  <c r="M132" i="12"/>
  <c r="K130" i="12"/>
  <c r="I96" i="3"/>
  <c r="B98" i="3"/>
  <c r="J96" i="3"/>
  <c r="H96" i="3"/>
  <c r="M109" i="5"/>
  <c r="F109" i="5"/>
  <c r="N109" i="5"/>
  <c r="G109" i="5"/>
  <c r="E109" i="5"/>
  <c r="K131" i="12" l="1"/>
  <c r="L107" i="5"/>
  <c r="J108" i="5"/>
  <c r="H108" i="5"/>
  <c r="I108" i="5"/>
  <c r="B110" i="5"/>
  <c r="K107" i="5"/>
  <c r="L96" i="3"/>
  <c r="J131" i="12"/>
  <c r="B134" i="12"/>
  <c r="D133" i="12"/>
  <c r="G132" i="12" s="1"/>
  <c r="E133" i="12"/>
  <c r="H132" i="12" s="1"/>
  <c r="F133" i="12"/>
  <c r="I132" i="12" s="1"/>
  <c r="L133" i="12"/>
  <c r="M133" i="12"/>
  <c r="H97" i="3"/>
  <c r="J97" i="3"/>
  <c r="K96" i="3"/>
  <c r="I97" i="3"/>
  <c r="B99" i="3"/>
  <c r="E110" i="5"/>
  <c r="N110" i="5"/>
  <c r="F110" i="5"/>
  <c r="G110" i="5"/>
  <c r="M110" i="5"/>
  <c r="K132" i="12" l="1"/>
  <c r="L108" i="5"/>
  <c r="H109" i="5"/>
  <c r="I109" i="5"/>
  <c r="J109" i="5"/>
  <c r="B111" i="5"/>
  <c r="K108" i="5"/>
  <c r="K97" i="3"/>
  <c r="J132" i="12"/>
  <c r="B135" i="12"/>
  <c r="L134" i="12"/>
  <c r="D134" i="12"/>
  <c r="G133" i="12" s="1"/>
  <c r="E134" i="12"/>
  <c r="H133" i="12" s="1"/>
  <c r="F134" i="12"/>
  <c r="I133" i="12" s="1"/>
  <c r="M134" i="12"/>
  <c r="H98" i="3"/>
  <c r="I98" i="3"/>
  <c r="L97" i="3"/>
  <c r="B100" i="3"/>
  <c r="J98" i="3"/>
  <c r="N111" i="5"/>
  <c r="M111" i="5"/>
  <c r="E111" i="5"/>
  <c r="F111" i="5"/>
  <c r="G111" i="5"/>
  <c r="L109" i="5" l="1"/>
  <c r="J110" i="5"/>
  <c r="H110" i="5"/>
  <c r="I110" i="5"/>
  <c r="B112" i="5"/>
  <c r="K109" i="5"/>
  <c r="K133" i="12"/>
  <c r="L98" i="3"/>
  <c r="B136" i="12"/>
  <c r="L135" i="12"/>
  <c r="E135" i="12"/>
  <c r="H134" i="12" s="1"/>
  <c r="D135" i="12"/>
  <c r="G134" i="12" s="1"/>
  <c r="F135" i="12"/>
  <c r="I134" i="12" s="1"/>
  <c r="M135" i="12"/>
  <c r="J133" i="12"/>
  <c r="H99" i="3"/>
  <c r="J99" i="3"/>
  <c r="K98" i="3"/>
  <c r="I99" i="3"/>
  <c r="B101" i="3"/>
  <c r="F112" i="5"/>
  <c r="E112" i="5"/>
  <c r="G112" i="5"/>
  <c r="N112" i="5"/>
  <c r="M112" i="5"/>
  <c r="L110" i="5" l="1"/>
  <c r="H111" i="5"/>
  <c r="I111" i="5"/>
  <c r="J111" i="5"/>
  <c r="K110" i="5"/>
  <c r="B113" i="5"/>
  <c r="K134" i="12"/>
  <c r="K99" i="3"/>
  <c r="J134" i="12"/>
  <c r="B137" i="12"/>
  <c r="D136" i="12"/>
  <c r="G135" i="12" s="1"/>
  <c r="L136" i="12"/>
  <c r="E136" i="12"/>
  <c r="H135" i="12" s="1"/>
  <c r="M136" i="12"/>
  <c r="F136" i="12"/>
  <c r="I135" i="12" s="1"/>
  <c r="H100" i="3"/>
  <c r="I100" i="3"/>
  <c r="L99" i="3"/>
  <c r="B102" i="3"/>
  <c r="J100" i="3"/>
  <c r="M113" i="5"/>
  <c r="N113" i="5"/>
  <c r="F113" i="5"/>
  <c r="G113" i="5"/>
  <c r="E113" i="5"/>
  <c r="K135" i="12" l="1"/>
  <c r="K111" i="5"/>
  <c r="J112" i="5"/>
  <c r="H112" i="5"/>
  <c r="I112" i="5"/>
  <c r="B114" i="5"/>
  <c r="L111" i="5"/>
  <c r="L100" i="3"/>
  <c r="J135" i="12"/>
  <c r="B138" i="12"/>
  <c r="D137" i="12"/>
  <c r="G136" i="12" s="1"/>
  <c r="L137" i="12"/>
  <c r="F137" i="12"/>
  <c r="I136" i="12" s="1"/>
  <c r="M137" i="12"/>
  <c r="E137" i="12"/>
  <c r="H136" i="12" s="1"/>
  <c r="H101" i="3"/>
  <c r="J101" i="3"/>
  <c r="K100" i="3"/>
  <c r="I101" i="3"/>
  <c r="B103" i="3"/>
  <c r="N114" i="5"/>
  <c r="G114" i="5"/>
  <c r="F114" i="5"/>
  <c r="M114" i="5"/>
  <c r="E114" i="5"/>
  <c r="K136" i="12" l="1"/>
  <c r="L112" i="5"/>
  <c r="H113" i="5"/>
  <c r="J113" i="5"/>
  <c r="I113" i="5"/>
  <c r="B115" i="5"/>
  <c r="K112" i="5"/>
  <c r="K101" i="3"/>
  <c r="J136" i="12"/>
  <c r="E138" i="12"/>
  <c r="H137" i="12" s="1"/>
  <c r="D138" i="12"/>
  <c r="G137" i="12" s="1"/>
  <c r="M138" i="12"/>
  <c r="L138" i="12"/>
  <c r="F138" i="12"/>
  <c r="I137" i="12" s="1"/>
  <c r="I138" i="12" s="1"/>
  <c r="I102" i="3"/>
  <c r="L101" i="3"/>
  <c r="B104" i="3"/>
  <c r="J102" i="3"/>
  <c r="H102" i="3"/>
  <c r="E115" i="5"/>
  <c r="F115" i="5"/>
  <c r="N115" i="5"/>
  <c r="M115" i="5"/>
  <c r="G115" i="5"/>
  <c r="K113" i="5" l="1"/>
  <c r="J114" i="5"/>
  <c r="H114" i="5"/>
  <c r="I114" i="5"/>
  <c r="B116" i="5"/>
  <c r="L113" i="5"/>
  <c r="L102" i="3"/>
  <c r="J137" i="12"/>
  <c r="J138" i="12" s="1"/>
  <c r="G138" i="12"/>
  <c r="H138" i="12"/>
  <c r="K137" i="12"/>
  <c r="K138" i="12" s="1"/>
  <c r="H103" i="3"/>
  <c r="J103" i="3"/>
  <c r="K102" i="3"/>
  <c r="I103" i="3"/>
  <c r="B105" i="3"/>
  <c r="M116" i="5"/>
  <c r="F116" i="5"/>
  <c r="G116" i="5"/>
  <c r="E116" i="5"/>
  <c r="N116" i="5"/>
  <c r="L114" i="5" l="1"/>
  <c r="J115" i="5"/>
  <c r="I115" i="5"/>
  <c r="H115" i="5"/>
  <c r="B117" i="5"/>
  <c r="K114" i="5"/>
  <c r="K103" i="3"/>
  <c r="L103" i="3"/>
  <c r="H104" i="3"/>
  <c r="I104" i="3"/>
  <c r="B106" i="3"/>
  <c r="J104" i="3"/>
  <c r="F117" i="5"/>
  <c r="E117" i="5"/>
  <c r="N117" i="5"/>
  <c r="M117" i="5"/>
  <c r="G117" i="5"/>
  <c r="L115" i="5" l="1"/>
  <c r="I116" i="5"/>
  <c r="J116" i="5"/>
  <c r="H116" i="5"/>
  <c r="B118" i="5"/>
  <c r="K115" i="5"/>
  <c r="L104" i="3"/>
  <c r="H105" i="3"/>
  <c r="J105" i="3"/>
  <c r="I105" i="3"/>
  <c r="K104" i="3"/>
  <c r="B107" i="3"/>
  <c r="N118" i="5"/>
  <c r="F118" i="5"/>
  <c r="E118" i="5"/>
  <c r="G118" i="5"/>
  <c r="M118" i="5"/>
  <c r="K116" i="5" l="1"/>
  <c r="J117" i="5"/>
  <c r="I117" i="5"/>
  <c r="H117" i="5"/>
  <c r="B119" i="5"/>
  <c r="L116" i="5"/>
  <c r="K105" i="3"/>
  <c r="L105" i="3"/>
  <c r="H106" i="3"/>
  <c r="J106" i="3"/>
  <c r="I106" i="3"/>
  <c r="B108" i="3"/>
  <c r="E119" i="5"/>
  <c r="F119" i="5"/>
  <c r="M119" i="5"/>
  <c r="G119" i="5"/>
  <c r="N119" i="5"/>
  <c r="K117" i="5" l="1"/>
  <c r="J118" i="5"/>
  <c r="H118" i="5"/>
  <c r="I118" i="5"/>
  <c r="B120" i="5"/>
  <c r="L117" i="5"/>
  <c r="L106" i="3"/>
  <c r="J107" i="3"/>
  <c r="I107" i="3"/>
  <c r="B109" i="3"/>
  <c r="H107" i="3"/>
  <c r="K106" i="3"/>
  <c r="N120" i="5"/>
  <c r="M120" i="5"/>
  <c r="G120" i="5"/>
  <c r="E120" i="5"/>
  <c r="F120" i="5"/>
  <c r="L118" i="5" l="1"/>
  <c r="I119" i="5"/>
  <c r="H119" i="5"/>
  <c r="J119" i="5"/>
  <c r="B121" i="5"/>
  <c r="K118" i="5"/>
  <c r="K107" i="3"/>
  <c r="L107" i="3"/>
  <c r="H108" i="3"/>
  <c r="J108" i="3"/>
  <c r="I108" i="3"/>
  <c r="B110" i="3"/>
  <c r="N121" i="5"/>
  <c r="E121" i="5"/>
  <c r="M121" i="5"/>
  <c r="G121" i="5"/>
  <c r="F121" i="5"/>
  <c r="L119" i="5" l="1"/>
  <c r="H120" i="5"/>
  <c r="I120" i="5"/>
  <c r="J120" i="5"/>
  <c r="B122" i="5"/>
  <c r="K119" i="5"/>
  <c r="L108" i="3"/>
  <c r="H109" i="3"/>
  <c r="J109" i="3"/>
  <c r="I109" i="3"/>
  <c r="K108" i="3"/>
  <c r="B111" i="3"/>
  <c r="M122" i="5"/>
  <c r="N122" i="5"/>
  <c r="G122" i="5"/>
  <c r="F122" i="5"/>
  <c r="E122" i="5"/>
  <c r="K120" i="5" l="1"/>
  <c r="H121" i="5"/>
  <c r="J121" i="5"/>
  <c r="I121" i="5"/>
  <c r="B123" i="5"/>
  <c r="L120" i="5"/>
  <c r="K109" i="3"/>
  <c r="L109" i="3"/>
  <c r="H110" i="3"/>
  <c r="I110" i="3"/>
  <c r="J110" i="3"/>
  <c r="B112" i="3"/>
  <c r="G123" i="5"/>
  <c r="F123" i="5"/>
  <c r="M123" i="5"/>
  <c r="N123" i="5"/>
  <c r="E123" i="5"/>
  <c r="K121" i="5" l="1"/>
  <c r="H122" i="5"/>
  <c r="J122" i="5"/>
  <c r="I122" i="5"/>
  <c r="B124" i="5"/>
  <c r="L121" i="5"/>
  <c r="L110" i="3"/>
  <c r="H111" i="3"/>
  <c r="J111" i="3"/>
  <c r="I111" i="3"/>
  <c r="K110" i="3"/>
  <c r="B113" i="3"/>
  <c r="G124" i="5"/>
  <c r="N124" i="5"/>
  <c r="F124" i="5"/>
  <c r="E124" i="5"/>
  <c r="M124" i="5"/>
  <c r="K122" i="5" l="1"/>
  <c r="H123" i="5"/>
  <c r="J123" i="5"/>
  <c r="I123" i="5"/>
  <c r="B125" i="5"/>
  <c r="L122" i="5"/>
  <c r="K111" i="3"/>
  <c r="L111" i="3"/>
  <c r="H112" i="3"/>
  <c r="I112" i="3"/>
  <c r="J112" i="3"/>
  <c r="B114" i="3"/>
  <c r="E125" i="5"/>
  <c r="M125" i="5"/>
  <c r="G125" i="5"/>
  <c r="F125" i="5"/>
  <c r="N125" i="5"/>
  <c r="K123" i="5" l="1"/>
  <c r="H124" i="5"/>
  <c r="J124" i="5"/>
  <c r="I124" i="5"/>
  <c r="B126" i="5"/>
  <c r="L123" i="5"/>
  <c r="H113" i="3"/>
  <c r="J113" i="3"/>
  <c r="L112" i="3"/>
  <c r="K112" i="3"/>
  <c r="I113" i="3"/>
  <c r="B115" i="3"/>
  <c r="F126" i="5"/>
  <c r="M126" i="5"/>
  <c r="G126" i="5"/>
  <c r="N126" i="5"/>
  <c r="E126" i="5"/>
  <c r="L124" i="5" l="1"/>
  <c r="H125" i="5"/>
  <c r="J125" i="5"/>
  <c r="I125" i="5"/>
  <c r="B127" i="5"/>
  <c r="K124" i="5"/>
  <c r="L113" i="3"/>
  <c r="K113" i="3"/>
  <c r="H114" i="3"/>
  <c r="J114" i="3"/>
  <c r="I114" i="3"/>
  <c r="B116" i="3"/>
  <c r="E127" i="5"/>
  <c r="F127" i="5"/>
  <c r="N127" i="5"/>
  <c r="G127" i="5"/>
  <c r="M127" i="5"/>
  <c r="L125" i="5" l="1"/>
  <c r="H126" i="5"/>
  <c r="J126" i="5"/>
  <c r="I126" i="5"/>
  <c r="B128" i="5"/>
  <c r="K125" i="5"/>
  <c r="L114" i="3"/>
  <c r="H115" i="3"/>
  <c r="J115" i="3"/>
  <c r="K114" i="3"/>
  <c r="I115" i="3"/>
  <c r="B117" i="3"/>
  <c r="M128" i="5"/>
  <c r="F128" i="5"/>
  <c r="E128" i="5"/>
  <c r="G128" i="5"/>
  <c r="N128" i="5"/>
  <c r="K126" i="5" l="1"/>
  <c r="H127" i="5"/>
  <c r="J127" i="5"/>
  <c r="I127" i="5"/>
  <c r="B129" i="5"/>
  <c r="L126" i="5"/>
  <c r="K115" i="3"/>
  <c r="L115" i="3"/>
  <c r="H116" i="3"/>
  <c r="I116" i="3"/>
  <c r="J116" i="3"/>
  <c r="B118" i="3"/>
  <c r="E129" i="5"/>
  <c r="N129" i="5"/>
  <c r="F129" i="5"/>
  <c r="M129" i="5"/>
  <c r="G129" i="5"/>
  <c r="K127" i="5" l="1"/>
  <c r="H128" i="5"/>
  <c r="J128" i="5"/>
  <c r="I128" i="5"/>
  <c r="L127" i="5"/>
  <c r="B130" i="5"/>
  <c r="L116" i="3"/>
  <c r="J117" i="3"/>
  <c r="I117" i="3"/>
  <c r="K116" i="3"/>
  <c r="H117" i="3"/>
  <c r="B119" i="3"/>
  <c r="N130" i="5"/>
  <c r="E130" i="5"/>
  <c r="M130" i="5"/>
  <c r="F130" i="5"/>
  <c r="G130" i="5"/>
  <c r="K128" i="5" l="1"/>
  <c r="H129" i="5"/>
  <c r="J129" i="5"/>
  <c r="I129" i="5"/>
  <c r="L128" i="5"/>
  <c r="B131" i="5"/>
  <c r="L117" i="3"/>
  <c r="K117" i="3"/>
  <c r="H118" i="3"/>
  <c r="J118" i="3"/>
  <c r="I118" i="3"/>
  <c r="B120" i="3"/>
  <c r="N131" i="5"/>
  <c r="G131" i="5"/>
  <c r="E131" i="5"/>
  <c r="F131" i="5"/>
  <c r="M131" i="5"/>
  <c r="K129" i="5" l="1"/>
  <c r="I130" i="5"/>
  <c r="J130" i="5"/>
  <c r="H130" i="5"/>
  <c r="B132" i="5"/>
  <c r="L129" i="5"/>
  <c r="L118" i="3"/>
  <c r="K118" i="3"/>
  <c r="J119" i="3"/>
  <c r="I119" i="3"/>
  <c r="H119" i="3"/>
  <c r="B121" i="3"/>
  <c r="N132" i="5"/>
  <c r="M132" i="5"/>
  <c r="E132" i="5"/>
  <c r="G132" i="5"/>
  <c r="F132" i="5"/>
  <c r="L130" i="5" l="1"/>
  <c r="H131" i="5"/>
  <c r="I131" i="5"/>
  <c r="J131" i="5"/>
  <c r="B133" i="5"/>
  <c r="K130" i="5"/>
  <c r="L119" i="3"/>
  <c r="H120" i="3"/>
  <c r="J120" i="3"/>
  <c r="I120" i="3"/>
  <c r="K119" i="3"/>
  <c r="B122" i="3"/>
  <c r="M133" i="5"/>
  <c r="E133" i="5"/>
  <c r="G133" i="5"/>
  <c r="F133" i="5"/>
  <c r="N133" i="5"/>
  <c r="K131" i="5" l="1"/>
  <c r="J132" i="5"/>
  <c r="H132" i="5"/>
  <c r="I132" i="5"/>
  <c r="B134" i="5"/>
  <c r="L131" i="5"/>
  <c r="L120" i="3"/>
  <c r="J121" i="3"/>
  <c r="K120" i="3"/>
  <c r="I121" i="3"/>
  <c r="H121" i="3"/>
  <c r="B123" i="3"/>
  <c r="N134" i="5"/>
  <c r="E134" i="5"/>
  <c r="M134" i="5"/>
  <c r="F134" i="5"/>
  <c r="G134" i="5"/>
  <c r="L132" i="5" l="1"/>
  <c r="H133" i="5"/>
  <c r="I133" i="5"/>
  <c r="J133" i="5"/>
  <c r="B135" i="5"/>
  <c r="K132" i="5"/>
  <c r="K121" i="3"/>
  <c r="L121" i="3"/>
  <c r="H122" i="3"/>
  <c r="I122" i="3"/>
  <c r="B124" i="3"/>
  <c r="J122" i="3"/>
  <c r="G135" i="5"/>
  <c r="M135" i="5"/>
  <c r="F135" i="5"/>
  <c r="N135" i="5"/>
  <c r="E135" i="5"/>
  <c r="K133" i="5" l="1"/>
  <c r="I134" i="5"/>
  <c r="H134" i="5"/>
  <c r="J134" i="5"/>
  <c r="B136" i="5"/>
  <c r="L133" i="5"/>
  <c r="K122" i="3"/>
  <c r="H123" i="3"/>
  <c r="J123" i="3"/>
  <c r="L122" i="3"/>
  <c r="I123" i="3"/>
  <c r="B125" i="3"/>
  <c r="F136" i="5"/>
  <c r="M136" i="5"/>
  <c r="E136" i="5"/>
  <c r="N136" i="5"/>
  <c r="G136" i="5"/>
  <c r="K134" i="5" l="1"/>
  <c r="J135" i="5"/>
  <c r="H135" i="5"/>
  <c r="I135" i="5"/>
  <c r="B137" i="5"/>
  <c r="L134" i="5"/>
  <c r="K123" i="3"/>
  <c r="L123" i="3"/>
  <c r="H124" i="3"/>
  <c r="J124" i="3"/>
  <c r="I124" i="3"/>
  <c r="B126" i="3"/>
  <c r="N137" i="5"/>
  <c r="G137" i="5"/>
  <c r="M137" i="5"/>
  <c r="E137" i="5"/>
  <c r="F137" i="5"/>
  <c r="L135" i="5" l="1"/>
  <c r="J136" i="5"/>
  <c r="H136" i="5"/>
  <c r="I136" i="5"/>
  <c r="B138" i="5"/>
  <c r="K135" i="5"/>
  <c r="L124" i="3"/>
  <c r="J125" i="3"/>
  <c r="I125" i="3"/>
  <c r="K124" i="3"/>
  <c r="H125" i="3"/>
  <c r="B127" i="3"/>
  <c r="M138" i="5"/>
  <c r="G138" i="5"/>
  <c r="E138" i="5"/>
  <c r="N138" i="5"/>
  <c r="F138" i="5"/>
  <c r="L136" i="5" l="1"/>
  <c r="H137" i="5"/>
  <c r="J137" i="5"/>
  <c r="I137" i="5"/>
  <c r="B139" i="5"/>
  <c r="K136" i="5"/>
  <c r="H126" i="3"/>
  <c r="I126" i="3"/>
  <c r="J126" i="3"/>
  <c r="L125" i="3"/>
  <c r="K125" i="3"/>
  <c r="B128" i="3"/>
  <c r="G139" i="5"/>
  <c r="N139" i="5"/>
  <c r="M139" i="5"/>
  <c r="E139" i="5"/>
  <c r="F139" i="5"/>
  <c r="K137" i="5" l="1"/>
  <c r="J138" i="5"/>
  <c r="I138" i="5"/>
  <c r="H138" i="5"/>
  <c r="L137" i="5"/>
  <c r="B140" i="5"/>
  <c r="L126" i="3"/>
  <c r="H127" i="3"/>
  <c r="J127" i="3"/>
  <c r="K126" i="3"/>
  <c r="I127" i="3"/>
  <c r="B129" i="3"/>
  <c r="N140" i="5"/>
  <c r="M140" i="5"/>
  <c r="G140" i="5"/>
  <c r="F140" i="5"/>
  <c r="E140" i="5"/>
  <c r="K138" i="5" l="1"/>
  <c r="J139" i="5"/>
  <c r="H139" i="5"/>
  <c r="I139" i="5"/>
  <c r="B141" i="5"/>
  <c r="L138" i="5"/>
  <c r="K127" i="3"/>
  <c r="L127" i="3"/>
  <c r="H128" i="3"/>
  <c r="J128" i="3"/>
  <c r="I128" i="3"/>
  <c r="B130" i="3"/>
  <c r="M141" i="5"/>
  <c r="E141" i="5"/>
  <c r="F141" i="5"/>
  <c r="N141" i="5"/>
  <c r="G141" i="5"/>
  <c r="L139" i="5" l="1"/>
  <c r="H140" i="5"/>
  <c r="J140" i="5"/>
  <c r="I140" i="5"/>
  <c r="B142" i="5"/>
  <c r="K139" i="5"/>
  <c r="K128" i="3"/>
  <c r="L128" i="3"/>
  <c r="I129" i="3"/>
  <c r="J129" i="3"/>
  <c r="H129" i="3"/>
  <c r="B131" i="3"/>
  <c r="G142" i="5"/>
  <c r="E142" i="5"/>
  <c r="M142" i="5"/>
  <c r="F142" i="5"/>
  <c r="N142" i="5"/>
  <c r="K140" i="5" l="1"/>
  <c r="H141" i="5"/>
  <c r="J141" i="5"/>
  <c r="I141" i="5"/>
  <c r="B143" i="5"/>
  <c r="L140" i="5"/>
  <c r="L129" i="3"/>
  <c r="K129" i="3"/>
  <c r="H130" i="3"/>
  <c r="I130" i="3"/>
  <c r="B132" i="3"/>
  <c r="J130" i="3"/>
  <c r="N143" i="5"/>
  <c r="F143" i="5"/>
  <c r="G143" i="5"/>
  <c r="E143" i="5"/>
  <c r="M143" i="5"/>
  <c r="K141" i="5" l="1"/>
  <c r="H142" i="5"/>
  <c r="J142" i="5"/>
  <c r="I142" i="5"/>
  <c r="B144" i="5"/>
  <c r="L141" i="5"/>
  <c r="L130" i="3"/>
  <c r="K130" i="3"/>
  <c r="J131" i="3"/>
  <c r="I131" i="3"/>
  <c r="H131" i="3"/>
  <c r="B133" i="3"/>
  <c r="M144" i="5"/>
  <c r="N144" i="5"/>
  <c r="E144" i="5"/>
  <c r="G144" i="5"/>
  <c r="F144" i="5"/>
  <c r="L142" i="5" l="1"/>
  <c r="K142" i="5"/>
  <c r="H143" i="5"/>
  <c r="J143" i="5"/>
  <c r="I143" i="5"/>
  <c r="B145" i="5"/>
  <c r="K131" i="3"/>
  <c r="H132" i="3"/>
  <c r="J132" i="3"/>
  <c r="I132" i="3"/>
  <c r="L131" i="3"/>
  <c r="B134" i="3"/>
  <c r="N145" i="5"/>
  <c r="G145" i="5"/>
  <c r="M145" i="5"/>
  <c r="F145" i="5"/>
  <c r="E145" i="5"/>
  <c r="K143" i="5" l="1"/>
  <c r="H144" i="5"/>
  <c r="J144" i="5"/>
  <c r="I144" i="5"/>
  <c r="B146" i="5"/>
  <c r="L143" i="5"/>
  <c r="L132" i="3"/>
  <c r="K132" i="3"/>
  <c r="I133" i="3"/>
  <c r="J133" i="3"/>
  <c r="H133" i="3"/>
  <c r="B135" i="3"/>
  <c r="G146" i="5"/>
  <c r="N146" i="5"/>
  <c r="M146" i="5"/>
  <c r="F146" i="5"/>
  <c r="E146" i="5"/>
  <c r="K144" i="5" l="1"/>
  <c r="H145" i="5"/>
  <c r="J145" i="5"/>
  <c r="I145" i="5"/>
  <c r="B147" i="5"/>
  <c r="L144" i="5"/>
  <c r="L133" i="3"/>
  <c r="K133" i="3"/>
  <c r="H134" i="3"/>
  <c r="J134" i="3"/>
  <c r="I134" i="3"/>
  <c r="B136" i="3"/>
  <c r="N147" i="5"/>
  <c r="F147" i="5"/>
  <c r="G147" i="5"/>
  <c r="M147" i="5"/>
  <c r="E147" i="5"/>
  <c r="K145" i="5" l="1"/>
  <c r="L145" i="5"/>
  <c r="H146" i="5"/>
  <c r="J146" i="5"/>
  <c r="I146" i="5"/>
  <c r="B148" i="5"/>
  <c r="L134" i="3"/>
  <c r="K134" i="3"/>
  <c r="I135" i="3"/>
  <c r="J135" i="3"/>
  <c r="H135" i="3"/>
  <c r="B137" i="3"/>
  <c r="N148" i="5"/>
  <c r="M148" i="5"/>
  <c r="G148" i="5"/>
  <c r="E148" i="5"/>
  <c r="F148" i="5"/>
  <c r="K146" i="5" l="1"/>
  <c r="H147" i="5"/>
  <c r="J147" i="5"/>
  <c r="I147" i="5"/>
  <c r="B149" i="5"/>
  <c r="L146" i="5"/>
  <c r="L135" i="3"/>
  <c r="K135" i="3"/>
  <c r="H136" i="3"/>
  <c r="J136" i="3"/>
  <c r="I136" i="3"/>
  <c r="B138" i="3"/>
  <c r="N149" i="5"/>
  <c r="E149" i="5"/>
  <c r="M149" i="5"/>
  <c r="F149" i="5"/>
  <c r="G149" i="5"/>
  <c r="K147" i="5" l="1"/>
  <c r="H148" i="5"/>
  <c r="J148" i="5"/>
  <c r="I148" i="5"/>
  <c r="B150" i="5"/>
  <c r="L147" i="5"/>
  <c r="K136" i="3"/>
  <c r="B139" i="3"/>
  <c r="H137" i="3"/>
  <c r="J137" i="3"/>
  <c r="I137" i="3"/>
  <c r="L136" i="3"/>
  <c r="M150" i="5"/>
  <c r="G150" i="5"/>
  <c r="E150" i="5"/>
  <c r="N150" i="5"/>
  <c r="F150" i="5"/>
  <c r="K148" i="5" l="1"/>
  <c r="L148" i="5"/>
  <c r="H149" i="5"/>
  <c r="J149" i="5"/>
  <c r="I149" i="5"/>
  <c r="B151" i="5"/>
  <c r="B140" i="3"/>
  <c r="H138" i="3"/>
  <c r="J138" i="3"/>
  <c r="I138" i="3"/>
  <c r="L137" i="3"/>
  <c r="K137" i="3"/>
  <c r="G151" i="5"/>
  <c r="M151" i="5"/>
  <c r="E151" i="5"/>
  <c r="F151" i="5"/>
  <c r="N151" i="5"/>
  <c r="L149" i="5" l="1"/>
  <c r="I150" i="5"/>
  <c r="H150" i="5"/>
  <c r="J150" i="5"/>
  <c r="K149" i="5"/>
  <c r="L138" i="3"/>
  <c r="B141" i="3"/>
  <c r="H139" i="3"/>
  <c r="I139" i="3"/>
  <c r="J139" i="3"/>
  <c r="K138" i="3"/>
  <c r="K150" i="5" l="1"/>
  <c r="I151" i="5"/>
  <c r="H151" i="5"/>
  <c r="J151" i="5"/>
  <c r="L150" i="5"/>
  <c r="L139" i="3"/>
  <c r="B142" i="3"/>
  <c r="H140" i="3"/>
  <c r="I140" i="3"/>
  <c r="J140" i="3"/>
  <c r="K139" i="3"/>
  <c r="K151" i="5" l="1"/>
  <c r="L151" i="5"/>
  <c r="L140" i="3"/>
  <c r="B143" i="3"/>
  <c r="H141" i="3"/>
  <c r="I141" i="3"/>
  <c r="J141" i="3"/>
  <c r="K140" i="3"/>
  <c r="L141" i="3" l="1"/>
  <c r="K141" i="3"/>
  <c r="H142" i="3"/>
  <c r="B144" i="3"/>
  <c r="J142" i="3"/>
  <c r="I142" i="3"/>
  <c r="L142" i="3" l="1"/>
  <c r="H143" i="3"/>
  <c r="B145" i="3"/>
  <c r="J143" i="3"/>
  <c r="K142" i="3"/>
  <c r="I143" i="3" l="1"/>
  <c r="L143" i="3" s="1"/>
  <c r="H144" i="3"/>
  <c r="B146" i="3"/>
  <c r="J144" i="3"/>
  <c r="H145" i="3" l="1"/>
  <c r="B147" i="3"/>
  <c r="J145" i="3"/>
  <c r="I145" i="3"/>
  <c r="K143" i="3"/>
  <c r="I144" i="3"/>
  <c r="L144" i="3" s="1"/>
  <c r="L145" i="3" l="1"/>
  <c r="K145" i="3"/>
  <c r="K144" i="3"/>
  <c r="H146" i="3"/>
  <c r="J146" i="3"/>
  <c r="I146" i="3"/>
  <c r="B148" i="3"/>
  <c r="L146" i="3" l="1"/>
  <c r="H147" i="3"/>
  <c r="J147" i="3"/>
  <c r="B149" i="3"/>
  <c r="K146" i="3"/>
  <c r="H148" i="3" l="1"/>
  <c r="J148" i="3"/>
  <c r="B150" i="3"/>
  <c r="I148" i="3"/>
  <c r="I147" i="3"/>
  <c r="L147" i="3" s="1"/>
  <c r="L148" i="3" l="1"/>
  <c r="H149" i="3"/>
  <c r="J149" i="3"/>
  <c r="I149" i="3"/>
  <c r="B151" i="3"/>
  <c r="K148" i="3"/>
  <c r="K147" i="3"/>
  <c r="L149" i="3" l="1"/>
  <c r="H150" i="3"/>
  <c r="J150" i="3"/>
  <c r="I150" i="3"/>
  <c r="B152" i="3"/>
  <c r="K149" i="3"/>
  <c r="L150" i="3" l="1"/>
  <c r="H151" i="3"/>
  <c r="J151" i="3"/>
  <c r="B153" i="3"/>
  <c r="K150" i="3"/>
  <c r="H152" i="3" l="1"/>
  <c r="J152" i="3"/>
  <c r="B154" i="3"/>
  <c r="I152" i="3"/>
  <c r="I151" i="3"/>
  <c r="L151" i="3" s="1"/>
  <c r="L152" i="3" l="1"/>
  <c r="H153" i="3"/>
  <c r="J153" i="3"/>
  <c r="I153" i="3"/>
  <c r="B155" i="3"/>
  <c r="K152" i="3"/>
  <c r="K151" i="3"/>
  <c r="L153" i="3" l="1"/>
  <c r="H154" i="3"/>
  <c r="J154" i="3"/>
  <c r="I154" i="3"/>
  <c r="B156" i="3"/>
  <c r="K153" i="3"/>
  <c r="L154" i="3" l="1"/>
  <c r="H155" i="3"/>
  <c r="J155" i="3"/>
  <c r="B157" i="3"/>
  <c r="K154" i="3"/>
  <c r="B158" i="3" l="1"/>
  <c r="H156" i="3"/>
  <c r="J156" i="3"/>
  <c r="I156" i="3"/>
  <c r="I155" i="3"/>
  <c r="L155" i="3" s="1"/>
  <c r="L156" i="3" l="1"/>
  <c r="K156" i="3"/>
  <c r="K155" i="3"/>
  <c r="B159" i="3"/>
  <c r="H157" i="3"/>
  <c r="I157" i="3"/>
  <c r="J157" i="3"/>
  <c r="L157" i="3" l="1"/>
  <c r="B160" i="3"/>
  <c r="H158" i="3"/>
  <c r="J158" i="3"/>
  <c r="I158" i="3"/>
  <c r="K157" i="3"/>
  <c r="L158" i="3" l="1"/>
  <c r="K158" i="3"/>
  <c r="B161" i="3"/>
  <c r="H159" i="3"/>
  <c r="J159" i="3"/>
  <c r="I159" i="3"/>
  <c r="L159" i="3" l="1"/>
  <c r="K159" i="3"/>
  <c r="B162" i="3"/>
  <c r="J160" i="3"/>
  <c r="I160" i="3"/>
  <c r="H161" i="3" l="1"/>
  <c r="J161" i="3"/>
  <c r="J162" i="3" s="1"/>
  <c r="I161" i="3"/>
  <c r="H160" i="3"/>
  <c r="K160" i="3" s="1"/>
  <c r="L161" i="3" l="1"/>
  <c r="I162" i="3"/>
  <c r="H162" i="3"/>
  <c r="K161" i="3"/>
  <c r="K162" i="3" s="1"/>
  <c r="L160" i="3"/>
  <c r="L162" i="3" l="1"/>
  <c r="I6" i="2"/>
  <c r="L6" i="2" s="1"/>
  <c r="K6" i="2" l="1"/>
</calcChain>
</file>

<file path=xl/comments1.xml><?xml version="1.0" encoding="utf-8"?>
<comments xmlns="http://schemas.openxmlformats.org/spreadsheetml/2006/main">
  <authors>
    <author>Adm</author>
  </authors>
  <commentList>
    <comment ref="A7" authorId="0" shapeId="0">
      <text>
        <r>
          <rPr>
            <b/>
            <sz val="9"/>
            <color indexed="81"/>
            <rFont val="Tahoma"/>
            <charset val="1"/>
          </rPr>
          <t>BELY
БЕЛЫЙ</t>
        </r>
      </text>
    </comment>
  </commentList>
</comments>
</file>

<file path=xl/sharedStrings.xml><?xml version="1.0" encoding="utf-8"?>
<sst xmlns="http://schemas.openxmlformats.org/spreadsheetml/2006/main" count="310" uniqueCount="154">
  <si>
    <t>SUGIR</t>
  </si>
  <si>
    <t>IN</t>
  </si>
  <si>
    <t>DR</t>
  </si>
  <si>
    <t>DK</t>
  </si>
  <si>
    <t>LO</t>
  </si>
  <si>
    <t>OKLIT</t>
  </si>
  <si>
    <t>BITSA</t>
  </si>
  <si>
    <t>С.Ш.</t>
  </si>
  <si>
    <t>В.Д.</t>
  </si>
  <si>
    <t xml:space="preserve"> 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</si>
  <si>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</si>
  <si>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</si>
  <si>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</si>
  <si>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</si>
  <si>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</si>
  <si>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</si>
  <si>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</si>
  <si>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</si>
  <si>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</si>
  <si>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KIL002</t>
  </si>
  <si>
    <t>Эшелон</t>
  </si>
  <si>
    <t>X</t>
  </si>
  <si>
    <t>Z</t>
  </si>
  <si>
    <t>D</t>
  </si>
  <si>
    <t>M</t>
  </si>
  <si>
    <t>S</t>
  </si>
  <si>
    <t>DEG</t>
  </si>
  <si>
    <t>X/Z</t>
  </si>
  <si>
    <t>с координатами:</t>
  </si>
  <si>
    <t>FL</t>
  </si>
  <si>
    <t>Y</t>
  </si>
  <si>
    <t>GLP101</t>
  </si>
  <si>
    <t>GLP111</t>
  </si>
  <si>
    <t>GLP001</t>
  </si>
  <si>
    <t>KIL003</t>
  </si>
  <si>
    <t>расст.</t>
  </si>
  <si>
    <t>время</t>
  </si>
  <si>
    <t>скор. м/с</t>
  </si>
  <si>
    <t>положен.</t>
  </si>
  <si>
    <t>DMD_OUT</t>
  </si>
  <si>
    <t>GLP007</t>
  </si>
  <si>
    <t>GLP102</t>
  </si>
  <si>
    <t>GLP113</t>
  </si>
  <si>
    <t>Speed</t>
  </si>
  <si>
    <t>SpeedX</t>
  </si>
  <si>
    <t>SpeedZ</t>
  </si>
  <si>
    <t>Track</t>
  </si>
  <si>
    <t>Vspeed</t>
  </si>
  <si>
    <t>end</t>
  </si>
  <si>
    <t>begin</t>
  </si>
  <si>
    <t>Lat</t>
  </si>
  <si>
    <t>Long</t>
  </si>
  <si>
    <t>Dlat</t>
  </si>
  <si>
    <t>Dlong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</si>
  <si>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</si>
  <si>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</si>
  <si>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</si>
  <si>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</si>
  <si>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</si>
  <si>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</si>
  <si>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</si>
  <si>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</si>
  <si>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</si>
  <si>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</si>
  <si>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</si>
  <si>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</si>
  <si>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</si>
  <si>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</si>
  <si>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</si>
  <si>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</si>
  <si>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</si>
  <si>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</si>
  <si>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</si>
  <si>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</si>
  <si>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</si>
  <si>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</si>
  <si>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</si>
  <si>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</si>
  <si>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</si>
  <si>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</si>
  <si>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</si>
  <si>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</si>
  <si>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</si>
  <si>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DMD_OUT_R</t>
  </si>
  <si>
    <t>GLP001/KIL003</t>
  </si>
  <si>
    <t>Simulator</t>
  </si>
  <si>
    <t>Координаты X и Z даны в метрах. Расчитаны относительно контрольной точки BELY(Белый)</t>
  </si>
  <si>
    <t>55 51 15</t>
  </si>
  <si>
    <t>32 56 21</t>
  </si>
  <si>
    <t>BELY</t>
  </si>
  <si>
    <t>TU</t>
  </si>
  <si>
    <t>0.2718506</t>
  </si>
  <si>
    <t>-0.1698608</t>
  </si>
  <si>
    <t>OGUTA</t>
  </si>
  <si>
    <t>Белый</t>
  </si>
  <si>
    <t>-123019.3</t>
  </si>
  <si>
    <t>-72673.26</t>
  </si>
  <si>
    <t>KOLED</t>
  </si>
  <si>
    <t>OKO_1</t>
  </si>
  <si>
    <t>52058.18</t>
  </si>
  <si>
    <t>-43963.79</t>
  </si>
  <si>
    <t>FK</t>
  </si>
  <si>
    <t>Гагарин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</si>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</sst>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0" fontId="0" fillId="0" borderId="0" xfId="0" applyNumberFormat="1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0" fontId="2" fillId="0" borderId="0" xfId="0" applyFont="1"/>
    <xf numFmtId="20" fontId="2" fillId="0" borderId="0" xfId="0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164" fontId="3" fillId="0" borderId="0" xfId="0" applyNumberFormat="1" applyFont="1"/>
    <xf numFmtId="0" fontId="0" fillId="0" borderId="0" xfId="0" quotePrefix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Beacons!$A$7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Beacons!$I$7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Beacons!$I$8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Beacons!$A$11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Beacons!$I$11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Beacons!$I$12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Beacons!$A$14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Beacons!$I$14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Beacons!$I$15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Beacons!$A$18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Beacons!$I$18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Beacons!$I$19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Beacons!$A$22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Beacons!$I$22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Beacons!$I$23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Beacons!$A$26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Beacons!$I$26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Beacons!$I$27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Beacons!$A$29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Beacons!$I$29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Beacons!$I$30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Beacons!$A$35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Beacons!$I$35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Beacons!$I$36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Beacons!$A$38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Beacons!$I$38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Beacons!$I$39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Beacons!$A$41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Beacons!$I$41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Beacons!$I$42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Beacons!$A$32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Beacons!$I$32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Beacons!$I$33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Beacons!$A$44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Beacons!$I$44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Beacons!$I$45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Beacons!$A$47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Beacons!$I$47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Beacons!$I$48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Beacons!$A$50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Beacons!$I$50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Beacons!$I$51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Beacons!$A$53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Beacons!$I$53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Beacons!$I$54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Beacons!$A$56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Beacons!$I$56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Beacons!$I$57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Beacons!$A$59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Beacons!$I$59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Beacons!$I$60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Beacons!$A$62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Beacons!$I$62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Beacons!$I$63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Beacons!$A$65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Beacons!$I$65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Beacons!$I$66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Beacons!$A$68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Beacons!$I$68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Beacons!$I$69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Beacons!$A$71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Beacons!$I$71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Beacons!$I$72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Beacons!$A$74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Beacons!$I$74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Beacons!$I$75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'GLP101'!$E$2:$E$4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'GLP101'!$F$2:$F$4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'GLP101'!$E$6:$E$138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xVal>
          <c:yVal>
            <c:numRef>
              <c:f>'GLP101'!$F$6:$F$138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'GLP101'!$N$6:$N$138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xVal>
          <c:yVal>
            <c:numRef>
              <c:f>'GLP101'!$M$6:$M$138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(2)'!$E$1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(2)'!$D$2:$D$4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'GLP101 (2)'!$E$2:$E$4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A-44FA-946E-C38FD6C5A26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 (2)'!$D$6:$D$138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xVal>
          <c:yVal>
            <c:numRef>
              <c:f>'GLP101 (2)'!$E$6:$E$138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AA-44FA-946E-C38FD6C5A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(2)'!$L$5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(2)'!$M$6:$M$138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xVal>
          <c:yVal>
            <c:numRef>
              <c:f>'GLP101 (2)'!$L$6:$L$138</c:f>
              <c:numCache>
                <c:formatCode>General</c:formatCode>
                <c:ptCount val="1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3-4563-B653-0C4BB1D03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890266841644796"/>
          <c:y val="7.4074074074074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'GLP001'!$E$2:$E$6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'GLP001'!$F$2:$F$6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C-4491-8954-288F3A378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15336"/>
        <c:axId val="585916648"/>
      </c:scatterChart>
      <c:valAx>
        <c:axId val="58591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916648"/>
        <c:crosses val="autoZero"/>
        <c:crossBetween val="midCat"/>
      </c:valAx>
      <c:valAx>
        <c:axId val="58591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91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'GLP001'!$F$8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'GLP001'!$E$9:$E$153</c:f>
              <c:numCache>
                <c:formatCode>General</c:formatCode>
                <c:ptCount val="1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</c:numCache>
            </c:numRef>
          </c:xVal>
          <c:yVal>
            <c:numRef>
              <c:f>'GLP001'!$F$9:$F$153</c:f>
              <c:numCache>
                <c:formatCode>General</c:formatCode>
                <c:ptCount val="1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EE-4406-BDB5-8F148EB73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599200"/>
        <c:axId val="513596576"/>
      </c:scatterChart>
      <c:valAx>
        <c:axId val="51359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3596576"/>
        <c:crosses val="autoZero"/>
        <c:crossBetween val="midCat"/>
      </c:valAx>
      <c:valAx>
        <c:axId val="5135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359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'GLP001'!$E$27:$E$39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'GLP001'!$F$27:$F$39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85-4D38-BD3C-5575434F1A5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'GLP001'!$P$31:$P$35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'GLP001'!$Q$31:$Q$35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85-4D38-BD3C-5575434F1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353456"/>
        <c:axId val="581325248"/>
      </c:scatterChart>
      <c:valAx>
        <c:axId val="58135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1325248"/>
        <c:crosses val="autoZero"/>
        <c:crossBetween val="midCat"/>
      </c:valAx>
      <c:valAx>
        <c:axId val="5813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135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'GLP001'!$E$51:$E$63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'GLP001'!$F$51:$F$63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C9D-B4C7-9284A31A47F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'GLP001'!$P$55:$P$59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'GLP001'!$Q$55:$Q$59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E-4C9D-B4C7-9284A31A4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22584"/>
        <c:axId val="482524224"/>
      </c:scatterChart>
      <c:valAx>
        <c:axId val="48252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524224"/>
        <c:crosses val="autoZero"/>
        <c:crossBetween val="midCat"/>
      </c:valAx>
      <c:valAx>
        <c:axId val="4825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52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'GLP001'!$E$87:$E$99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'GLP001'!$F$87:$F$99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4-4DB1-A5FC-3EEC5A8A2BE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'GLP001'!$P$91:$P$95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'GLP001'!$Q$91:$Q$95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E4-4DB1-A5FC-3EEC5A8A2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28776"/>
        <c:axId val="481429104"/>
      </c:scatterChart>
      <c:valAx>
        <c:axId val="48142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29104"/>
        <c:crosses val="autoZero"/>
        <c:crossBetween val="midCat"/>
      </c:valAx>
      <c:valAx>
        <c:axId val="48142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28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352424</xdr:colOff>
      <xdr:row>2</xdr:row>
      <xdr:rowOff>114300</xdr:rowOff>
    </xdr:from>
    <xdr:to>
      <xdr:col>27</xdr:col>
      <xdr:colOff>66675</xdr:colOff>
      <xdr:row>32</xdr:row>
      <xdr:rowOff>190499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523876</xdr:colOff>
      <xdr:row>1</xdr:row>
      <xdr:rowOff>38100</xdr:rowOff>
    </xdr:from>
    <xdr:to>
      <xdr:col>30</xdr:col>
      <xdr:colOff>114300</xdr:colOff>
      <xdr:row>38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600075</xdr:colOff>
      <xdr:row>36</xdr:row>
      <xdr:rowOff>38099</xdr:rowOff>
    </xdr:from>
    <xdr:to>
      <xdr:col>28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76200</xdr:colOff>
      <xdr:row>1</xdr:row>
      <xdr:rowOff>47625</xdr:rowOff>
    </xdr:from>
    <xdr:to>
      <xdr:col>28</xdr:col>
      <xdr:colOff>381000</xdr:colOff>
      <xdr:row>15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457200</xdr:colOff>
      <xdr:row>16</xdr:row>
      <xdr:rowOff>171450</xdr:rowOff>
    </xdr:from>
    <xdr:to>
      <xdr:col>28</xdr:col>
      <xdr:colOff>152400</xdr:colOff>
      <xdr:row>31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133350</xdr:colOff>
      <xdr:row>35</xdr:row>
      <xdr:rowOff>66675</xdr:rowOff>
    </xdr:from>
    <xdr:to>
      <xdr:col>21</xdr:col>
      <xdr:colOff>438150</xdr:colOff>
      <xdr:row>49</xdr:row>
      <xdr:rowOff>142875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152400</xdr:colOff>
      <xdr:row>48</xdr:row>
      <xdr:rowOff>85725</xdr:rowOff>
    </xdr:from>
    <xdr:to>
      <xdr:col>28</xdr:col>
      <xdr:colOff>457200</xdr:colOff>
      <xdr:row>62</xdr:row>
      <xdr:rowOff>161925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133350</xdr:colOff>
      <xdr:row>82</xdr:row>
      <xdr:rowOff>152400</xdr:rowOff>
    </xdr:from>
    <xdr:to>
      <xdr:col>27</xdr:col>
      <xdr:colOff>438150</xdr:colOff>
      <xdr:row>97</xdr:row>
      <xdr:rowOff>38100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75"/>
  <sheetViews>
    <sheetView tabSelected="1" topLeftCell="A4" workbookViewId="0">
      <selection activeCell="O54" sqref="O54"/>
    </sheetView>
  </sheetViews>
  <sheetFormatPr defaultRowHeight="15" x14ac:dyDescent="0.25"/>
  <cols>
    <col min="1" max="1" width="14.140625" bestFit="1" customWidth="1"/>
    <col min="2" max="2" width="5.140625" bestFit="1" customWidth="1"/>
    <col min="3" max="5" width="3" bestFit="1" customWidth="1"/>
    <col min="9" max="9" width="9.7109375" customWidth="1"/>
  </cols>
  <sheetData>
    <row r="1" spans="1:23" x14ac:dyDescent="0.25">
      <c r="A1" t="s">
        <v>85</v>
      </c>
      <c r="J1" t="s">
        <v>11</v>
      </c>
      <c r="K1" t="s">
        <v>10</v>
      </c>
      <c r="M1" t="s">
        <v>14</v>
      </c>
      <c r="N1" t="s">
        <v>15</v>
      </c>
      <c r="P1" t="s">
        <v>20</v>
      </c>
      <c r="Q1" t="s">
        <v>14</v>
      </c>
      <c r="R1" t="s">
        <v>15</v>
      </c>
      <c r="U1" t="s">
        <v>16</v>
      </c>
      <c r="V1" t="s">
        <v>18</v>
      </c>
      <c r="W1" t="s">
        <v>17</v>
      </c>
    </row>
    <row r="2" spans="1:23" x14ac:dyDescent="0.25">
      <c r="A2" t="s">
        <v>98</v>
      </c>
      <c r="J2" t="s">
        <v>12</v>
      </c>
      <c r="K2" t="s">
        <v>13</v>
      </c>
      <c r="M2">
        <v>1</v>
      </c>
      <c r="N2">
        <v>0.30480000000000002</v>
      </c>
      <c r="P2">
        <v>1</v>
      </c>
      <c r="Q2">
        <f>P2*100</f>
        <v>100</v>
      </c>
      <c r="R2">
        <f>N2*Q2</f>
        <v>30.48</v>
      </c>
      <c r="U2">
        <v>1</v>
      </c>
      <c r="V2">
        <v>1.8520000000000001</v>
      </c>
      <c r="W2">
        <v>0.51400000000000001</v>
      </c>
    </row>
    <row r="3" spans="1:23" x14ac:dyDescent="0.25">
      <c r="A3" t="s">
        <v>86</v>
      </c>
      <c r="L3" t="s">
        <v>87</v>
      </c>
      <c r="M3" t="s">
        <v>88</v>
      </c>
    </row>
    <row r="4" spans="1:23" x14ac:dyDescent="0.25">
      <c r="A4" t="s">
        <v>28</v>
      </c>
      <c r="E4" t="s">
        <v>50</v>
      </c>
      <c r="F4">
        <v>55.85</v>
      </c>
      <c r="G4" t="s">
        <v>51</v>
      </c>
      <c r="H4">
        <v>32.933329999999998</v>
      </c>
    </row>
    <row r="6" spans="1:23" x14ac:dyDescent="0.25">
      <c r="C6" s="2" t="s">
        <v>23</v>
      </c>
      <c r="D6" s="2" t="s">
        <v>24</v>
      </c>
      <c r="E6" s="2" t="s">
        <v>25</v>
      </c>
      <c r="F6" s="2"/>
      <c r="G6" s="2" t="s">
        <v>26</v>
      </c>
      <c r="H6" s="2" t="s">
        <v>27</v>
      </c>
      <c r="I6" s="2" t="s">
        <v>21</v>
      </c>
      <c r="J6" s="2" t="s">
        <v>22</v>
      </c>
    </row>
    <row r="7" spans="1:23" x14ac:dyDescent="0.25">
      <c r="A7" t="s">
        <v>90</v>
      </c>
      <c r="B7" t="s">
        <v>7</v>
      </c>
      <c r="C7">
        <v>55</v>
      </c>
      <c r="D7">
        <v>51</v>
      </c>
      <c r="E7">
        <v>0</v>
      </c>
      <c r="F7">
        <f>G8</f>
        <v>32.93333333333333</v>
      </c>
      <c r="G7">
        <f>C7+D7/60+E7/3600</f>
        <v>55.85</v>
      </c>
      <c r="H7" t="s">
        <v>91</v>
      </c>
      <c r="I7">
        <v>0.2718506</v>
      </c>
      <c r="J7">
        <f>I8</f>
        <v>-0.16986080000000001</v>
      </c>
      <c r="L7" t="s">
        <v>6</v>
      </c>
      <c r="M7" t="e">
        <f>VLOOKUP(L7,A$7:J$42,9,FALSE)</f>
        <v>#N/A</v>
      </c>
      <c r="N7" t="e">
        <f>VLOOKUP(L7,A$7:J$42,10,FALSE)</f>
        <v>#N/A</v>
      </c>
    </row>
    <row r="8" spans="1:23" x14ac:dyDescent="0.25">
      <c r="A8" t="s">
        <v>89</v>
      </c>
      <c r="B8" t="s">
        <v>8</v>
      </c>
      <c r="C8">
        <v>32</v>
      </c>
      <c r="D8">
        <v>56</v>
      </c>
      <c r="E8">
        <v>0</v>
      </c>
      <c r="G8">
        <f>C8+D8/60+E8/3600</f>
        <v>32.93333333333333</v>
      </c>
      <c r="H8" s="16" t="s">
        <v>92</v>
      </c>
      <c r="I8" s="16">
        <v>-0.16986080000000001</v>
      </c>
      <c r="L8" t="s">
        <v>97</v>
      </c>
      <c r="M8">
        <f>VLOOKUP(L8,A$7:J$42,9,FALSE)</f>
        <v>52058.18</v>
      </c>
      <c r="N8">
        <f>VLOOKUP(L8,A$7:J$42,10,FALSE)</f>
        <v>-43963.79</v>
      </c>
    </row>
    <row r="9" spans="1:23" x14ac:dyDescent="0.25">
      <c r="A9" t="s">
        <v>94</v>
      </c>
      <c r="L9" t="s">
        <v>93</v>
      </c>
      <c r="M9">
        <f>VLOOKUP(L9,A$7:J$42,9,FALSE)</f>
        <v>-123019.3</v>
      </c>
      <c r="N9">
        <f>VLOOKUP(L9,A$7:J$42,10,FALSE)</f>
        <v>-72673.259999999995</v>
      </c>
    </row>
    <row r="10" spans="1:23" x14ac:dyDescent="0.25">
      <c r="L10" t="s">
        <v>6</v>
      </c>
      <c r="M10" t="e">
        <f>VLOOKUP(L10,A$7:J$42,9,FALSE)</f>
        <v>#N/A</v>
      </c>
      <c r="N10" t="e">
        <f>VLOOKUP(L10,A$7:J$42,10,FALSE)</f>
        <v>#N/A</v>
      </c>
    </row>
    <row r="11" spans="1:23" x14ac:dyDescent="0.25">
      <c r="A11" t="s">
        <v>93</v>
      </c>
      <c r="C11">
        <v>55</v>
      </c>
      <c r="D11">
        <v>11</v>
      </c>
      <c r="E11">
        <v>30</v>
      </c>
      <c r="F11">
        <f>G12</f>
        <v>30.964722222222221</v>
      </c>
      <c r="G11">
        <f>C11+D11/60+E11/3600</f>
        <v>55.191666666666663</v>
      </c>
      <c r="H11" t="s">
        <v>95</v>
      </c>
      <c r="I11">
        <v>-123019.3</v>
      </c>
      <c r="J11">
        <f>I12</f>
        <v>-72673.259999999995</v>
      </c>
      <c r="L11" t="s">
        <v>6</v>
      </c>
      <c r="M11" t="e">
        <f>VLOOKUP(L11,A$7:J$42,9,FALSE)</f>
        <v>#N/A</v>
      </c>
      <c r="N11" t="e">
        <f>VLOOKUP(L11,A$7:J$42,10,FALSE)</f>
        <v>#N/A</v>
      </c>
    </row>
    <row r="12" spans="1:23" x14ac:dyDescent="0.25">
      <c r="C12">
        <v>30</v>
      </c>
      <c r="D12">
        <v>57</v>
      </c>
      <c r="E12">
        <v>53</v>
      </c>
      <c r="G12">
        <f>C12+D12/60+E12/3600</f>
        <v>30.964722222222221</v>
      </c>
      <c r="H12" t="s">
        <v>96</v>
      </c>
      <c r="I12">
        <v>-72673.259999999995</v>
      </c>
    </row>
    <row r="14" spans="1:23" x14ac:dyDescent="0.25">
      <c r="A14" t="s">
        <v>97</v>
      </c>
      <c r="C14">
        <v>55</v>
      </c>
      <c r="D14">
        <v>27</v>
      </c>
      <c r="E14">
        <v>11</v>
      </c>
      <c r="F14">
        <f>G15</f>
        <v>33.766388888888891</v>
      </c>
      <c r="G14">
        <f>C14+D14/60+E14/3600</f>
        <v>55.453055555555558</v>
      </c>
      <c r="H14" t="s">
        <v>99</v>
      </c>
      <c r="I14">
        <v>52058.18</v>
      </c>
      <c r="J14">
        <f>I15</f>
        <v>-43963.79</v>
      </c>
      <c r="L14" t="s">
        <v>52</v>
      </c>
      <c r="M14">
        <f>G14-F4</f>
        <v>-0.39694444444444343</v>
      </c>
    </row>
    <row r="15" spans="1:23" x14ac:dyDescent="0.25">
      <c r="C15">
        <v>33</v>
      </c>
      <c r="D15">
        <v>45</v>
      </c>
      <c r="E15">
        <v>59</v>
      </c>
      <c r="G15">
        <f>C15+D15/60+E15/3600</f>
        <v>33.766388888888891</v>
      </c>
      <c r="H15" t="s">
        <v>100</v>
      </c>
      <c r="I15">
        <v>-43963.79</v>
      </c>
      <c r="L15" t="s">
        <v>53</v>
      </c>
      <c r="M15">
        <f>G15-H4</f>
        <v>0.83305888888889257</v>
      </c>
    </row>
    <row r="18" spans="1:14" x14ac:dyDescent="0.25">
      <c r="A18" t="s">
        <v>101</v>
      </c>
      <c r="C18">
        <v>55</v>
      </c>
      <c r="D18">
        <v>33</v>
      </c>
      <c r="E18">
        <v>19</v>
      </c>
      <c r="F18">
        <f>G19</f>
        <v>35.021944444444443</v>
      </c>
      <c r="G18">
        <f>C18+D18/60+E18/3600</f>
        <v>55.555277777777775</v>
      </c>
      <c r="H18" t="s">
        <v>152</v>
      </c>
      <c r="I18">
        <f>VALUE(SUBSTITUTE(H18,".",",",1))</f>
        <v>130518.1</v>
      </c>
      <c r="J18">
        <f>I19</f>
        <v>-32685.439999999999</v>
      </c>
      <c r="L18" t="str">
        <f>CONCATENATE(ROUNDDOWN(G18,0),".",TEXT(ROUNDDOWN((G18-ROUNDDOWN(G18,0))*100000,0),"00000"))</f>
        <v>55.55527</v>
      </c>
    </row>
    <row r="19" spans="1:14" x14ac:dyDescent="0.25">
      <c r="A19" t="s">
        <v>102</v>
      </c>
      <c r="C19">
        <v>35</v>
      </c>
      <c r="D19">
        <v>1</v>
      </c>
      <c r="E19">
        <v>19</v>
      </c>
      <c r="G19">
        <f>C19+D19/60+E19/3600</f>
        <v>35.021944444444443</v>
      </c>
      <c r="H19" t="s">
        <v>153</v>
      </c>
      <c r="I19">
        <f>VALUE(SUBSTITUTE(H19,".",",",1))</f>
        <v>-32685.439999999999</v>
      </c>
      <c r="L19" t="str">
        <f>CONCATENATE(ROUNDDOWN(G19,0),".",TEXT(ROUNDDOWN((G19-ROUNDDOWN(G19,0))*100000,0),"00000"))</f>
        <v>35.02194</v>
      </c>
    </row>
    <row r="22" spans="1:14" x14ac:dyDescent="0.25">
      <c r="A22" t="s">
        <v>103</v>
      </c>
      <c r="C22">
        <v>54</v>
      </c>
      <c r="D22">
        <v>40</v>
      </c>
      <c r="E22">
        <v>6</v>
      </c>
      <c r="F22">
        <f>G23</f>
        <v>31.041388888888889</v>
      </c>
      <c r="G22">
        <f>C22+D22/60+E22/3600</f>
        <v>54.668333333333329</v>
      </c>
      <c r="H22" t="s">
        <v>120</v>
      </c>
      <c r="I22">
        <f>VALUE(SUBSTITUTE(H22,".",",",1))</f>
        <v>-118228.8</v>
      </c>
      <c r="J22">
        <f>I23</f>
        <v>-129591.7</v>
      </c>
      <c r="L22" t="str">
        <f>CONCATENATE(ROUNDDOWN(G22,0),".",TEXT(ROUNDDOWN((G22-ROUNDDOWN(G22,0))*100000,0),"00000"))</f>
        <v>54.66833</v>
      </c>
    </row>
    <row r="23" spans="1:14" x14ac:dyDescent="0.25">
      <c r="C23">
        <v>31</v>
      </c>
      <c r="D23">
        <v>2</v>
      </c>
      <c r="E23">
        <v>29</v>
      </c>
      <c r="G23">
        <f>C23+D23/60+E23/3600</f>
        <v>31.041388888888889</v>
      </c>
      <c r="H23" t="s">
        <v>107</v>
      </c>
      <c r="I23">
        <f>VALUE(SUBSTITUTE(H23,".",",",1))</f>
        <v>-129591.7</v>
      </c>
      <c r="L23" t="str">
        <f>CONCATENATE(ROUNDDOWN(G23,0),".",TEXT(ROUNDDOWN((G23-ROUNDDOWN(G23,0))*100000,0),"00000"))</f>
        <v>31.04138</v>
      </c>
      <c r="N23" t="str">
        <f>TEXT(ROUNDDOWN((G23-ROUNDDOWN(G23,0))*100000,0),"00000")</f>
        <v>04138</v>
      </c>
    </row>
    <row r="26" spans="1:14" x14ac:dyDescent="0.25">
      <c r="A26" t="s">
        <v>104</v>
      </c>
      <c r="C26">
        <v>55</v>
      </c>
      <c r="D26">
        <v>8</v>
      </c>
      <c r="E26">
        <v>27</v>
      </c>
      <c r="F26">
        <f>G27</f>
        <v>33.06666666666667</v>
      </c>
      <c r="G26">
        <f>C26+D26/60+E26/3600</f>
        <v>55.140833333333333</v>
      </c>
      <c r="H26" t="s">
        <v>121</v>
      </c>
      <c r="I26">
        <f>VALUE(SUBSTITUTE(H26,".",",",1))</f>
        <v>8331.9689999999991</v>
      </c>
      <c r="J26">
        <f>I27+23.9</f>
        <v>-78210.8</v>
      </c>
      <c r="L26" t="str">
        <f>CONCATENATE(ROUNDDOWN(G26,0),".",TEXT(ROUNDDOWN((G26-ROUNDDOWN(G26,0))*100000,0),"00000"))</f>
        <v>55.14083</v>
      </c>
    </row>
    <row r="27" spans="1:14" x14ac:dyDescent="0.25">
      <c r="C27">
        <v>33</v>
      </c>
      <c r="D27">
        <v>4</v>
      </c>
      <c r="E27">
        <v>0</v>
      </c>
      <c r="G27">
        <f>C27+D27/60+E27/3600</f>
        <v>33.06666666666667</v>
      </c>
      <c r="H27" t="s">
        <v>106</v>
      </c>
      <c r="I27">
        <f>VALUE(SUBSTITUTE(H27,".",",",1))</f>
        <v>-78234.7</v>
      </c>
      <c r="L27" t="str">
        <f>CONCATENATE(ROUNDDOWN(G27,0),".",TEXT(ROUNDDOWN((G27-ROUNDDOWN(G27,0))*100000,0),"00000"))</f>
        <v>33.06666</v>
      </c>
    </row>
    <row r="29" spans="1:14" x14ac:dyDescent="0.25">
      <c r="A29" t="s">
        <v>105</v>
      </c>
      <c r="C29">
        <v>55</v>
      </c>
      <c r="D29">
        <v>20</v>
      </c>
      <c r="E29">
        <v>34</v>
      </c>
      <c r="F29">
        <f>G30</f>
        <v>33.99722222222222</v>
      </c>
      <c r="G29">
        <f>C29+D29/60+E29/3600</f>
        <v>55.342777777777783</v>
      </c>
      <c r="H29" t="s">
        <v>108</v>
      </c>
      <c r="I29">
        <f>VALUE(SUBSTITUTE(H29,".",",",1))</f>
        <v>66482.929999999993</v>
      </c>
      <c r="J29">
        <f>I30</f>
        <v>-56100.07</v>
      </c>
      <c r="L29" t="str">
        <f>CONCATENATE(ROUNDDOWN(G29,0),".",TEXT(ROUNDDOWN((G29-ROUNDDOWN(G29,0))*100000,0),"00000"))</f>
        <v>55.34277</v>
      </c>
    </row>
    <row r="30" spans="1:14" x14ac:dyDescent="0.25">
      <c r="C30">
        <v>33</v>
      </c>
      <c r="D30">
        <v>59</v>
      </c>
      <c r="E30">
        <v>50</v>
      </c>
      <c r="G30">
        <f>C30+D30/60+E30/3600</f>
        <v>33.99722222222222</v>
      </c>
      <c r="H30" t="s">
        <v>109</v>
      </c>
      <c r="I30">
        <f>VALUE(SUBSTITUTE(H30,".",",",1))</f>
        <v>-56100.07</v>
      </c>
      <c r="L30" t="str">
        <f>CONCATENATE(ROUNDDOWN(G30,0),".",TEXT(ROUNDDOWN((G30-ROUNDDOWN(G30,0))*100000,0),"00000"))</f>
        <v>33.99722</v>
      </c>
    </row>
    <row r="32" spans="1:14" x14ac:dyDescent="0.25">
      <c r="A32" t="s">
        <v>110</v>
      </c>
      <c r="C32">
        <v>55</v>
      </c>
      <c r="D32">
        <v>8</v>
      </c>
      <c r="E32">
        <v>47</v>
      </c>
      <c r="F32">
        <f>G33</f>
        <v>34.403055555555554</v>
      </c>
      <c r="G32">
        <f>C32+D32/60+E32/3600</f>
        <v>55.146388888888886</v>
      </c>
      <c r="H32" t="s">
        <v>112</v>
      </c>
      <c r="I32">
        <f>VALUE(SUBSTITUTE(H32,".",",",1))</f>
        <v>91843.46</v>
      </c>
      <c r="J32">
        <f>I33</f>
        <v>-77627.820000000007</v>
      </c>
      <c r="L32" t="str">
        <f>CONCATENATE(ROUNDDOWN(G32,0),".",TEXT(ROUNDDOWN((G32-ROUNDDOWN(G32,0))*100000,0),"00000"))</f>
        <v>55.14638</v>
      </c>
    </row>
    <row r="33" spans="1:12" x14ac:dyDescent="0.25">
      <c r="C33">
        <v>34</v>
      </c>
      <c r="D33">
        <v>24</v>
      </c>
      <c r="E33">
        <v>11</v>
      </c>
      <c r="G33">
        <f>C33+D33/60+E33/3600</f>
        <v>34.403055555555554</v>
      </c>
      <c r="H33" t="s">
        <v>113</v>
      </c>
      <c r="I33">
        <f>VALUE(SUBSTITUTE(H33,".",",",1))</f>
        <v>-77627.820000000007</v>
      </c>
      <c r="L33" t="str">
        <f>CONCATENATE(ROUNDDOWN(G33,0),".",TEXT(ROUNDDOWN((G33-ROUNDDOWN(G33,0))*100000,0),"00000"))</f>
        <v>34.40305</v>
      </c>
    </row>
    <row r="35" spans="1:12" x14ac:dyDescent="0.25">
      <c r="A35" t="s">
        <v>111</v>
      </c>
      <c r="C35">
        <v>54</v>
      </c>
      <c r="D35">
        <v>51</v>
      </c>
      <c r="E35">
        <v>17</v>
      </c>
      <c r="F35">
        <f>G36</f>
        <v>33.116388888888892</v>
      </c>
      <c r="G35">
        <f>C35+D35/60+E35/3600</f>
        <v>54.854722222222222</v>
      </c>
      <c r="H35" t="s">
        <v>114</v>
      </c>
      <c r="I35">
        <f>VALUE(SUBSTITUTE(H35,".",",",1))</f>
        <v>11438.8</v>
      </c>
      <c r="J35">
        <f>I36</f>
        <v>-109404.5</v>
      </c>
      <c r="L35" t="str">
        <f>CONCATENATE(ROUNDDOWN(G35,0),".",TEXT(ROUNDDOWN((G35-ROUNDDOWN(G35,0))*100000,0),"00000"))</f>
        <v>54.85472</v>
      </c>
    </row>
    <row r="36" spans="1:12" x14ac:dyDescent="0.25">
      <c r="C36">
        <v>33</v>
      </c>
      <c r="D36">
        <v>6</v>
      </c>
      <c r="E36">
        <v>59</v>
      </c>
      <c r="G36">
        <f>C36+D36/60+E36/3600</f>
        <v>33.116388888888892</v>
      </c>
      <c r="H36" t="s">
        <v>115</v>
      </c>
      <c r="I36">
        <f>VALUE(SUBSTITUTE(H36,".",",",1))</f>
        <v>-109404.5</v>
      </c>
      <c r="L36" t="str">
        <f>CONCATENATE(ROUNDDOWN(G36,0),".",TEXT(ROUNDDOWN((G36-ROUNDDOWN(G36,0))*100000,0),"00000"))</f>
        <v>33.11638</v>
      </c>
    </row>
    <row r="38" spans="1:12" x14ac:dyDescent="0.25">
      <c r="A38" t="s">
        <v>116</v>
      </c>
      <c r="C38">
        <v>55</v>
      </c>
      <c r="D38">
        <v>16</v>
      </c>
      <c r="E38">
        <v>48</v>
      </c>
      <c r="F38">
        <f>G39</f>
        <v>30.861388888888889</v>
      </c>
      <c r="G38">
        <f>C38+D38/60+E38/3600</f>
        <v>55.28</v>
      </c>
      <c r="H38" s="16" t="s">
        <v>117</v>
      </c>
      <c r="I38">
        <f>VALUE(SUBSTITUTE(H38,".",",",1))</f>
        <v>-129477.1</v>
      </c>
      <c r="J38">
        <f>I39</f>
        <v>-62992.480000000003</v>
      </c>
      <c r="L38" t="str">
        <f>CONCATENATE(ROUNDDOWN(G38,0),".",TEXT(ROUNDDOWN((G38-ROUNDDOWN(G38,0))*100000,0),"00000"))</f>
        <v>55.28000</v>
      </c>
    </row>
    <row r="39" spans="1:12" x14ac:dyDescent="0.25">
      <c r="C39">
        <v>30</v>
      </c>
      <c r="D39">
        <v>51</v>
      </c>
      <c r="E39">
        <v>41</v>
      </c>
      <c r="G39">
        <f>C39+D39/60+E39/3600</f>
        <v>30.861388888888889</v>
      </c>
      <c r="H39" s="16" t="s">
        <v>118</v>
      </c>
      <c r="I39">
        <f>VALUE(SUBSTITUTE(H39,".",",",1))</f>
        <v>-62992.480000000003</v>
      </c>
      <c r="L39" t="str">
        <f>CONCATENATE(ROUNDDOWN(G39,0),".",TEXT(ROUNDDOWN((G39-ROUNDDOWN(G39,0))*100000,0),"00000"))</f>
        <v>30.86138</v>
      </c>
    </row>
    <row r="41" spans="1:12" x14ac:dyDescent="0.25">
      <c r="A41" t="s">
        <v>119</v>
      </c>
      <c r="C41">
        <v>56</v>
      </c>
      <c r="D41">
        <v>1</v>
      </c>
      <c r="E41">
        <v>17</v>
      </c>
      <c r="F41">
        <f>G42</f>
        <v>33.431111111111107</v>
      </c>
      <c r="G41">
        <f>C41+D41/60+E41/3600</f>
        <v>56.021388888888886</v>
      </c>
      <c r="H41" t="s">
        <v>122</v>
      </c>
      <c r="I41">
        <f>VALUE(SUBSTITUTE(H41,".",",",1))</f>
        <v>31106.53</v>
      </c>
      <c r="J41">
        <f>I42</f>
        <v>19120.3</v>
      </c>
      <c r="L41" t="str">
        <f>CONCATENATE(ROUNDDOWN(G41,0),".",TEXT(ROUNDDOWN((G41-ROUNDDOWN(G41,0))*100000,0),"00000"))</f>
        <v>56.02138</v>
      </c>
    </row>
    <row r="42" spans="1:12" x14ac:dyDescent="0.25">
      <c r="C42">
        <v>33</v>
      </c>
      <c r="D42">
        <v>25</v>
      </c>
      <c r="E42">
        <v>52</v>
      </c>
      <c r="G42">
        <f>C42+D42/60+E42/3600</f>
        <v>33.431111111111107</v>
      </c>
      <c r="H42" t="s">
        <v>123</v>
      </c>
      <c r="I42">
        <f>VALUE(SUBSTITUTE(H42,".",",",1))</f>
        <v>19120.3</v>
      </c>
      <c r="L42" t="str">
        <f>CONCATENATE(ROUNDDOWN(G42,0),".",TEXT(ROUNDDOWN((G42-ROUNDDOWN(G42,0))*100000,0),"00000"))</f>
        <v>33.43111</v>
      </c>
    </row>
    <row r="43" spans="1:12" x14ac:dyDescent="0.25">
      <c r="A43" t="s">
        <v>9</v>
      </c>
    </row>
    <row r="44" spans="1:12" x14ac:dyDescent="0.25">
      <c r="A44" t="s">
        <v>124</v>
      </c>
      <c r="C44">
        <v>56</v>
      </c>
      <c r="D44">
        <v>16</v>
      </c>
      <c r="E44">
        <v>41</v>
      </c>
      <c r="F44">
        <f>G45</f>
        <v>34.192777777777778</v>
      </c>
      <c r="G44">
        <f>C44+D44/60+E44/3600</f>
        <v>56.278055555555554</v>
      </c>
      <c r="H44" t="s">
        <v>128</v>
      </c>
      <c r="I44">
        <f>VALUE(SUBSTITUTE(H44,".",",",1))</f>
        <v>78702.880000000005</v>
      </c>
      <c r="J44">
        <f>I45</f>
        <v>47915.05</v>
      </c>
      <c r="L44" t="str">
        <f>CONCATENATE(ROUNDDOWN(G44,0),".",TEXT(ROUNDDOWN((G44-ROUNDDOWN(G44,0))*100000,0),"00000"))</f>
        <v>56.27805</v>
      </c>
    </row>
    <row r="45" spans="1:12" x14ac:dyDescent="0.25">
      <c r="C45">
        <v>34</v>
      </c>
      <c r="D45">
        <v>11</v>
      </c>
      <c r="E45">
        <v>34</v>
      </c>
      <c r="G45">
        <f>C45+D45/60+E45/3600</f>
        <v>34.192777777777778</v>
      </c>
      <c r="H45" t="s">
        <v>129</v>
      </c>
      <c r="I45">
        <f>VALUE(SUBSTITUTE(H45,".",",",1))</f>
        <v>47915.05</v>
      </c>
      <c r="L45" t="str">
        <f>CONCATENATE(ROUNDDOWN(G45,0),".",TEXT(ROUNDDOWN((G45-ROUNDDOWN(G45,0))*100000,0),"00000"))</f>
        <v>34.19277</v>
      </c>
    </row>
    <row r="47" spans="1:12" x14ac:dyDescent="0.25">
      <c r="A47" t="s">
        <v>125</v>
      </c>
      <c r="C47">
        <v>56</v>
      </c>
      <c r="D47">
        <v>31</v>
      </c>
      <c r="E47">
        <v>0</v>
      </c>
      <c r="F47">
        <f>G48</f>
        <v>34.93333333333333</v>
      </c>
      <c r="G47">
        <f>C47+D47/60+E47/3600</f>
        <v>56.516666666666666</v>
      </c>
      <c r="H47">
        <v>124981</v>
      </c>
      <c r="I47">
        <f>VALUE(SUBSTITUTE(H47,".",",",1))</f>
        <v>124981</v>
      </c>
      <c r="J47">
        <f>I48</f>
        <v>74857.69</v>
      </c>
      <c r="L47" t="str">
        <f>CONCATENATE(ROUNDDOWN(G47,0),".",TEXT(ROUNDDOWN((G47-ROUNDDOWN(G47,0))*100000,0),"00000"))</f>
        <v>56.51666</v>
      </c>
    </row>
    <row r="48" spans="1:12" x14ac:dyDescent="0.25">
      <c r="C48">
        <v>34</v>
      </c>
      <c r="D48">
        <v>56</v>
      </c>
      <c r="E48">
        <v>0</v>
      </c>
      <c r="G48">
        <f>C48+D48/60+E48/3600</f>
        <v>34.93333333333333</v>
      </c>
      <c r="H48" t="s">
        <v>130</v>
      </c>
      <c r="I48">
        <f>VALUE(SUBSTITUTE(H48,".",",",1))</f>
        <v>74857.69</v>
      </c>
      <c r="L48" t="str">
        <f>CONCATENATE(ROUNDDOWN(G48,0),".",TEXT(ROUNDDOWN((G48-ROUNDDOWN(G48,0))*100000,0),"00000"))</f>
        <v>34.93333</v>
      </c>
    </row>
    <row r="50" spans="1:12" x14ac:dyDescent="0.25">
      <c r="A50" t="s">
        <v>126</v>
      </c>
      <c r="C50">
        <v>55</v>
      </c>
      <c r="D50">
        <v>35</v>
      </c>
      <c r="E50">
        <v>0</v>
      </c>
      <c r="F50">
        <f>G51</f>
        <v>30.948055555555555</v>
      </c>
      <c r="G50">
        <f>C50+D50/60+E50/3600</f>
        <v>55.583333333333336</v>
      </c>
      <c r="H50" t="s">
        <v>131</v>
      </c>
      <c r="I50">
        <f>VALUE(SUBSTITUTE(H50,".",",",1))</f>
        <v>-124061.1</v>
      </c>
      <c r="J50">
        <f>I51</f>
        <v>-29584.49</v>
      </c>
      <c r="L50" t="str">
        <f>CONCATENATE(ROUNDDOWN(G50,0),".",TEXT(ROUNDDOWN((G50-ROUNDDOWN(G50,0))*100000,0),"00000"))</f>
        <v>55.58333</v>
      </c>
    </row>
    <row r="51" spans="1:12" x14ac:dyDescent="0.25">
      <c r="C51">
        <v>30</v>
      </c>
      <c r="D51">
        <v>56</v>
      </c>
      <c r="E51">
        <v>53</v>
      </c>
      <c r="G51">
        <f>C51+D51/60+E51/3600</f>
        <v>30.948055555555555</v>
      </c>
      <c r="H51" t="s">
        <v>132</v>
      </c>
      <c r="I51">
        <f>VALUE(SUBSTITUTE(H51,".",",",1))</f>
        <v>-29584.49</v>
      </c>
      <c r="L51" t="str">
        <f>CONCATENATE(ROUNDDOWN(G51,0),".",TEXT(ROUNDDOWN((G51-ROUNDDOWN(G51,0))*100000,0),"00000"))</f>
        <v>30.94805</v>
      </c>
    </row>
    <row r="53" spans="1:12" x14ac:dyDescent="0.25">
      <c r="A53" t="s">
        <v>127</v>
      </c>
      <c r="C53">
        <v>55</v>
      </c>
      <c r="D53">
        <v>50</v>
      </c>
      <c r="E53">
        <v>0</v>
      </c>
      <c r="F53">
        <f>G54</f>
        <v>34.859722222222224</v>
      </c>
      <c r="G53">
        <f>C53+D53/60+E53/3600</f>
        <v>55.833333333333336</v>
      </c>
      <c r="H53" t="s">
        <v>122</v>
      </c>
      <c r="I53">
        <f>VALUE(SUBSTITUTE(H53,".",",",1))</f>
        <v>31106.53</v>
      </c>
      <c r="J53">
        <f>I54</f>
        <v>19120.3</v>
      </c>
      <c r="L53" t="str">
        <f>CONCATENATE(ROUNDDOWN(G53,0),".",TEXT(ROUNDDOWN((G53-ROUNDDOWN(G53,0))*100000,0),"00000"))</f>
        <v>55.83333</v>
      </c>
    </row>
    <row r="54" spans="1:12" x14ac:dyDescent="0.25">
      <c r="C54">
        <v>34</v>
      </c>
      <c r="D54">
        <v>51</v>
      </c>
      <c r="E54">
        <v>35</v>
      </c>
      <c r="G54">
        <f>C54+D54/60+E54/3600</f>
        <v>34.859722222222224</v>
      </c>
      <c r="H54" t="s">
        <v>123</v>
      </c>
      <c r="I54">
        <f>VALUE(SUBSTITUTE(H54,".",",",1))</f>
        <v>19120.3</v>
      </c>
      <c r="L54" t="str">
        <f>CONCATENATE(ROUNDDOWN(G54,0),".",TEXT(ROUNDDOWN((G54-ROUNDDOWN(G54,0))*100000,0),"00000"))</f>
        <v>34.85972</v>
      </c>
    </row>
    <row r="56" spans="1:12" x14ac:dyDescent="0.25">
      <c r="A56" t="s">
        <v>133</v>
      </c>
      <c r="C56">
        <v>56</v>
      </c>
      <c r="D56">
        <v>4</v>
      </c>
      <c r="E56">
        <v>53</v>
      </c>
      <c r="F56">
        <f>G57</f>
        <v>31.001111111111111</v>
      </c>
      <c r="G56">
        <f>C56+D56/60+E56/3600</f>
        <v>56.081388888888895</v>
      </c>
      <c r="H56" t="s">
        <v>134</v>
      </c>
      <c r="I56">
        <f>VALUE(SUBSTITUTE(H56,".",",",1))</f>
        <v>-120745.3</v>
      </c>
      <c r="J56">
        <f>I57</f>
        <v>25834.03</v>
      </c>
      <c r="L56" t="str">
        <f>CONCATENATE(ROUNDDOWN(G56,0),".",TEXT(ROUNDDOWN((G56-ROUNDDOWN(G56,0))*100000,0),"00000"))</f>
        <v>56.08138</v>
      </c>
    </row>
    <row r="57" spans="1:12" x14ac:dyDescent="0.25">
      <c r="C57">
        <v>31</v>
      </c>
      <c r="D57">
        <v>0</v>
      </c>
      <c r="E57">
        <v>4</v>
      </c>
      <c r="G57">
        <f>C57+D57/60+E57/3600</f>
        <v>31.001111111111111</v>
      </c>
      <c r="H57" t="s">
        <v>135</v>
      </c>
      <c r="I57">
        <f>VALUE(SUBSTITUTE(H57,".",",",1))</f>
        <v>25834.03</v>
      </c>
      <c r="L57" t="str">
        <f>CONCATENATE(ROUNDDOWN(G57,0),".",TEXT(ROUNDDOWN((G57-ROUNDDOWN(G57,0))*100000,0),"00000"))</f>
        <v>31.00111</v>
      </c>
    </row>
    <row r="59" spans="1:12" x14ac:dyDescent="0.25">
      <c r="A59" t="s">
        <v>136</v>
      </c>
      <c r="C59">
        <v>56</v>
      </c>
      <c r="D59">
        <v>17</v>
      </c>
      <c r="E59">
        <v>59</v>
      </c>
      <c r="F59">
        <f>G60</f>
        <v>30.997777777777777</v>
      </c>
      <c r="G59">
        <f>C59+D59/60+E59/3600</f>
        <v>56.299722222222222</v>
      </c>
      <c r="H59">
        <v>-120954</v>
      </c>
      <c r="I59">
        <f>VALUE(SUBSTITUTE(H59,".",",",1))</f>
        <v>-120954</v>
      </c>
      <c r="J59">
        <f>I60</f>
        <v>50355.11</v>
      </c>
      <c r="L59" t="str">
        <f>CONCATENATE(ROUNDDOWN(G59,0),".",TEXT(ROUNDDOWN((G59-ROUNDDOWN(G59,0))*100000,0),"00000"))</f>
        <v>56.29972</v>
      </c>
    </row>
    <row r="60" spans="1:12" x14ac:dyDescent="0.25">
      <c r="C60">
        <v>30</v>
      </c>
      <c r="D60">
        <v>59</v>
      </c>
      <c r="E60">
        <v>52</v>
      </c>
      <c r="G60">
        <f>C60+D60/60+E60/3600</f>
        <v>30.997777777777777</v>
      </c>
      <c r="H60" t="s">
        <v>137</v>
      </c>
      <c r="I60">
        <f>VALUE(SUBSTITUTE(H60,".",",",1))</f>
        <v>50355.11</v>
      </c>
      <c r="L60" t="str">
        <f>CONCATENATE(ROUNDDOWN(G60,0),".",TEXT(ROUNDDOWN((G60-ROUNDDOWN(G60,0))*100000,0),"00000"))</f>
        <v>30.99777</v>
      </c>
    </row>
    <row r="62" spans="1:12" x14ac:dyDescent="0.25">
      <c r="A62" t="s">
        <v>138</v>
      </c>
      <c r="C62">
        <v>56</v>
      </c>
      <c r="D62">
        <v>10</v>
      </c>
      <c r="E62">
        <v>41</v>
      </c>
      <c r="F62">
        <f>G63</f>
        <v>32.117777777777775</v>
      </c>
      <c r="G62">
        <f>C62+D62/60+E62/3600</f>
        <v>56.178055555555552</v>
      </c>
      <c r="H62" t="s">
        <v>139</v>
      </c>
      <c r="I62">
        <f>VALUE(SUBSTITUTE(H62,".",",",1))</f>
        <v>-50964.65</v>
      </c>
      <c r="J62">
        <f>I63</f>
        <v>36673.67</v>
      </c>
      <c r="L62" t="str">
        <f>CONCATENATE(ROUNDDOWN(G62,0),".",TEXT(ROUNDDOWN((G62-ROUNDDOWN(G62,0))*100000,0),"00000"))</f>
        <v>56.17805</v>
      </c>
    </row>
    <row r="63" spans="1:12" x14ac:dyDescent="0.25">
      <c r="C63">
        <v>32</v>
      </c>
      <c r="D63">
        <v>7</v>
      </c>
      <c r="E63">
        <v>4</v>
      </c>
      <c r="G63">
        <f>C63+D63/60+E63/3600</f>
        <v>32.117777777777775</v>
      </c>
      <c r="H63" t="s">
        <v>140</v>
      </c>
      <c r="I63">
        <f>VALUE(SUBSTITUTE(H63,".",",",1))</f>
        <v>36673.67</v>
      </c>
      <c r="L63" t="str">
        <f>CONCATENATE(ROUNDDOWN(G63,0),".",TEXT(ROUNDDOWN((G63-ROUNDDOWN(G63,0))*100000,0),"00000"))</f>
        <v>32.11777</v>
      </c>
    </row>
    <row r="65" spans="1:12" x14ac:dyDescent="0.25">
      <c r="A65" t="s">
        <v>141</v>
      </c>
      <c r="C65">
        <v>56</v>
      </c>
      <c r="D65">
        <v>33</v>
      </c>
      <c r="E65">
        <v>11</v>
      </c>
      <c r="F65">
        <f>G66</f>
        <v>31.076111111111111</v>
      </c>
      <c r="G65">
        <f>C65+D65/60+E65/3600</f>
        <v>56.553055555555552</v>
      </c>
      <c r="H65" t="s">
        <v>142</v>
      </c>
      <c r="I65">
        <f>VALUE(SUBSTITUTE(H65,".",",",1))</f>
        <v>-116058.5</v>
      </c>
      <c r="J65">
        <f>I66</f>
        <v>78981.820000000007</v>
      </c>
      <c r="L65" t="str">
        <f>CONCATENATE(ROUNDDOWN(G65,0),".",TEXT(ROUNDDOWN((G65-ROUNDDOWN(G65,0))*100000,0),"00000"))</f>
        <v>56.55305</v>
      </c>
    </row>
    <row r="66" spans="1:12" x14ac:dyDescent="0.25">
      <c r="C66">
        <v>31</v>
      </c>
      <c r="D66">
        <v>4</v>
      </c>
      <c r="E66">
        <v>34</v>
      </c>
      <c r="G66">
        <f>C66+D66/60+E66/3600</f>
        <v>31.076111111111111</v>
      </c>
      <c r="H66" t="s">
        <v>143</v>
      </c>
      <c r="I66">
        <f>VALUE(SUBSTITUTE(H66,".",",",1))</f>
        <v>78981.820000000007</v>
      </c>
      <c r="L66" t="str">
        <f>CONCATENATE(ROUNDDOWN(G66,0),".",TEXT(ROUNDDOWN((G66-ROUNDDOWN(G66,0))*100000,0),"00000"))</f>
        <v>31.07611</v>
      </c>
    </row>
    <row r="68" spans="1:12" x14ac:dyDescent="0.25">
      <c r="A68" t="s">
        <v>144</v>
      </c>
      <c r="C68">
        <v>56</v>
      </c>
      <c r="D68">
        <v>12</v>
      </c>
      <c r="E68">
        <v>11</v>
      </c>
      <c r="F68">
        <f>G69</f>
        <v>34.901111111111106</v>
      </c>
      <c r="G68">
        <f>C68+D68/60+E68/3600</f>
        <v>56.203055555555558</v>
      </c>
      <c r="H68" t="s">
        <v>145</v>
      </c>
      <c r="I68">
        <f>VALUE(SUBSTITUTE(H68,".",",",1))</f>
        <v>122967.6</v>
      </c>
      <c r="J68">
        <f>I69</f>
        <v>39481.050000000003</v>
      </c>
      <c r="L68" t="str">
        <f>CONCATENATE(ROUNDDOWN(G68,0),".",TEXT(ROUNDDOWN((G68-ROUNDDOWN(G68,0))*100000,0),"00000"))</f>
        <v>56.20305</v>
      </c>
    </row>
    <row r="69" spans="1:12" x14ac:dyDescent="0.25">
      <c r="C69">
        <v>34</v>
      </c>
      <c r="D69">
        <v>54</v>
      </c>
      <c r="E69">
        <v>4</v>
      </c>
      <c r="G69">
        <f>C69+D69/60+E69/3600</f>
        <v>34.901111111111106</v>
      </c>
      <c r="H69" t="s">
        <v>146</v>
      </c>
      <c r="I69">
        <f>VALUE(SUBSTITUTE(H69,".",",",1))</f>
        <v>39481.050000000003</v>
      </c>
      <c r="L69" t="str">
        <f>CONCATENATE(ROUNDDOWN(G69,0),".",TEXT(ROUNDDOWN((G69-ROUNDDOWN(G69,0))*100000,0),"00000"))</f>
        <v>34.90111</v>
      </c>
    </row>
    <row r="71" spans="1:12" x14ac:dyDescent="0.25">
      <c r="A71" t="s">
        <v>147</v>
      </c>
      <c r="C71">
        <v>56</v>
      </c>
      <c r="D71">
        <v>9</v>
      </c>
      <c r="E71">
        <v>42</v>
      </c>
      <c r="F71">
        <f>G72</f>
        <v>35.287777777777777</v>
      </c>
      <c r="G71">
        <f>C71+D71/60+E71/3600</f>
        <v>56.161666666666662</v>
      </c>
      <c r="H71">
        <v>147130</v>
      </c>
      <c r="I71">
        <f>VALUE(SUBSTITUTE(H71,".",",",1))</f>
        <v>147130</v>
      </c>
      <c r="J71">
        <f>I72</f>
        <v>34833.769999999997</v>
      </c>
      <c r="L71" t="str">
        <f>CONCATENATE(ROUNDDOWN(G71,0),".",TEXT(ROUNDDOWN((G71-ROUNDDOWN(G71,0))*100000,0),"00000"))</f>
        <v>56.16166</v>
      </c>
    </row>
    <row r="72" spans="1:12" x14ac:dyDescent="0.25">
      <c r="C72">
        <v>35</v>
      </c>
      <c r="D72">
        <v>17</v>
      </c>
      <c r="E72">
        <v>16</v>
      </c>
      <c r="G72">
        <f>C72+D72/60+E72/3600</f>
        <v>35.287777777777777</v>
      </c>
      <c r="H72" t="s">
        <v>148</v>
      </c>
      <c r="I72">
        <f>VALUE(SUBSTITUTE(H72,".",",",1))</f>
        <v>34833.769999999997</v>
      </c>
      <c r="L72" t="str">
        <f>CONCATENATE(ROUNDDOWN(G72,0),".",TEXT(ROUNDDOWN((G72-ROUNDDOWN(G72,0))*100000,0),"00000"))</f>
        <v>35.28777</v>
      </c>
    </row>
    <row r="74" spans="1:12" x14ac:dyDescent="0.25">
      <c r="A74" t="s">
        <v>149</v>
      </c>
      <c r="C74">
        <v>57</v>
      </c>
      <c r="D74">
        <v>17</v>
      </c>
      <c r="E74">
        <v>23</v>
      </c>
      <c r="F74">
        <f>G75</f>
        <v>32.394444444444446</v>
      </c>
      <c r="G74">
        <f>C74+D74/60+E74/3600</f>
        <v>57.289722222222217</v>
      </c>
      <c r="H74" t="s">
        <v>150</v>
      </c>
      <c r="I74">
        <f>VALUE(SUBSTITUTE(H74,".",",",1))</f>
        <v>-33675.51</v>
      </c>
      <c r="J74">
        <f>I75</f>
        <v>163330.29999999999</v>
      </c>
      <c r="L74" t="str">
        <f>CONCATENATE(ROUNDDOWN(G74,0),".",TEXT(ROUNDDOWN((G74-ROUNDDOWN(G74,0))*100000,0),"00000"))</f>
        <v>57.28972</v>
      </c>
    </row>
    <row r="75" spans="1:12" x14ac:dyDescent="0.25">
      <c r="C75">
        <v>32</v>
      </c>
      <c r="D75">
        <v>23</v>
      </c>
      <c r="E75">
        <v>40</v>
      </c>
      <c r="G75">
        <f>C75+D75/60+E75/3600</f>
        <v>32.394444444444446</v>
      </c>
      <c r="H75" t="s">
        <v>151</v>
      </c>
      <c r="I75">
        <f>VALUE(SUBSTITUTE(H75,".",",",1))</f>
        <v>163330.29999999999</v>
      </c>
      <c r="L75" t="str">
        <f>CONCATENATE(ROUNDDOWN(G75,0),".",TEXT(ROUNDDOWN((G75-ROUNDDOWN(G75,0))*100000,0),"00000"))</f>
        <v>32.39444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F27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2" spans="1:5" x14ac:dyDescent="0.25">
      <c r="B2" t="s">
        <v>54</v>
      </c>
    </row>
    <row r="3" spans="1:5" x14ac:dyDescent="0.25">
      <c r="B3" t="s">
        <v>55</v>
      </c>
      <c r="C3" t="s">
        <v>56</v>
      </c>
      <c r="D3" t="s">
        <v>57</v>
      </c>
    </row>
    <row r="4" spans="1:5" x14ac:dyDescent="0.25">
      <c r="A4" t="s">
        <v>58</v>
      </c>
      <c r="C4">
        <v>40008.552000000003</v>
      </c>
      <c r="D4">
        <v>40000</v>
      </c>
    </row>
    <row r="5" spans="1:5" x14ac:dyDescent="0.25">
      <c r="A5" t="s">
        <v>59</v>
      </c>
      <c r="B5">
        <v>1</v>
      </c>
      <c r="C5">
        <f>40008.552/360</f>
        <v>111.13486666666668</v>
      </c>
      <c r="D5">
        <v>111.111</v>
      </c>
    </row>
    <row r="6" spans="1:5" x14ac:dyDescent="0.25">
      <c r="A6" t="s">
        <v>60</v>
      </c>
      <c r="B6">
        <v>1</v>
      </c>
      <c r="C6">
        <f>C5/60</f>
        <v>1.8522477777777779</v>
      </c>
      <c r="D6">
        <v>1.85</v>
      </c>
    </row>
    <row r="7" spans="1:5" x14ac:dyDescent="0.25">
      <c r="A7" t="s">
        <v>61</v>
      </c>
      <c r="B7">
        <v>1</v>
      </c>
      <c r="C7">
        <f>C6/60</f>
        <v>3.0870796296296299E-2</v>
      </c>
      <c r="D7">
        <v>30.86</v>
      </c>
      <c r="E7" t="s">
        <v>62</v>
      </c>
    </row>
    <row r="9" spans="1:5" x14ac:dyDescent="0.25">
      <c r="B9" t="s">
        <v>63</v>
      </c>
    </row>
    <row r="10" spans="1:5" x14ac:dyDescent="0.25">
      <c r="A10" t="s">
        <v>64</v>
      </c>
      <c r="C10">
        <v>40075</v>
      </c>
      <c r="D10">
        <v>40000</v>
      </c>
    </row>
    <row r="11" spans="1:5" x14ac:dyDescent="0.25">
      <c r="A11" t="s">
        <v>59</v>
      </c>
      <c r="B11">
        <v>1</v>
      </c>
      <c r="C11">
        <f>40008.552/360</f>
        <v>111.13486666666668</v>
      </c>
      <c r="D11">
        <v>111.111</v>
      </c>
    </row>
    <row r="12" spans="1:5" x14ac:dyDescent="0.25">
      <c r="A12" t="s">
        <v>60</v>
      </c>
      <c r="B12">
        <v>1</v>
      </c>
      <c r="C12">
        <f>C11/60</f>
        <v>1.8522477777777779</v>
      </c>
      <c r="D12">
        <v>1.85</v>
      </c>
    </row>
    <row r="13" spans="1:5" x14ac:dyDescent="0.25">
      <c r="A13" t="s">
        <v>61</v>
      </c>
      <c r="B13">
        <v>1</v>
      </c>
      <c r="C13">
        <f>C12/60</f>
        <v>3.0870796296296299E-2</v>
      </c>
      <c r="D13">
        <v>30.86</v>
      </c>
    </row>
    <row r="15" spans="1:5" x14ac:dyDescent="0.25">
      <c r="A15" t="s">
        <v>65</v>
      </c>
    </row>
    <row r="17" spans="1:6" x14ac:dyDescent="0.25">
      <c r="A17" t="s">
        <v>66</v>
      </c>
    </row>
    <row r="18" spans="1:6" x14ac:dyDescent="0.25">
      <c r="A18" t="s">
        <v>67</v>
      </c>
      <c r="B18" t="s">
        <v>68</v>
      </c>
      <c r="C18" t="s">
        <v>69</v>
      </c>
      <c r="D18">
        <v>55.972397219999998</v>
      </c>
      <c r="E18">
        <f>RADIANS(D18)</f>
        <v>0.97690262172312081</v>
      </c>
    </row>
    <row r="19" spans="1:6" x14ac:dyDescent="0.25">
      <c r="A19" t="s">
        <v>70</v>
      </c>
      <c r="B19" t="s">
        <v>71</v>
      </c>
      <c r="C19" t="s">
        <v>72</v>
      </c>
      <c r="D19">
        <v>37.413052780000001</v>
      </c>
    </row>
    <row r="21" spans="1:6" x14ac:dyDescent="0.25">
      <c r="A21" t="s">
        <v>73</v>
      </c>
      <c r="C21">
        <v>60</v>
      </c>
      <c r="D21">
        <f>D18+C21/D5</f>
        <v>56.512397760000539</v>
      </c>
    </row>
    <row r="22" spans="1:6" x14ac:dyDescent="0.25">
      <c r="A22" t="s">
        <v>74</v>
      </c>
      <c r="C22">
        <v>60</v>
      </c>
      <c r="D22">
        <f>D18-C22/D5</f>
        <v>55.432396679999457</v>
      </c>
    </row>
    <row r="23" spans="1:6" x14ac:dyDescent="0.25">
      <c r="A23" t="s">
        <v>75</v>
      </c>
      <c r="C23">
        <v>60</v>
      </c>
      <c r="D23">
        <f>D19-C23/D11/COS(RADIANS(D18))</f>
        <v>36.448063443065912</v>
      </c>
      <c r="F23">
        <f>D19-D23</f>
        <v>0.96498933693408873</v>
      </c>
    </row>
    <row r="24" spans="1:6" x14ac:dyDescent="0.25">
      <c r="A24" t="s">
        <v>76</v>
      </c>
      <c r="C24">
        <v>60</v>
      </c>
      <c r="D24">
        <f>D19+C24/D11/COS(RADIANS(D18))</f>
        <v>38.37804211693409</v>
      </c>
      <c r="F24">
        <f>D24-D19</f>
        <v>0.96498933693408873</v>
      </c>
    </row>
    <row r="26" spans="1:6" x14ac:dyDescent="0.25">
      <c r="A26" t="s">
        <v>77</v>
      </c>
      <c r="C26" t="s">
        <v>79</v>
      </c>
      <c r="D26" t="s">
        <v>78</v>
      </c>
    </row>
    <row r="27" spans="1:6" x14ac:dyDescent="0.25">
      <c r="C27" s="3">
        <v>0.41666666666666669</v>
      </c>
      <c r="D27">
        <v>1553300000</v>
      </c>
      <c r="E27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139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4" max="4" width="4" bestFit="1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31</v>
      </c>
      <c r="B1">
        <v>424201</v>
      </c>
      <c r="C1" t="s">
        <v>29</v>
      </c>
      <c r="E1" t="s">
        <v>21</v>
      </c>
      <c r="F1" t="s">
        <v>22</v>
      </c>
      <c r="G1" t="s">
        <v>30</v>
      </c>
      <c r="H1" t="s">
        <v>44</v>
      </c>
      <c r="I1" t="s">
        <v>45</v>
      </c>
      <c r="J1" t="s">
        <v>47</v>
      </c>
      <c r="K1" t="s">
        <v>43</v>
      </c>
      <c r="L1" t="s">
        <v>46</v>
      </c>
      <c r="M1" t="s">
        <v>50</v>
      </c>
      <c r="N1" t="s">
        <v>51</v>
      </c>
      <c r="O1" t="s">
        <v>81</v>
      </c>
      <c r="P1" t="s">
        <v>82</v>
      </c>
    </row>
    <row r="2" spans="1:16" x14ac:dyDescent="0.25">
      <c r="A2" s="9">
        <v>0.41944444444444445</v>
      </c>
      <c r="B2" s="10" t="s">
        <v>0</v>
      </c>
      <c r="C2" s="11">
        <v>270</v>
      </c>
      <c r="D2" s="11"/>
      <c r="E2" s="11" t="e">
        <f>VLOOKUP($B2,Beacons!$A$7:$J$47,9,FALSE)</f>
        <v>#N/A</v>
      </c>
      <c r="F2" s="11" t="e">
        <f>VLOOKUP($B2,Beacons!$A$7:$J$47,10,FALSE)</f>
        <v>#N/A</v>
      </c>
      <c r="G2" s="11">
        <f>C2*Beacons!$R$2</f>
        <v>8229.6</v>
      </c>
      <c r="H2" s="13" t="e">
        <f t="shared" ref="H2:J3" si="0">(E3-E2)/(MINUTE($A3-$A2)*60+SECOND($A3-$A2))</f>
        <v>#N/A</v>
      </c>
      <c r="I2" s="13" t="e">
        <f t="shared" si="0"/>
        <v>#N/A</v>
      </c>
      <c r="J2" s="13">
        <f t="shared" si="0"/>
        <v>0</v>
      </c>
      <c r="K2" s="13" t="e">
        <f>SQRT(H2*H2+I2*I2)</f>
        <v>#N/A</v>
      </c>
      <c r="L2" s="13" t="e">
        <f>DEGREES(ATAN2(I2,H2))</f>
        <v>#N/A</v>
      </c>
      <c r="M2" s="11" t="e">
        <f>VLOOKUP($B2,Beacons!$A$7:$J$47,7,FALSE)</f>
        <v>#N/A</v>
      </c>
      <c r="N2" s="11" t="e">
        <f>VLOOKUP($B2,Beacons!$A$7:$J$47,6,FALSE)</f>
        <v>#N/A</v>
      </c>
      <c r="O2" s="14" t="e">
        <f>(M3-M2)/(MINUTE($A3-$A2)*60+SECOND($A3-$A2))</f>
        <v>#N/A</v>
      </c>
      <c r="P2" s="14" t="e">
        <f>(N3-N2)/(MINUTE($A3-$A2)*60+SECOND($A3-$A2))</f>
        <v>#N/A</v>
      </c>
    </row>
    <row r="3" spans="1:16" x14ac:dyDescent="0.25">
      <c r="A3" s="9">
        <v>0.42222222222222222</v>
      </c>
      <c r="B3" s="10" t="s">
        <v>1</v>
      </c>
      <c r="C3" s="11">
        <v>270</v>
      </c>
      <c r="D3" s="11"/>
      <c r="E3" s="11" t="e">
        <f>VLOOKUP($B3,Beacons!$A$7:$J$47,9,FALSE)</f>
        <v>#N/A</v>
      </c>
      <c r="F3" s="11" t="e">
        <f>VLOOKUP($B3,Beacons!$A$7:$J$47,10,FALSE)</f>
        <v>#N/A</v>
      </c>
      <c r="G3" s="11">
        <f>C3*Beacons!$R$2</f>
        <v>8229.6</v>
      </c>
      <c r="H3" s="13" t="e">
        <f t="shared" si="0"/>
        <v>#N/A</v>
      </c>
      <c r="I3" s="13" t="e">
        <f t="shared" si="0"/>
        <v>#N/A</v>
      </c>
      <c r="J3" s="13">
        <f t="shared" si="0"/>
        <v>-2.1771428571428584</v>
      </c>
      <c r="K3" s="13" t="e">
        <f>SQRT(H3*H3+I3*I3)</f>
        <v>#N/A</v>
      </c>
      <c r="L3" s="13" t="e">
        <f>DEGREES(ATAN2(I3,H3))</f>
        <v>#N/A</v>
      </c>
      <c r="M3" s="11" t="e">
        <f>VLOOKUP($B3,Beacons!$A$7:$J$47,7,FALSE)</f>
        <v>#N/A</v>
      </c>
      <c r="N3" s="11" t="e">
        <f>VLOOKUP($B3,Beacons!$A$7:$J$47,6,FALSE)</f>
        <v>#N/A</v>
      </c>
      <c r="O3" s="14" t="e">
        <f>(M4-M3)/(MINUTE($A4-$A3)*60+SECOND($A4-$A3))</f>
        <v>#N/A</v>
      </c>
      <c r="P3" s="14" t="e">
        <f>(N4-N3)/(MINUTE($A4-$A3)*60+SECOND($A4-$A3))</f>
        <v>#N/A</v>
      </c>
    </row>
    <row r="4" spans="1:16" x14ac:dyDescent="0.25">
      <c r="A4" s="9">
        <v>0.42708333333333331</v>
      </c>
      <c r="B4" s="10" t="s">
        <v>2</v>
      </c>
      <c r="C4" s="11">
        <v>240</v>
      </c>
      <c r="D4" s="11"/>
      <c r="E4" s="11" t="e">
        <f>VLOOKUP($B4,Beacons!$A$7:$J$47,9,FALSE)</f>
        <v>#N/A</v>
      </c>
      <c r="F4" s="11" t="e">
        <f>VLOOKUP($B4,Beacons!$A$7:$J$47,10,FALSE)</f>
        <v>#N/A</v>
      </c>
      <c r="G4" s="11">
        <f>C4*Beacons!$R$2</f>
        <v>7315.2</v>
      </c>
      <c r="M4" s="11" t="e">
        <f>VLOOKUP($B4,Beacons!$A$7:$J$47,7,FALSE)</f>
        <v>#N/A</v>
      </c>
      <c r="N4" s="11" t="e">
        <f>VLOOKUP($B4,Beacons!$A$7:$J$47,6,FALSE)</f>
        <v>#N/A</v>
      </c>
    </row>
    <row r="5" spans="1:16" x14ac:dyDescent="0.25">
      <c r="A5" t="s">
        <v>49</v>
      </c>
      <c r="B5" s="8"/>
      <c r="E5" t="s">
        <v>21</v>
      </c>
      <c r="F5" t="s">
        <v>22</v>
      </c>
      <c r="G5" t="s">
        <v>30</v>
      </c>
      <c r="M5" t="s">
        <v>50</v>
      </c>
      <c r="N5" t="s">
        <v>51</v>
      </c>
    </row>
    <row r="6" spans="1:16" x14ac:dyDescent="0.25">
      <c r="A6" s="8">
        <f>A2</f>
        <v>0.41944444444444445</v>
      </c>
      <c r="B6" s="4">
        <f>Params!D27+MINUTE(A6-Params!C27)*60+SECOND(A6-Params!C27)</f>
        <v>1553300240</v>
      </c>
      <c r="C6">
        <v>2</v>
      </c>
      <c r="D6">
        <v>6</v>
      </c>
      <c r="E6" t="e">
        <f ca="1">INDIRECT("E$"&amp;C6)+INDIRECT("H$"&amp;C6)*($B6-INDIRECT("B$"&amp;D6))</f>
        <v>#N/A</v>
      </c>
      <c r="F6" t="e">
        <f ca="1">INDIRECT("F$"&amp;C6)+INDIRECT("I$"&amp;C6)*($B6-INDIRECT("B$"&amp;D6))</f>
        <v>#N/A</v>
      </c>
      <c r="G6">
        <f ca="1">INDIRECT("G$"&amp;C6)+INDIRECT("J$"&amp;C6)*($B6-INDIRECT("B$"&amp;D6))</f>
        <v>8229.6</v>
      </c>
      <c r="H6" s="13" t="e">
        <f ca="1">(E7-E6)/($B7-$B6)</f>
        <v>#N/A</v>
      </c>
      <c r="I6" s="13" t="e">
        <f ca="1">(F7-F6)/($B7-$B6)</f>
        <v>#N/A</v>
      </c>
      <c r="J6" s="13">
        <f ca="1">(G7-G6)/($B7-$B6)</f>
        <v>0</v>
      </c>
      <c r="K6" s="13" t="e">
        <f ca="1">SQRT(H6*H6+I6*I6)</f>
        <v>#N/A</v>
      </c>
      <c r="L6" s="13" t="e">
        <f ca="1">DEGREES(ATAN2(I6,H6))</f>
        <v>#N/A</v>
      </c>
      <c r="M6" t="e">
        <f ca="1">INDIRECT("M$"&amp;C6)+INDIRECT("O$"&amp;C6)*($B6-INDIRECT("B$"&amp;D6))</f>
        <v>#N/A</v>
      </c>
      <c r="N6" t="e">
        <f ca="1">INDIRECT("N$"&amp;C6)+INDIRECT("P$"&amp;C6)*($B6-INDIRECT("B$"&amp;D6))</f>
        <v>#N/A</v>
      </c>
      <c r="P6" s="4"/>
    </row>
    <row r="7" spans="1:16" x14ac:dyDescent="0.25">
      <c r="A7" s="8">
        <f>A6+5/24/3600</f>
        <v>0.41950231481481481</v>
      </c>
      <c r="B7" s="4">
        <f>B6+SECOND(A7-A6)</f>
        <v>1553300245</v>
      </c>
      <c r="C7">
        <v>2</v>
      </c>
      <c r="D7">
        <v>6</v>
      </c>
      <c r="E7" t="e">
        <f ca="1">INDIRECT("E$"&amp;C7)+INDIRECT("H$"&amp;C7)*($B7-INDIRECT("B$"&amp;D7))</f>
        <v>#N/A</v>
      </c>
      <c r="F7" t="e">
        <f ca="1">INDIRECT("F$"&amp;C7)+INDIRECT("I$"&amp;C7)*($B7-INDIRECT("B$"&amp;D7))</f>
        <v>#N/A</v>
      </c>
      <c r="G7">
        <f t="shared" ref="G7:G70" ca="1" si="1">INDIRECT("G$"&amp;C7)+INDIRECT("J$"&amp;C7)*($B7-INDIRECT("B$"&amp;D7))</f>
        <v>8229.6</v>
      </c>
      <c r="H7" s="13" t="e">
        <f t="shared" ref="H7:J70" ca="1" si="2">(E8-E7)/($B8-$B7)</f>
        <v>#N/A</v>
      </c>
      <c r="I7" s="13" t="e">
        <f t="shared" ca="1" si="2"/>
        <v>#N/A</v>
      </c>
      <c r="J7" s="13">
        <f t="shared" ca="1" si="2"/>
        <v>0</v>
      </c>
      <c r="K7" s="13" t="e">
        <f t="shared" ref="K7:K70" ca="1" si="3">SQRT(H7*H7+I7*I7)</f>
        <v>#N/A</v>
      </c>
      <c r="L7" s="13" t="e">
        <f t="shared" ref="L7:L70" ca="1" si="4">DEGREES(ATAN2(I7,H7))</f>
        <v>#N/A</v>
      </c>
      <c r="M7" t="e">
        <f ca="1">INDIRECT("M$"&amp;C7)+INDIRECT("O$"&amp;C7)*($B7-INDIRECT("B$"&amp;D7))</f>
        <v>#N/A</v>
      </c>
      <c r="N7" t="e">
        <f ca="1">INDIRECT("N$"&amp;C7)+INDIRECT("P$"&amp;C7)*($B7-INDIRECT("B$"&amp;D7))</f>
        <v>#N/A</v>
      </c>
      <c r="P7" s="4"/>
    </row>
    <row r="8" spans="1:16" x14ac:dyDescent="0.25">
      <c r="A8" s="8">
        <f>A7+5/24/3600</f>
        <v>0.41956018518518517</v>
      </c>
      <c r="B8" s="4">
        <f>B7+SECOND(A8-A7)</f>
        <v>1553300250</v>
      </c>
      <c r="C8">
        <v>2</v>
      </c>
      <c r="D8">
        <v>6</v>
      </c>
      <c r="E8" t="e">
        <f t="shared" ref="E8:E33" ca="1" si="5">INDIRECT("E$"&amp;C8)+INDIRECT("H$"&amp;C8)*($B8-INDIRECT("B$"&amp;D8))</f>
        <v>#N/A</v>
      </c>
      <c r="F8" t="e">
        <f t="shared" ref="F8:F33" ca="1" si="6">INDIRECT("F$"&amp;C8)+INDIRECT("I$"&amp;C8)*($B8-INDIRECT("B$"&amp;D8))</f>
        <v>#N/A</v>
      </c>
      <c r="G8">
        <f t="shared" ca="1" si="1"/>
        <v>8229.6</v>
      </c>
      <c r="H8" s="13" t="e">
        <f t="shared" ca="1" si="2"/>
        <v>#N/A</v>
      </c>
      <c r="I8" s="13" t="e">
        <f t="shared" ca="1" si="2"/>
        <v>#N/A</v>
      </c>
      <c r="J8" s="13">
        <f t="shared" ca="1" si="2"/>
        <v>0</v>
      </c>
      <c r="K8" s="13" t="e">
        <f t="shared" ca="1" si="3"/>
        <v>#N/A</v>
      </c>
      <c r="L8" s="13" t="e">
        <f t="shared" ca="1" si="4"/>
        <v>#N/A</v>
      </c>
      <c r="M8" t="e">
        <f t="shared" ref="M8:M52" ca="1" si="7">INDIRECT("M$"&amp;C8)+INDIRECT("O$"&amp;C8)*($B8-INDIRECT("B$"&amp;D8))</f>
        <v>#N/A</v>
      </c>
      <c r="N8" t="e">
        <f t="shared" ref="N8:N52" ca="1" si="8">INDIRECT("N$"&amp;C8)+INDIRECT("P$"&amp;C8)*($B8-INDIRECT("B$"&amp;D8))</f>
        <v>#N/A</v>
      </c>
      <c r="P8" s="4"/>
    </row>
    <row r="9" spans="1:16" x14ac:dyDescent="0.25">
      <c r="A9" s="8">
        <f t="shared" ref="A9:A72" si="9">A8+5/24/3600</f>
        <v>0.41961805555555554</v>
      </c>
      <c r="B9" s="4">
        <f t="shared" ref="B9:B72" si="10">B8+SECOND(A9-A8)</f>
        <v>1553300255</v>
      </c>
      <c r="C9">
        <v>2</v>
      </c>
      <c r="D9">
        <v>6</v>
      </c>
      <c r="E9" t="e">
        <f t="shared" ca="1" si="5"/>
        <v>#N/A</v>
      </c>
      <c r="F9" t="e">
        <f t="shared" ca="1" si="6"/>
        <v>#N/A</v>
      </c>
      <c r="G9">
        <f t="shared" ca="1" si="1"/>
        <v>8229.6</v>
      </c>
      <c r="H9" s="13" t="e">
        <f t="shared" ca="1" si="2"/>
        <v>#N/A</v>
      </c>
      <c r="I9" s="13" t="e">
        <f t="shared" ca="1" si="2"/>
        <v>#N/A</v>
      </c>
      <c r="J9" s="13">
        <f t="shared" ca="1" si="2"/>
        <v>0</v>
      </c>
      <c r="K9" s="13" t="e">
        <f t="shared" ca="1" si="3"/>
        <v>#N/A</v>
      </c>
      <c r="L9" s="13" t="e">
        <f t="shared" ca="1" si="4"/>
        <v>#N/A</v>
      </c>
      <c r="M9" t="e">
        <f t="shared" ca="1" si="7"/>
        <v>#N/A</v>
      </c>
      <c r="N9" t="e">
        <f t="shared" ca="1" si="8"/>
        <v>#N/A</v>
      </c>
    </row>
    <row r="10" spans="1:16" x14ac:dyDescent="0.25">
      <c r="A10" s="8">
        <f t="shared" si="9"/>
        <v>0.4196759259259259</v>
      </c>
      <c r="B10" s="4">
        <f t="shared" si="10"/>
        <v>1553300260</v>
      </c>
      <c r="C10">
        <v>2</v>
      </c>
      <c r="D10">
        <v>6</v>
      </c>
      <c r="E10" t="e">
        <f t="shared" ca="1" si="5"/>
        <v>#N/A</v>
      </c>
      <c r="F10" t="e">
        <f t="shared" ca="1" si="6"/>
        <v>#N/A</v>
      </c>
      <c r="G10">
        <f t="shared" ca="1" si="1"/>
        <v>8229.6</v>
      </c>
      <c r="H10" s="13" t="e">
        <f t="shared" ca="1" si="2"/>
        <v>#N/A</v>
      </c>
      <c r="I10" s="13" t="e">
        <f t="shared" ca="1" si="2"/>
        <v>#N/A</v>
      </c>
      <c r="J10" s="13">
        <f t="shared" ca="1" si="2"/>
        <v>0</v>
      </c>
      <c r="K10" s="13" t="e">
        <f t="shared" ca="1" si="3"/>
        <v>#N/A</v>
      </c>
      <c r="L10" s="13" t="e">
        <f t="shared" ca="1" si="4"/>
        <v>#N/A</v>
      </c>
      <c r="M10" t="e">
        <f t="shared" ca="1" si="7"/>
        <v>#N/A</v>
      </c>
      <c r="N10" t="e">
        <f t="shared" ca="1" si="8"/>
        <v>#N/A</v>
      </c>
      <c r="P10" s="13"/>
    </row>
    <row r="11" spans="1:16" x14ac:dyDescent="0.25">
      <c r="A11" s="8">
        <f t="shared" si="9"/>
        <v>0.41973379629629626</v>
      </c>
      <c r="B11" s="4">
        <f t="shared" si="10"/>
        <v>1553300265</v>
      </c>
      <c r="C11">
        <v>2</v>
      </c>
      <c r="D11">
        <v>6</v>
      </c>
      <c r="E11" t="e">
        <f t="shared" ca="1" si="5"/>
        <v>#N/A</v>
      </c>
      <c r="F11" t="e">
        <f t="shared" ca="1" si="6"/>
        <v>#N/A</v>
      </c>
      <c r="G11">
        <f t="shared" ca="1" si="1"/>
        <v>8229.6</v>
      </c>
      <c r="H11" s="13" t="e">
        <f t="shared" ca="1" si="2"/>
        <v>#N/A</v>
      </c>
      <c r="I11" s="13" t="e">
        <f t="shared" ca="1" si="2"/>
        <v>#N/A</v>
      </c>
      <c r="J11" s="13">
        <f t="shared" ca="1" si="2"/>
        <v>0</v>
      </c>
      <c r="K11" s="13" t="e">
        <f t="shared" ca="1" si="3"/>
        <v>#N/A</v>
      </c>
      <c r="L11" s="13" t="e">
        <f t="shared" ca="1" si="4"/>
        <v>#N/A</v>
      </c>
      <c r="M11" t="e">
        <f t="shared" ca="1" si="7"/>
        <v>#N/A</v>
      </c>
      <c r="N11" t="e">
        <f t="shared" ca="1" si="8"/>
        <v>#N/A</v>
      </c>
    </row>
    <row r="12" spans="1:16" x14ac:dyDescent="0.25">
      <c r="A12" s="8">
        <f t="shared" si="9"/>
        <v>0.41979166666666662</v>
      </c>
      <c r="B12" s="4">
        <f t="shared" si="10"/>
        <v>1553300270</v>
      </c>
      <c r="C12">
        <v>2</v>
      </c>
      <c r="D12">
        <v>6</v>
      </c>
      <c r="E12" t="e">
        <f t="shared" ca="1" si="5"/>
        <v>#N/A</v>
      </c>
      <c r="F12" t="e">
        <f t="shared" ca="1" si="6"/>
        <v>#N/A</v>
      </c>
      <c r="G12">
        <f t="shared" ca="1" si="1"/>
        <v>8229.6</v>
      </c>
      <c r="H12" s="13" t="e">
        <f t="shared" ca="1" si="2"/>
        <v>#N/A</v>
      </c>
      <c r="I12" s="13" t="e">
        <f t="shared" ca="1" si="2"/>
        <v>#N/A</v>
      </c>
      <c r="J12" s="13">
        <f t="shared" ca="1" si="2"/>
        <v>0</v>
      </c>
      <c r="K12" s="13" t="e">
        <f t="shared" ca="1" si="3"/>
        <v>#N/A</v>
      </c>
      <c r="L12" s="13" t="e">
        <f t="shared" ca="1" si="4"/>
        <v>#N/A</v>
      </c>
      <c r="M12" t="e">
        <f t="shared" ca="1" si="7"/>
        <v>#N/A</v>
      </c>
      <c r="N12" t="e">
        <f t="shared" ca="1" si="8"/>
        <v>#N/A</v>
      </c>
    </row>
    <row r="13" spans="1:16" x14ac:dyDescent="0.25">
      <c r="A13" s="8">
        <f t="shared" si="9"/>
        <v>0.41984953703703698</v>
      </c>
      <c r="B13" s="4">
        <f t="shared" si="10"/>
        <v>1553300275</v>
      </c>
      <c r="C13">
        <v>2</v>
      </c>
      <c r="D13">
        <v>6</v>
      </c>
      <c r="E13" t="e">
        <f t="shared" ca="1" si="5"/>
        <v>#N/A</v>
      </c>
      <c r="F13" t="e">
        <f t="shared" ca="1" si="6"/>
        <v>#N/A</v>
      </c>
      <c r="G13">
        <f t="shared" ca="1" si="1"/>
        <v>8229.6</v>
      </c>
      <c r="H13" s="13" t="e">
        <f t="shared" ca="1" si="2"/>
        <v>#N/A</v>
      </c>
      <c r="I13" s="13" t="e">
        <f t="shared" ca="1" si="2"/>
        <v>#N/A</v>
      </c>
      <c r="J13" s="13">
        <f t="shared" ca="1" si="2"/>
        <v>0</v>
      </c>
      <c r="K13" s="13" t="e">
        <f t="shared" ca="1" si="3"/>
        <v>#N/A</v>
      </c>
      <c r="L13" s="13" t="e">
        <f t="shared" ca="1" si="4"/>
        <v>#N/A</v>
      </c>
      <c r="M13" t="e">
        <f t="shared" ca="1" si="7"/>
        <v>#N/A</v>
      </c>
      <c r="N13" t="e">
        <f t="shared" ca="1" si="8"/>
        <v>#N/A</v>
      </c>
    </row>
    <row r="14" spans="1:16" x14ac:dyDescent="0.25">
      <c r="A14" s="8">
        <f t="shared" si="9"/>
        <v>0.41990740740740734</v>
      </c>
      <c r="B14" s="4">
        <f t="shared" si="10"/>
        <v>1553300280</v>
      </c>
      <c r="C14">
        <v>2</v>
      </c>
      <c r="D14">
        <v>6</v>
      </c>
      <c r="E14" t="e">
        <f t="shared" ca="1" si="5"/>
        <v>#N/A</v>
      </c>
      <c r="F14" t="e">
        <f t="shared" ca="1" si="6"/>
        <v>#N/A</v>
      </c>
      <c r="G14">
        <f t="shared" ca="1" si="1"/>
        <v>8229.6</v>
      </c>
      <c r="H14" s="13" t="e">
        <f t="shared" ca="1" si="2"/>
        <v>#N/A</v>
      </c>
      <c r="I14" s="13" t="e">
        <f t="shared" ca="1" si="2"/>
        <v>#N/A</v>
      </c>
      <c r="J14" s="13">
        <f t="shared" ca="1" si="2"/>
        <v>0</v>
      </c>
      <c r="K14" s="13" t="e">
        <f t="shared" ca="1" si="3"/>
        <v>#N/A</v>
      </c>
      <c r="L14" s="13" t="e">
        <f t="shared" ca="1" si="4"/>
        <v>#N/A</v>
      </c>
      <c r="M14" t="e">
        <f t="shared" ca="1" si="7"/>
        <v>#N/A</v>
      </c>
      <c r="N14" t="e">
        <f t="shared" ca="1" si="8"/>
        <v>#N/A</v>
      </c>
    </row>
    <row r="15" spans="1:16" x14ac:dyDescent="0.25">
      <c r="A15" s="8">
        <f t="shared" si="9"/>
        <v>0.4199652777777777</v>
      </c>
      <c r="B15" s="4">
        <f t="shared" si="10"/>
        <v>1553300285</v>
      </c>
      <c r="C15">
        <v>2</v>
      </c>
      <c r="D15">
        <v>6</v>
      </c>
      <c r="E15" t="e">
        <f t="shared" ca="1" si="5"/>
        <v>#N/A</v>
      </c>
      <c r="F15" t="e">
        <f t="shared" ca="1" si="6"/>
        <v>#N/A</v>
      </c>
      <c r="G15">
        <f t="shared" ca="1" si="1"/>
        <v>8229.6</v>
      </c>
      <c r="H15" s="13" t="e">
        <f t="shared" ca="1" si="2"/>
        <v>#N/A</v>
      </c>
      <c r="I15" s="13" t="e">
        <f t="shared" ca="1" si="2"/>
        <v>#N/A</v>
      </c>
      <c r="J15" s="13">
        <f t="shared" ca="1" si="2"/>
        <v>0</v>
      </c>
      <c r="K15" s="13" t="e">
        <f t="shared" ca="1" si="3"/>
        <v>#N/A</v>
      </c>
      <c r="L15" s="13" t="e">
        <f t="shared" ca="1" si="4"/>
        <v>#N/A</v>
      </c>
      <c r="M15" t="e">
        <f t="shared" ca="1" si="7"/>
        <v>#N/A</v>
      </c>
      <c r="N15" t="e">
        <f t="shared" ca="1" si="8"/>
        <v>#N/A</v>
      </c>
    </row>
    <row r="16" spans="1:16" x14ac:dyDescent="0.25">
      <c r="A16" s="8">
        <f t="shared" si="9"/>
        <v>0.42002314814814806</v>
      </c>
      <c r="B16" s="4">
        <f t="shared" si="10"/>
        <v>1553300290</v>
      </c>
      <c r="C16">
        <v>2</v>
      </c>
      <c r="D16">
        <v>6</v>
      </c>
      <c r="E16" t="e">
        <f t="shared" ca="1" si="5"/>
        <v>#N/A</v>
      </c>
      <c r="F16" t="e">
        <f t="shared" ca="1" si="6"/>
        <v>#N/A</v>
      </c>
      <c r="G16">
        <f t="shared" ca="1" si="1"/>
        <v>8229.6</v>
      </c>
      <c r="H16" s="13" t="e">
        <f t="shared" ca="1" si="2"/>
        <v>#N/A</v>
      </c>
      <c r="I16" s="13" t="e">
        <f t="shared" ca="1" si="2"/>
        <v>#N/A</v>
      </c>
      <c r="J16" s="13">
        <f t="shared" ca="1" si="2"/>
        <v>0</v>
      </c>
      <c r="K16" s="13" t="e">
        <f t="shared" ca="1" si="3"/>
        <v>#N/A</v>
      </c>
      <c r="L16" s="13" t="e">
        <f t="shared" ca="1" si="4"/>
        <v>#N/A</v>
      </c>
      <c r="M16" t="e">
        <f t="shared" ca="1" si="7"/>
        <v>#N/A</v>
      </c>
      <c r="N16" t="e">
        <f t="shared" ca="1" si="8"/>
        <v>#N/A</v>
      </c>
    </row>
    <row r="17" spans="1:14" x14ac:dyDescent="0.25">
      <c r="A17" s="8">
        <f t="shared" si="9"/>
        <v>0.42008101851851842</v>
      </c>
      <c r="B17" s="4">
        <f t="shared" si="10"/>
        <v>1553300295</v>
      </c>
      <c r="C17">
        <v>2</v>
      </c>
      <c r="D17">
        <v>6</v>
      </c>
      <c r="E17" t="e">
        <f t="shared" ca="1" si="5"/>
        <v>#N/A</v>
      </c>
      <c r="F17" t="e">
        <f t="shared" ca="1" si="6"/>
        <v>#N/A</v>
      </c>
      <c r="G17">
        <f t="shared" ca="1" si="1"/>
        <v>8229.6</v>
      </c>
      <c r="H17" s="13" t="e">
        <f t="shared" ca="1" si="2"/>
        <v>#N/A</v>
      </c>
      <c r="I17" s="13" t="e">
        <f t="shared" ca="1" si="2"/>
        <v>#N/A</v>
      </c>
      <c r="J17" s="13">
        <f t="shared" ca="1" si="2"/>
        <v>0</v>
      </c>
      <c r="K17" s="13" t="e">
        <f t="shared" ca="1" si="3"/>
        <v>#N/A</v>
      </c>
      <c r="L17" s="13" t="e">
        <f t="shared" ca="1" si="4"/>
        <v>#N/A</v>
      </c>
      <c r="M17" t="e">
        <f t="shared" ca="1" si="7"/>
        <v>#N/A</v>
      </c>
      <c r="N17" t="e">
        <f t="shared" ca="1" si="8"/>
        <v>#N/A</v>
      </c>
    </row>
    <row r="18" spans="1:14" x14ac:dyDescent="0.25">
      <c r="A18" s="8">
        <f t="shared" si="9"/>
        <v>0.42013888888888878</v>
      </c>
      <c r="B18" s="4">
        <f t="shared" si="10"/>
        <v>1553300300</v>
      </c>
      <c r="C18">
        <v>2</v>
      </c>
      <c r="D18">
        <v>6</v>
      </c>
      <c r="E18" t="e">
        <f t="shared" ca="1" si="5"/>
        <v>#N/A</v>
      </c>
      <c r="F18" t="e">
        <f t="shared" ca="1" si="6"/>
        <v>#N/A</v>
      </c>
      <c r="G18">
        <f t="shared" ca="1" si="1"/>
        <v>8229.6</v>
      </c>
      <c r="H18" s="13" t="e">
        <f t="shared" ca="1" si="2"/>
        <v>#N/A</v>
      </c>
      <c r="I18" s="13" t="e">
        <f t="shared" ca="1" si="2"/>
        <v>#N/A</v>
      </c>
      <c r="J18" s="13">
        <f t="shared" ca="1" si="2"/>
        <v>0</v>
      </c>
      <c r="K18" s="13" t="e">
        <f t="shared" ca="1" si="3"/>
        <v>#N/A</v>
      </c>
      <c r="L18" s="13" t="e">
        <f t="shared" ca="1" si="4"/>
        <v>#N/A</v>
      </c>
      <c r="M18" t="e">
        <f t="shared" ca="1" si="7"/>
        <v>#N/A</v>
      </c>
      <c r="N18" t="e">
        <f t="shared" ca="1" si="8"/>
        <v>#N/A</v>
      </c>
    </row>
    <row r="19" spans="1:14" x14ac:dyDescent="0.25">
      <c r="A19" s="8">
        <f t="shared" si="9"/>
        <v>0.42019675925925914</v>
      </c>
      <c r="B19" s="4">
        <f t="shared" si="10"/>
        <v>1553300305</v>
      </c>
      <c r="C19">
        <v>2</v>
      </c>
      <c r="D19">
        <v>6</v>
      </c>
      <c r="E19" t="e">
        <f t="shared" ca="1" si="5"/>
        <v>#N/A</v>
      </c>
      <c r="F19" t="e">
        <f t="shared" ca="1" si="6"/>
        <v>#N/A</v>
      </c>
      <c r="G19">
        <f t="shared" ca="1" si="1"/>
        <v>8229.6</v>
      </c>
      <c r="H19" s="13" t="e">
        <f t="shared" ca="1" si="2"/>
        <v>#N/A</v>
      </c>
      <c r="I19" s="13" t="e">
        <f t="shared" ca="1" si="2"/>
        <v>#N/A</v>
      </c>
      <c r="J19" s="13">
        <f t="shared" ca="1" si="2"/>
        <v>0</v>
      </c>
      <c r="K19" s="13" t="e">
        <f t="shared" ca="1" si="3"/>
        <v>#N/A</v>
      </c>
      <c r="L19" s="13" t="e">
        <f t="shared" ca="1" si="4"/>
        <v>#N/A</v>
      </c>
      <c r="M19" t="e">
        <f t="shared" ca="1" si="7"/>
        <v>#N/A</v>
      </c>
      <c r="N19" t="e">
        <f t="shared" ca="1" si="8"/>
        <v>#N/A</v>
      </c>
    </row>
    <row r="20" spans="1:14" x14ac:dyDescent="0.25">
      <c r="A20" s="8">
        <f t="shared" si="9"/>
        <v>0.42025462962962951</v>
      </c>
      <c r="B20" s="4">
        <f t="shared" si="10"/>
        <v>1553300310</v>
      </c>
      <c r="C20">
        <v>2</v>
      </c>
      <c r="D20">
        <v>6</v>
      </c>
      <c r="E20" t="e">
        <f t="shared" ca="1" si="5"/>
        <v>#N/A</v>
      </c>
      <c r="F20" t="e">
        <f t="shared" ca="1" si="6"/>
        <v>#N/A</v>
      </c>
      <c r="G20">
        <f t="shared" ca="1" si="1"/>
        <v>8229.6</v>
      </c>
      <c r="H20" s="13" t="e">
        <f t="shared" ca="1" si="2"/>
        <v>#N/A</v>
      </c>
      <c r="I20" s="13" t="e">
        <f t="shared" ca="1" si="2"/>
        <v>#N/A</v>
      </c>
      <c r="J20" s="13">
        <f t="shared" ca="1" si="2"/>
        <v>0</v>
      </c>
      <c r="K20" s="13" t="e">
        <f t="shared" ca="1" si="3"/>
        <v>#N/A</v>
      </c>
      <c r="L20" s="13" t="e">
        <f t="shared" ca="1" si="4"/>
        <v>#N/A</v>
      </c>
      <c r="M20" t="e">
        <f t="shared" ca="1" si="7"/>
        <v>#N/A</v>
      </c>
      <c r="N20" t="e">
        <f t="shared" ca="1" si="8"/>
        <v>#N/A</v>
      </c>
    </row>
    <row r="21" spans="1:14" x14ac:dyDescent="0.25">
      <c r="A21" s="8">
        <f t="shared" si="9"/>
        <v>0.42031249999999987</v>
      </c>
      <c r="B21" s="4">
        <f t="shared" si="10"/>
        <v>1553300315</v>
      </c>
      <c r="C21">
        <v>2</v>
      </c>
      <c r="D21">
        <v>6</v>
      </c>
      <c r="E21" t="e">
        <f t="shared" ca="1" si="5"/>
        <v>#N/A</v>
      </c>
      <c r="F21" t="e">
        <f t="shared" ca="1" si="6"/>
        <v>#N/A</v>
      </c>
      <c r="G21">
        <f t="shared" ca="1" si="1"/>
        <v>8229.6</v>
      </c>
      <c r="H21" s="13" t="e">
        <f t="shared" ca="1" si="2"/>
        <v>#N/A</v>
      </c>
      <c r="I21" s="13" t="e">
        <f t="shared" ca="1" si="2"/>
        <v>#N/A</v>
      </c>
      <c r="J21" s="13">
        <f t="shared" ca="1" si="2"/>
        <v>0</v>
      </c>
      <c r="K21" s="13" t="e">
        <f t="shared" ca="1" si="3"/>
        <v>#N/A</v>
      </c>
      <c r="L21" s="13" t="e">
        <f t="shared" ca="1" si="4"/>
        <v>#N/A</v>
      </c>
      <c r="M21" t="e">
        <f t="shared" ca="1" si="7"/>
        <v>#N/A</v>
      </c>
      <c r="N21" t="e">
        <f t="shared" ca="1" si="8"/>
        <v>#N/A</v>
      </c>
    </row>
    <row r="22" spans="1:14" x14ac:dyDescent="0.25">
      <c r="A22" s="8">
        <f t="shared" si="9"/>
        <v>0.42037037037037023</v>
      </c>
      <c r="B22" s="4">
        <f t="shared" si="10"/>
        <v>1553300320</v>
      </c>
      <c r="C22">
        <v>2</v>
      </c>
      <c r="D22">
        <v>6</v>
      </c>
      <c r="E22" t="e">
        <f t="shared" ca="1" si="5"/>
        <v>#N/A</v>
      </c>
      <c r="F22" t="e">
        <f t="shared" ca="1" si="6"/>
        <v>#N/A</v>
      </c>
      <c r="G22">
        <f t="shared" ca="1" si="1"/>
        <v>8229.6</v>
      </c>
      <c r="H22" s="13" t="e">
        <f t="shared" ca="1" si="2"/>
        <v>#N/A</v>
      </c>
      <c r="I22" s="13" t="e">
        <f t="shared" ca="1" si="2"/>
        <v>#N/A</v>
      </c>
      <c r="J22" s="13">
        <f t="shared" ca="1" si="2"/>
        <v>0</v>
      </c>
      <c r="K22" s="13" t="e">
        <f t="shared" ca="1" si="3"/>
        <v>#N/A</v>
      </c>
      <c r="L22" s="13" t="e">
        <f t="shared" ca="1" si="4"/>
        <v>#N/A</v>
      </c>
      <c r="M22" t="e">
        <f t="shared" ca="1" si="7"/>
        <v>#N/A</v>
      </c>
      <c r="N22" t="e">
        <f t="shared" ca="1" si="8"/>
        <v>#N/A</v>
      </c>
    </row>
    <row r="23" spans="1:14" x14ac:dyDescent="0.25">
      <c r="A23" s="8">
        <f t="shared" si="9"/>
        <v>0.42042824074074059</v>
      </c>
      <c r="B23" s="4">
        <f t="shared" si="10"/>
        <v>1553300325</v>
      </c>
      <c r="C23">
        <v>2</v>
      </c>
      <c r="D23">
        <v>6</v>
      </c>
      <c r="E23" t="e">
        <f t="shared" ca="1" si="5"/>
        <v>#N/A</v>
      </c>
      <c r="F23" t="e">
        <f t="shared" ca="1" si="6"/>
        <v>#N/A</v>
      </c>
      <c r="G23">
        <f t="shared" ca="1" si="1"/>
        <v>8229.6</v>
      </c>
      <c r="H23" s="13" t="e">
        <f t="shared" ca="1" si="2"/>
        <v>#N/A</v>
      </c>
      <c r="I23" s="13" t="e">
        <f t="shared" ca="1" si="2"/>
        <v>#N/A</v>
      </c>
      <c r="J23" s="13">
        <f t="shared" ca="1" si="2"/>
        <v>0</v>
      </c>
      <c r="K23" s="13" t="e">
        <f t="shared" ca="1" si="3"/>
        <v>#N/A</v>
      </c>
      <c r="L23" s="13" t="e">
        <f t="shared" ca="1" si="4"/>
        <v>#N/A</v>
      </c>
      <c r="M23" t="e">
        <f t="shared" ca="1" si="7"/>
        <v>#N/A</v>
      </c>
      <c r="N23" t="e">
        <f t="shared" ca="1" si="8"/>
        <v>#N/A</v>
      </c>
    </row>
    <row r="24" spans="1:14" x14ac:dyDescent="0.25">
      <c r="A24" s="8">
        <f t="shared" si="9"/>
        <v>0.42048611111111095</v>
      </c>
      <c r="B24" s="4">
        <f t="shared" si="10"/>
        <v>1553300330</v>
      </c>
      <c r="C24">
        <v>2</v>
      </c>
      <c r="D24">
        <v>6</v>
      </c>
      <c r="E24" t="e">
        <f t="shared" ca="1" si="5"/>
        <v>#N/A</v>
      </c>
      <c r="F24" t="e">
        <f t="shared" ca="1" si="6"/>
        <v>#N/A</v>
      </c>
      <c r="G24">
        <f t="shared" ca="1" si="1"/>
        <v>8229.6</v>
      </c>
      <c r="H24" s="13" t="e">
        <f t="shared" ca="1" si="2"/>
        <v>#N/A</v>
      </c>
      <c r="I24" s="13" t="e">
        <f t="shared" ca="1" si="2"/>
        <v>#N/A</v>
      </c>
      <c r="J24" s="13">
        <f t="shared" ca="1" si="2"/>
        <v>0</v>
      </c>
      <c r="K24" s="13" t="e">
        <f t="shared" ca="1" si="3"/>
        <v>#N/A</v>
      </c>
      <c r="L24" s="13" t="e">
        <f t="shared" ca="1" si="4"/>
        <v>#N/A</v>
      </c>
      <c r="M24" t="e">
        <f t="shared" ca="1" si="7"/>
        <v>#N/A</v>
      </c>
      <c r="N24" t="e">
        <f t="shared" ca="1" si="8"/>
        <v>#N/A</v>
      </c>
    </row>
    <row r="25" spans="1:14" x14ac:dyDescent="0.25">
      <c r="A25" s="8">
        <f t="shared" si="9"/>
        <v>0.42054398148148131</v>
      </c>
      <c r="B25" s="4">
        <f t="shared" si="10"/>
        <v>1553300335</v>
      </c>
      <c r="C25">
        <v>2</v>
      </c>
      <c r="D25">
        <v>6</v>
      </c>
      <c r="E25" t="e">
        <f t="shared" ca="1" si="5"/>
        <v>#N/A</v>
      </c>
      <c r="F25" t="e">
        <f t="shared" ca="1" si="6"/>
        <v>#N/A</v>
      </c>
      <c r="G25">
        <f t="shared" ca="1" si="1"/>
        <v>8229.6</v>
      </c>
      <c r="H25" s="13" t="e">
        <f t="shared" ca="1" si="2"/>
        <v>#N/A</v>
      </c>
      <c r="I25" s="13" t="e">
        <f t="shared" ca="1" si="2"/>
        <v>#N/A</v>
      </c>
      <c r="J25" s="13">
        <f t="shared" ca="1" si="2"/>
        <v>0</v>
      </c>
      <c r="K25" s="13" t="e">
        <f t="shared" ca="1" si="3"/>
        <v>#N/A</v>
      </c>
      <c r="L25" s="13" t="e">
        <f t="shared" ca="1" si="4"/>
        <v>#N/A</v>
      </c>
      <c r="M25" t="e">
        <f t="shared" ca="1" si="7"/>
        <v>#N/A</v>
      </c>
      <c r="N25" t="e">
        <f t="shared" ca="1" si="8"/>
        <v>#N/A</v>
      </c>
    </row>
    <row r="26" spans="1:14" x14ac:dyDescent="0.25">
      <c r="A26" s="8">
        <f t="shared" si="9"/>
        <v>0.42060185185185167</v>
      </c>
      <c r="B26" s="4">
        <f t="shared" si="10"/>
        <v>1553300340</v>
      </c>
      <c r="C26">
        <v>2</v>
      </c>
      <c r="D26">
        <v>6</v>
      </c>
      <c r="E26" t="e">
        <f t="shared" ca="1" si="5"/>
        <v>#N/A</v>
      </c>
      <c r="F26" t="e">
        <f t="shared" ca="1" si="6"/>
        <v>#N/A</v>
      </c>
      <c r="G26">
        <f t="shared" ca="1" si="1"/>
        <v>8229.6</v>
      </c>
      <c r="H26" s="13" t="e">
        <f t="shared" ca="1" si="2"/>
        <v>#N/A</v>
      </c>
      <c r="I26" s="13" t="e">
        <f t="shared" ca="1" si="2"/>
        <v>#N/A</v>
      </c>
      <c r="J26" s="13">
        <f t="shared" ca="1" si="2"/>
        <v>0</v>
      </c>
      <c r="K26" s="13" t="e">
        <f t="shared" ca="1" si="3"/>
        <v>#N/A</v>
      </c>
      <c r="L26" s="13" t="e">
        <f t="shared" ca="1" si="4"/>
        <v>#N/A</v>
      </c>
      <c r="M26" t="e">
        <f t="shared" ca="1" si="7"/>
        <v>#N/A</v>
      </c>
      <c r="N26" t="e">
        <f t="shared" ca="1" si="8"/>
        <v>#N/A</v>
      </c>
    </row>
    <row r="27" spans="1:14" x14ac:dyDescent="0.25">
      <c r="A27" s="8">
        <f t="shared" si="9"/>
        <v>0.42065972222222203</v>
      </c>
      <c r="B27" s="4">
        <f t="shared" si="10"/>
        <v>1553300345</v>
      </c>
      <c r="C27">
        <v>2</v>
      </c>
      <c r="D27">
        <v>6</v>
      </c>
      <c r="E27" t="e">
        <f t="shared" ca="1" si="5"/>
        <v>#N/A</v>
      </c>
      <c r="F27" t="e">
        <f t="shared" ca="1" si="6"/>
        <v>#N/A</v>
      </c>
      <c r="G27">
        <f t="shared" ca="1" si="1"/>
        <v>8229.6</v>
      </c>
      <c r="H27" s="13" t="e">
        <f t="shared" ca="1" si="2"/>
        <v>#N/A</v>
      </c>
      <c r="I27" s="13" t="e">
        <f t="shared" ca="1" si="2"/>
        <v>#N/A</v>
      </c>
      <c r="J27" s="13">
        <f t="shared" ca="1" si="2"/>
        <v>0</v>
      </c>
      <c r="K27" s="13" t="e">
        <f t="shared" ca="1" si="3"/>
        <v>#N/A</v>
      </c>
      <c r="L27" s="13" t="e">
        <f t="shared" ca="1" si="4"/>
        <v>#N/A</v>
      </c>
      <c r="M27" t="e">
        <f t="shared" ca="1" si="7"/>
        <v>#N/A</v>
      </c>
      <c r="N27" t="e">
        <f t="shared" ca="1" si="8"/>
        <v>#N/A</v>
      </c>
    </row>
    <row r="28" spans="1:14" x14ac:dyDescent="0.25">
      <c r="A28" s="8">
        <f t="shared" si="9"/>
        <v>0.42071759259259239</v>
      </c>
      <c r="B28" s="4">
        <f t="shared" si="10"/>
        <v>1553300350</v>
      </c>
      <c r="C28">
        <v>2</v>
      </c>
      <c r="D28">
        <v>6</v>
      </c>
      <c r="E28" t="e">
        <f t="shared" ca="1" si="5"/>
        <v>#N/A</v>
      </c>
      <c r="F28" t="e">
        <f t="shared" ca="1" si="6"/>
        <v>#N/A</v>
      </c>
      <c r="G28">
        <f t="shared" ca="1" si="1"/>
        <v>8229.6</v>
      </c>
      <c r="H28" s="13" t="e">
        <f t="shared" ca="1" si="2"/>
        <v>#N/A</v>
      </c>
      <c r="I28" s="13" t="e">
        <f t="shared" ca="1" si="2"/>
        <v>#N/A</v>
      </c>
      <c r="J28" s="13">
        <f t="shared" ca="1" si="2"/>
        <v>0</v>
      </c>
      <c r="K28" s="13" t="e">
        <f t="shared" ca="1" si="3"/>
        <v>#N/A</v>
      </c>
      <c r="L28" s="13" t="e">
        <f t="shared" ca="1" si="4"/>
        <v>#N/A</v>
      </c>
      <c r="M28" t="e">
        <f t="shared" ca="1" si="7"/>
        <v>#N/A</v>
      </c>
      <c r="N28" t="e">
        <f t="shared" ca="1" si="8"/>
        <v>#N/A</v>
      </c>
    </row>
    <row r="29" spans="1:14" x14ac:dyDescent="0.25">
      <c r="A29" s="8">
        <f t="shared" si="9"/>
        <v>0.42077546296296275</v>
      </c>
      <c r="B29" s="4">
        <f t="shared" si="10"/>
        <v>1553300355</v>
      </c>
      <c r="C29">
        <v>2</v>
      </c>
      <c r="D29">
        <v>6</v>
      </c>
      <c r="E29" t="e">
        <f t="shared" ca="1" si="5"/>
        <v>#N/A</v>
      </c>
      <c r="F29" t="e">
        <f t="shared" ca="1" si="6"/>
        <v>#N/A</v>
      </c>
      <c r="G29">
        <f t="shared" ca="1" si="1"/>
        <v>8229.6</v>
      </c>
      <c r="H29" s="13" t="e">
        <f t="shared" ca="1" si="2"/>
        <v>#N/A</v>
      </c>
      <c r="I29" s="13" t="e">
        <f t="shared" ca="1" si="2"/>
        <v>#N/A</v>
      </c>
      <c r="J29" s="13">
        <f t="shared" ca="1" si="2"/>
        <v>0</v>
      </c>
      <c r="K29" s="13" t="e">
        <f t="shared" ca="1" si="3"/>
        <v>#N/A</v>
      </c>
      <c r="L29" s="13" t="e">
        <f t="shared" ca="1" si="4"/>
        <v>#N/A</v>
      </c>
      <c r="M29" t="e">
        <f t="shared" ca="1" si="7"/>
        <v>#N/A</v>
      </c>
      <c r="N29" t="e">
        <f t="shared" ca="1" si="8"/>
        <v>#N/A</v>
      </c>
    </row>
    <row r="30" spans="1:14" x14ac:dyDescent="0.25">
      <c r="A30" s="8">
        <f t="shared" si="9"/>
        <v>0.42083333333333311</v>
      </c>
      <c r="B30" s="4">
        <f t="shared" si="10"/>
        <v>1553300360</v>
      </c>
      <c r="C30">
        <v>2</v>
      </c>
      <c r="D30">
        <v>6</v>
      </c>
      <c r="E30" t="e">
        <f t="shared" ca="1" si="5"/>
        <v>#N/A</v>
      </c>
      <c r="F30" t="e">
        <f t="shared" ca="1" si="6"/>
        <v>#N/A</v>
      </c>
      <c r="G30">
        <f t="shared" ca="1" si="1"/>
        <v>8229.6</v>
      </c>
      <c r="H30" s="13" t="e">
        <f t="shared" ca="1" si="2"/>
        <v>#N/A</v>
      </c>
      <c r="I30" s="13" t="e">
        <f t="shared" ca="1" si="2"/>
        <v>#N/A</v>
      </c>
      <c r="J30" s="13">
        <f t="shared" ca="1" si="2"/>
        <v>0</v>
      </c>
      <c r="K30" s="13" t="e">
        <f t="shared" ca="1" si="3"/>
        <v>#N/A</v>
      </c>
      <c r="L30" s="13" t="e">
        <f t="shared" ca="1" si="4"/>
        <v>#N/A</v>
      </c>
      <c r="M30" t="e">
        <f t="shared" ca="1" si="7"/>
        <v>#N/A</v>
      </c>
      <c r="N30" t="e">
        <f t="shared" ca="1" si="8"/>
        <v>#N/A</v>
      </c>
    </row>
    <row r="31" spans="1:14" x14ac:dyDescent="0.25">
      <c r="A31" s="8">
        <f t="shared" si="9"/>
        <v>0.42089120370370348</v>
      </c>
      <c r="B31" s="4">
        <f t="shared" si="10"/>
        <v>1553300365</v>
      </c>
      <c r="C31">
        <v>2</v>
      </c>
      <c r="D31">
        <v>6</v>
      </c>
      <c r="E31" t="e">
        <f t="shared" ca="1" si="5"/>
        <v>#N/A</v>
      </c>
      <c r="F31" t="e">
        <f t="shared" ca="1" si="6"/>
        <v>#N/A</v>
      </c>
      <c r="G31">
        <f t="shared" ca="1" si="1"/>
        <v>8229.6</v>
      </c>
      <c r="H31" s="13" t="e">
        <f t="shared" ca="1" si="2"/>
        <v>#N/A</v>
      </c>
      <c r="I31" s="13" t="e">
        <f t="shared" ca="1" si="2"/>
        <v>#N/A</v>
      </c>
      <c r="J31" s="13">
        <f t="shared" ca="1" si="2"/>
        <v>0</v>
      </c>
      <c r="K31" s="13" t="e">
        <f t="shared" ca="1" si="3"/>
        <v>#N/A</v>
      </c>
      <c r="L31" s="13" t="e">
        <f t="shared" ca="1" si="4"/>
        <v>#N/A</v>
      </c>
      <c r="M31" t="e">
        <f t="shared" ca="1" si="7"/>
        <v>#N/A</v>
      </c>
      <c r="N31" t="e">
        <f t="shared" ca="1" si="8"/>
        <v>#N/A</v>
      </c>
    </row>
    <row r="32" spans="1:14" x14ac:dyDescent="0.25">
      <c r="A32" s="8">
        <f t="shared" si="9"/>
        <v>0.42094907407407384</v>
      </c>
      <c r="B32" s="4">
        <f t="shared" si="10"/>
        <v>1553300370</v>
      </c>
      <c r="C32">
        <v>2</v>
      </c>
      <c r="D32">
        <v>6</v>
      </c>
      <c r="E32" t="e">
        <f t="shared" ca="1" si="5"/>
        <v>#N/A</v>
      </c>
      <c r="F32" t="e">
        <f t="shared" ca="1" si="6"/>
        <v>#N/A</v>
      </c>
      <c r="G32">
        <f t="shared" ca="1" si="1"/>
        <v>8229.6</v>
      </c>
      <c r="H32" s="13" t="e">
        <f t="shared" ca="1" si="2"/>
        <v>#N/A</v>
      </c>
      <c r="I32" s="13" t="e">
        <f t="shared" ca="1" si="2"/>
        <v>#N/A</v>
      </c>
      <c r="J32" s="13">
        <f t="shared" ca="1" si="2"/>
        <v>0</v>
      </c>
      <c r="K32" s="13" t="e">
        <f t="shared" ca="1" si="3"/>
        <v>#N/A</v>
      </c>
      <c r="L32" s="13" t="e">
        <f t="shared" ca="1" si="4"/>
        <v>#N/A</v>
      </c>
      <c r="M32" t="e">
        <f t="shared" ca="1" si="7"/>
        <v>#N/A</v>
      </c>
      <c r="N32" t="e">
        <f t="shared" ca="1" si="8"/>
        <v>#N/A</v>
      </c>
    </row>
    <row r="33" spans="1:14" x14ac:dyDescent="0.25">
      <c r="A33" s="8">
        <f>A32+5/24/3600</f>
        <v>0.4210069444444442</v>
      </c>
      <c r="B33" s="4">
        <f t="shared" si="10"/>
        <v>1553300375</v>
      </c>
      <c r="C33">
        <v>2</v>
      </c>
      <c r="D33">
        <v>6</v>
      </c>
      <c r="E33" t="e">
        <f t="shared" ca="1" si="5"/>
        <v>#N/A</v>
      </c>
      <c r="F33" t="e">
        <f t="shared" ca="1" si="6"/>
        <v>#N/A</v>
      </c>
      <c r="G33">
        <f t="shared" ca="1" si="1"/>
        <v>8229.6</v>
      </c>
      <c r="H33" s="13" t="e">
        <f t="shared" ca="1" si="2"/>
        <v>#N/A</v>
      </c>
      <c r="I33" s="13" t="e">
        <f t="shared" ca="1" si="2"/>
        <v>#N/A</v>
      </c>
      <c r="J33" s="13">
        <f t="shared" ca="1" si="2"/>
        <v>0</v>
      </c>
      <c r="K33" s="13" t="e">
        <f t="shared" ca="1" si="3"/>
        <v>#N/A</v>
      </c>
      <c r="L33" s="13" t="e">
        <f t="shared" ca="1" si="4"/>
        <v>#N/A</v>
      </c>
      <c r="M33" t="e">
        <f t="shared" ca="1" si="7"/>
        <v>#N/A</v>
      </c>
      <c r="N33" t="e">
        <f t="shared" ca="1" si="8"/>
        <v>#N/A</v>
      </c>
    </row>
    <row r="34" spans="1:14" x14ac:dyDescent="0.25">
      <c r="A34" s="8">
        <f t="shared" si="9"/>
        <v>0.42106481481481456</v>
      </c>
      <c r="B34" s="4">
        <f t="shared" si="10"/>
        <v>1553300380</v>
      </c>
      <c r="C34">
        <v>2</v>
      </c>
      <c r="D34">
        <v>6</v>
      </c>
      <c r="E34" t="e">
        <f ca="1">INDIRECT("E$"&amp;C34)+INDIRECT("H$"&amp;C34)*($B34-INDIRECT("B$"&amp;D34))</f>
        <v>#N/A</v>
      </c>
      <c r="F34" t="e">
        <f ca="1">INDIRECT("F$"&amp;C34)+INDIRECT("I$"&amp;C34)*($B34-INDIRECT("B$"&amp;D34))</f>
        <v>#N/A</v>
      </c>
      <c r="G34">
        <f t="shared" ca="1" si="1"/>
        <v>8229.6</v>
      </c>
      <c r="H34" s="13" t="e">
        <f t="shared" ca="1" si="2"/>
        <v>#N/A</v>
      </c>
      <c r="I34" s="13" t="e">
        <f t="shared" ca="1" si="2"/>
        <v>#N/A</v>
      </c>
      <c r="J34" s="13">
        <f t="shared" ca="1" si="2"/>
        <v>0</v>
      </c>
      <c r="K34" s="13" t="e">
        <f t="shared" ca="1" si="3"/>
        <v>#N/A</v>
      </c>
      <c r="L34" s="13" t="e">
        <f t="shared" ca="1" si="4"/>
        <v>#N/A</v>
      </c>
      <c r="M34" t="e">
        <f t="shared" ca="1" si="7"/>
        <v>#N/A</v>
      </c>
      <c r="N34" t="e">
        <f t="shared" ca="1" si="8"/>
        <v>#N/A</v>
      </c>
    </row>
    <row r="35" spans="1:14" x14ac:dyDescent="0.25">
      <c r="A35" s="8">
        <f t="shared" si="9"/>
        <v>0.42112268518518492</v>
      </c>
      <c r="B35" s="4">
        <f t="shared" si="10"/>
        <v>1553300385</v>
      </c>
      <c r="C35">
        <v>2</v>
      </c>
      <c r="D35">
        <v>6</v>
      </c>
      <c r="E35" t="e">
        <f ca="1">INDIRECT("E$"&amp;C35)+INDIRECT("H$"&amp;C35)*($B35-INDIRECT("B$"&amp;D35))</f>
        <v>#N/A</v>
      </c>
      <c r="F35" t="e">
        <f ca="1">INDIRECT("F$"&amp;C35)+INDIRECT("I$"&amp;C35)*($B35-INDIRECT("B$"&amp;D35))</f>
        <v>#N/A</v>
      </c>
      <c r="G35">
        <f t="shared" ca="1" si="1"/>
        <v>8229.6</v>
      </c>
      <c r="H35" s="13" t="e">
        <f t="shared" ca="1" si="2"/>
        <v>#N/A</v>
      </c>
      <c r="I35" s="13" t="e">
        <f t="shared" ca="1" si="2"/>
        <v>#N/A</v>
      </c>
      <c r="J35" s="13">
        <f t="shared" ca="1" si="2"/>
        <v>0</v>
      </c>
      <c r="K35" s="13" t="e">
        <f t="shared" ca="1" si="3"/>
        <v>#N/A</v>
      </c>
      <c r="L35" s="13" t="e">
        <f t="shared" ca="1" si="4"/>
        <v>#N/A</v>
      </c>
      <c r="M35" t="e">
        <f t="shared" ca="1" si="7"/>
        <v>#N/A</v>
      </c>
      <c r="N35" t="e">
        <f t="shared" ca="1" si="8"/>
        <v>#N/A</v>
      </c>
    </row>
    <row r="36" spans="1:14" x14ac:dyDescent="0.25">
      <c r="A36" s="8">
        <f t="shared" si="9"/>
        <v>0.42118055555555528</v>
      </c>
      <c r="B36" s="4">
        <f t="shared" si="10"/>
        <v>1553300390</v>
      </c>
      <c r="C36">
        <v>2</v>
      </c>
      <c r="D36">
        <v>6</v>
      </c>
      <c r="E36" t="e">
        <f t="shared" ref="E36:E52" ca="1" si="11">INDIRECT("E$"&amp;C36)+INDIRECT("H$"&amp;C36)*($B36-INDIRECT("B$"&amp;D36))</f>
        <v>#N/A</v>
      </c>
      <c r="F36" t="e">
        <f t="shared" ref="F36:F52" ca="1" si="12">INDIRECT("F$"&amp;C36)+INDIRECT("I$"&amp;C36)*($B36-INDIRECT("B$"&amp;D36))</f>
        <v>#N/A</v>
      </c>
      <c r="G36">
        <f t="shared" ca="1" si="1"/>
        <v>8229.6</v>
      </c>
      <c r="H36" s="13" t="e">
        <f t="shared" ca="1" si="2"/>
        <v>#N/A</v>
      </c>
      <c r="I36" s="13" t="e">
        <f t="shared" ca="1" si="2"/>
        <v>#N/A</v>
      </c>
      <c r="J36" s="13">
        <f t="shared" ca="1" si="2"/>
        <v>0</v>
      </c>
      <c r="K36" s="13" t="e">
        <f t="shared" ca="1" si="3"/>
        <v>#N/A</v>
      </c>
      <c r="L36" s="13" t="e">
        <f t="shared" ca="1" si="4"/>
        <v>#N/A</v>
      </c>
      <c r="M36" t="e">
        <f t="shared" ca="1" si="7"/>
        <v>#N/A</v>
      </c>
      <c r="N36" t="e">
        <f t="shared" ca="1" si="8"/>
        <v>#N/A</v>
      </c>
    </row>
    <row r="37" spans="1:14" x14ac:dyDescent="0.25">
      <c r="A37" s="8">
        <f t="shared" si="9"/>
        <v>0.42123842592592564</v>
      </c>
      <c r="B37" s="4">
        <f t="shared" si="10"/>
        <v>1553300395</v>
      </c>
      <c r="C37">
        <v>2</v>
      </c>
      <c r="D37">
        <v>6</v>
      </c>
      <c r="E37" t="e">
        <f t="shared" ca="1" si="11"/>
        <v>#N/A</v>
      </c>
      <c r="F37" t="e">
        <f t="shared" ca="1" si="12"/>
        <v>#N/A</v>
      </c>
      <c r="G37">
        <f t="shared" ca="1" si="1"/>
        <v>8229.6</v>
      </c>
      <c r="H37" s="13" t="e">
        <f t="shared" ca="1" si="2"/>
        <v>#N/A</v>
      </c>
      <c r="I37" s="13" t="e">
        <f t="shared" ca="1" si="2"/>
        <v>#N/A</v>
      </c>
      <c r="J37" s="13">
        <f t="shared" ca="1" si="2"/>
        <v>0</v>
      </c>
      <c r="K37" s="13" t="e">
        <f t="shared" ca="1" si="3"/>
        <v>#N/A</v>
      </c>
      <c r="L37" s="13" t="e">
        <f t="shared" ca="1" si="4"/>
        <v>#N/A</v>
      </c>
      <c r="M37" t="e">
        <f t="shared" ca="1" si="7"/>
        <v>#N/A</v>
      </c>
      <c r="N37" t="e">
        <f t="shared" ca="1" si="8"/>
        <v>#N/A</v>
      </c>
    </row>
    <row r="38" spans="1:14" x14ac:dyDescent="0.25">
      <c r="A38" s="8">
        <f t="shared" si="9"/>
        <v>0.421296296296296</v>
      </c>
      <c r="B38" s="4">
        <f t="shared" si="10"/>
        <v>1553300400</v>
      </c>
      <c r="C38">
        <v>2</v>
      </c>
      <c r="D38">
        <v>6</v>
      </c>
      <c r="E38" t="e">
        <f t="shared" ca="1" si="11"/>
        <v>#N/A</v>
      </c>
      <c r="F38" t="e">
        <f t="shared" ca="1" si="12"/>
        <v>#N/A</v>
      </c>
      <c r="G38">
        <f t="shared" ca="1" si="1"/>
        <v>8229.6</v>
      </c>
      <c r="H38" s="13" t="e">
        <f t="shared" ca="1" si="2"/>
        <v>#N/A</v>
      </c>
      <c r="I38" s="13" t="e">
        <f t="shared" ca="1" si="2"/>
        <v>#N/A</v>
      </c>
      <c r="J38" s="13">
        <f t="shared" ca="1" si="2"/>
        <v>0</v>
      </c>
      <c r="K38" s="13" t="e">
        <f t="shared" ca="1" si="3"/>
        <v>#N/A</v>
      </c>
      <c r="L38" s="13" t="e">
        <f t="shared" ca="1" si="4"/>
        <v>#N/A</v>
      </c>
      <c r="M38" t="e">
        <f t="shared" ca="1" si="7"/>
        <v>#N/A</v>
      </c>
      <c r="N38" t="e">
        <f t="shared" ca="1" si="8"/>
        <v>#N/A</v>
      </c>
    </row>
    <row r="39" spans="1:14" x14ac:dyDescent="0.25">
      <c r="A39" s="8">
        <f t="shared" si="9"/>
        <v>0.42135416666666636</v>
      </c>
      <c r="B39" s="4">
        <f t="shared" si="10"/>
        <v>1553300405</v>
      </c>
      <c r="C39">
        <v>2</v>
      </c>
      <c r="D39">
        <v>6</v>
      </c>
      <c r="E39" t="e">
        <f t="shared" ca="1" si="11"/>
        <v>#N/A</v>
      </c>
      <c r="F39" t="e">
        <f t="shared" ca="1" si="12"/>
        <v>#N/A</v>
      </c>
      <c r="G39">
        <f t="shared" ca="1" si="1"/>
        <v>8229.6</v>
      </c>
      <c r="H39" s="13" t="e">
        <f t="shared" ca="1" si="2"/>
        <v>#N/A</v>
      </c>
      <c r="I39" s="13" t="e">
        <f t="shared" ca="1" si="2"/>
        <v>#N/A</v>
      </c>
      <c r="J39" s="13">
        <f t="shared" ca="1" si="2"/>
        <v>0</v>
      </c>
      <c r="K39" s="13" t="e">
        <f t="shared" ca="1" si="3"/>
        <v>#N/A</v>
      </c>
      <c r="L39" s="13" t="e">
        <f t="shared" ca="1" si="4"/>
        <v>#N/A</v>
      </c>
      <c r="M39" t="e">
        <f t="shared" ca="1" si="7"/>
        <v>#N/A</v>
      </c>
      <c r="N39" t="e">
        <f t="shared" ca="1" si="8"/>
        <v>#N/A</v>
      </c>
    </row>
    <row r="40" spans="1:14" x14ac:dyDescent="0.25">
      <c r="A40" s="8">
        <f t="shared" si="9"/>
        <v>0.42141203703703672</v>
      </c>
      <c r="B40" s="4">
        <f t="shared" si="10"/>
        <v>1553300410</v>
      </c>
      <c r="C40">
        <v>2</v>
      </c>
      <c r="D40">
        <v>6</v>
      </c>
      <c r="E40" t="e">
        <f t="shared" ca="1" si="11"/>
        <v>#N/A</v>
      </c>
      <c r="F40" t="e">
        <f t="shared" ca="1" si="12"/>
        <v>#N/A</v>
      </c>
      <c r="G40">
        <f t="shared" ca="1" si="1"/>
        <v>8229.6</v>
      </c>
      <c r="H40" s="13" t="e">
        <f t="shared" ca="1" si="2"/>
        <v>#N/A</v>
      </c>
      <c r="I40" s="13" t="e">
        <f t="shared" ca="1" si="2"/>
        <v>#N/A</v>
      </c>
      <c r="J40" s="13">
        <f t="shared" ca="1" si="2"/>
        <v>0</v>
      </c>
      <c r="K40" s="13" t="e">
        <f t="shared" ca="1" si="3"/>
        <v>#N/A</v>
      </c>
      <c r="L40" s="13" t="e">
        <f t="shared" ca="1" si="4"/>
        <v>#N/A</v>
      </c>
      <c r="M40" t="e">
        <f t="shared" ca="1" si="7"/>
        <v>#N/A</v>
      </c>
      <c r="N40" t="e">
        <f t="shared" ca="1" si="8"/>
        <v>#N/A</v>
      </c>
    </row>
    <row r="41" spans="1:14" x14ac:dyDescent="0.25">
      <c r="A41" s="8">
        <f t="shared" si="9"/>
        <v>0.42146990740740709</v>
      </c>
      <c r="B41" s="4">
        <f t="shared" si="10"/>
        <v>1553300415</v>
      </c>
      <c r="C41">
        <v>2</v>
      </c>
      <c r="D41">
        <v>6</v>
      </c>
      <c r="E41" t="e">
        <f t="shared" ca="1" si="11"/>
        <v>#N/A</v>
      </c>
      <c r="F41" t="e">
        <f t="shared" ca="1" si="12"/>
        <v>#N/A</v>
      </c>
      <c r="G41">
        <f t="shared" ca="1" si="1"/>
        <v>8229.6</v>
      </c>
      <c r="H41" s="13" t="e">
        <f t="shared" ca="1" si="2"/>
        <v>#N/A</v>
      </c>
      <c r="I41" s="13" t="e">
        <f t="shared" ca="1" si="2"/>
        <v>#N/A</v>
      </c>
      <c r="J41" s="13">
        <f t="shared" ca="1" si="2"/>
        <v>0</v>
      </c>
      <c r="K41" s="13" t="e">
        <f t="shared" ca="1" si="3"/>
        <v>#N/A</v>
      </c>
      <c r="L41" s="13" t="e">
        <f t="shared" ca="1" si="4"/>
        <v>#N/A</v>
      </c>
      <c r="M41" t="e">
        <f t="shared" ca="1" si="7"/>
        <v>#N/A</v>
      </c>
      <c r="N41" t="e">
        <f t="shared" ca="1" si="8"/>
        <v>#N/A</v>
      </c>
    </row>
    <row r="42" spans="1:14" x14ac:dyDescent="0.25">
      <c r="A42" s="8">
        <f t="shared" si="9"/>
        <v>0.42152777777777745</v>
      </c>
      <c r="B42" s="4">
        <f t="shared" si="10"/>
        <v>1553300420</v>
      </c>
      <c r="C42">
        <v>2</v>
      </c>
      <c r="D42">
        <v>6</v>
      </c>
      <c r="E42" t="e">
        <f t="shared" ca="1" si="11"/>
        <v>#N/A</v>
      </c>
      <c r="F42" t="e">
        <f t="shared" ca="1" si="12"/>
        <v>#N/A</v>
      </c>
      <c r="G42">
        <f t="shared" ca="1" si="1"/>
        <v>8229.6</v>
      </c>
      <c r="H42" s="13" t="e">
        <f t="shared" ca="1" si="2"/>
        <v>#N/A</v>
      </c>
      <c r="I42" s="13" t="e">
        <f t="shared" ca="1" si="2"/>
        <v>#N/A</v>
      </c>
      <c r="J42" s="13">
        <f t="shared" ca="1" si="2"/>
        <v>0</v>
      </c>
      <c r="K42" s="13" t="e">
        <f t="shared" ca="1" si="3"/>
        <v>#N/A</v>
      </c>
      <c r="L42" s="13" t="e">
        <f t="shared" ca="1" si="4"/>
        <v>#N/A</v>
      </c>
      <c r="M42" t="e">
        <f t="shared" ca="1" si="7"/>
        <v>#N/A</v>
      </c>
      <c r="N42" t="e">
        <f t="shared" ca="1" si="8"/>
        <v>#N/A</v>
      </c>
    </row>
    <row r="43" spans="1:14" x14ac:dyDescent="0.25">
      <c r="A43" s="8">
        <f t="shared" si="9"/>
        <v>0.42158564814814781</v>
      </c>
      <c r="B43" s="4">
        <f t="shared" si="10"/>
        <v>1553300425</v>
      </c>
      <c r="C43">
        <v>2</v>
      </c>
      <c r="D43">
        <v>6</v>
      </c>
      <c r="E43" t="e">
        <f t="shared" ca="1" si="11"/>
        <v>#N/A</v>
      </c>
      <c r="F43" t="e">
        <f t="shared" ca="1" si="12"/>
        <v>#N/A</v>
      </c>
      <c r="G43">
        <f t="shared" ca="1" si="1"/>
        <v>8229.6</v>
      </c>
      <c r="H43" s="13" t="e">
        <f t="shared" ca="1" si="2"/>
        <v>#N/A</v>
      </c>
      <c r="I43" s="13" t="e">
        <f t="shared" ca="1" si="2"/>
        <v>#N/A</v>
      </c>
      <c r="J43" s="13">
        <f t="shared" ca="1" si="2"/>
        <v>0</v>
      </c>
      <c r="K43" s="13" t="e">
        <f t="shared" ca="1" si="3"/>
        <v>#N/A</v>
      </c>
      <c r="L43" s="13" t="e">
        <f t="shared" ca="1" si="4"/>
        <v>#N/A</v>
      </c>
      <c r="M43" t="e">
        <f t="shared" ca="1" si="7"/>
        <v>#N/A</v>
      </c>
      <c r="N43" t="e">
        <f t="shared" ca="1" si="8"/>
        <v>#N/A</v>
      </c>
    </row>
    <row r="44" spans="1:14" x14ac:dyDescent="0.25">
      <c r="A44" s="8">
        <f t="shared" si="9"/>
        <v>0.42164351851851817</v>
      </c>
      <c r="B44" s="4">
        <f t="shared" si="10"/>
        <v>1553300430</v>
      </c>
      <c r="C44">
        <v>2</v>
      </c>
      <c r="D44">
        <v>6</v>
      </c>
      <c r="E44" t="e">
        <f t="shared" ca="1" si="11"/>
        <v>#N/A</v>
      </c>
      <c r="F44" t="e">
        <f t="shared" ca="1" si="12"/>
        <v>#N/A</v>
      </c>
      <c r="G44">
        <f t="shared" ca="1" si="1"/>
        <v>8229.6</v>
      </c>
      <c r="H44" s="13" t="e">
        <f t="shared" ca="1" si="2"/>
        <v>#N/A</v>
      </c>
      <c r="I44" s="13" t="e">
        <f t="shared" ca="1" si="2"/>
        <v>#N/A</v>
      </c>
      <c r="J44" s="13">
        <f t="shared" ca="1" si="2"/>
        <v>0</v>
      </c>
      <c r="K44" s="13" t="e">
        <f t="shared" ca="1" si="3"/>
        <v>#N/A</v>
      </c>
      <c r="L44" s="13" t="e">
        <f t="shared" ca="1" si="4"/>
        <v>#N/A</v>
      </c>
      <c r="M44" t="e">
        <f t="shared" ca="1" si="7"/>
        <v>#N/A</v>
      </c>
      <c r="N44" t="e">
        <f t="shared" ca="1" si="8"/>
        <v>#N/A</v>
      </c>
    </row>
    <row r="45" spans="1:14" x14ac:dyDescent="0.25">
      <c r="A45" s="8">
        <f t="shared" si="9"/>
        <v>0.42170138888888853</v>
      </c>
      <c r="B45" s="4">
        <f t="shared" si="10"/>
        <v>1553300435</v>
      </c>
      <c r="C45">
        <v>2</v>
      </c>
      <c r="D45">
        <v>6</v>
      </c>
      <c r="E45" t="e">
        <f t="shared" ca="1" si="11"/>
        <v>#N/A</v>
      </c>
      <c r="F45" t="e">
        <f t="shared" ca="1" si="12"/>
        <v>#N/A</v>
      </c>
      <c r="G45">
        <f t="shared" ca="1" si="1"/>
        <v>8229.6</v>
      </c>
      <c r="H45" s="13" t="e">
        <f t="shared" ca="1" si="2"/>
        <v>#N/A</v>
      </c>
      <c r="I45" s="13" t="e">
        <f t="shared" ca="1" si="2"/>
        <v>#N/A</v>
      </c>
      <c r="J45" s="13">
        <f t="shared" ca="1" si="2"/>
        <v>0</v>
      </c>
      <c r="K45" s="13" t="e">
        <f t="shared" ca="1" si="3"/>
        <v>#N/A</v>
      </c>
      <c r="L45" s="13" t="e">
        <f t="shared" ca="1" si="4"/>
        <v>#N/A</v>
      </c>
      <c r="M45" t="e">
        <f t="shared" ca="1" si="7"/>
        <v>#N/A</v>
      </c>
      <c r="N45" t="e">
        <f t="shared" ca="1" si="8"/>
        <v>#N/A</v>
      </c>
    </row>
    <row r="46" spans="1:14" x14ac:dyDescent="0.25">
      <c r="A46" s="8">
        <f t="shared" si="9"/>
        <v>0.42175925925925889</v>
      </c>
      <c r="B46" s="4">
        <f t="shared" si="10"/>
        <v>1553300440</v>
      </c>
      <c r="C46">
        <v>2</v>
      </c>
      <c r="D46">
        <v>6</v>
      </c>
      <c r="E46" t="e">
        <f t="shared" ca="1" si="11"/>
        <v>#N/A</v>
      </c>
      <c r="F46" t="e">
        <f t="shared" ca="1" si="12"/>
        <v>#N/A</v>
      </c>
      <c r="G46">
        <f t="shared" ca="1" si="1"/>
        <v>8229.6</v>
      </c>
      <c r="H46" s="13" t="e">
        <f t="shared" ca="1" si="2"/>
        <v>#N/A</v>
      </c>
      <c r="I46" s="13" t="e">
        <f t="shared" ca="1" si="2"/>
        <v>#N/A</v>
      </c>
      <c r="J46" s="13">
        <f t="shared" ca="1" si="2"/>
        <v>0</v>
      </c>
      <c r="K46" s="13" t="e">
        <f t="shared" ca="1" si="3"/>
        <v>#N/A</v>
      </c>
      <c r="L46" s="13" t="e">
        <f t="shared" ca="1" si="4"/>
        <v>#N/A</v>
      </c>
      <c r="M46" t="e">
        <f t="shared" ca="1" si="7"/>
        <v>#N/A</v>
      </c>
      <c r="N46" t="e">
        <f t="shared" ca="1" si="8"/>
        <v>#N/A</v>
      </c>
    </row>
    <row r="47" spans="1:14" x14ac:dyDescent="0.25">
      <c r="A47" s="8">
        <f t="shared" si="9"/>
        <v>0.42181712962962925</v>
      </c>
      <c r="B47" s="4">
        <f t="shared" si="10"/>
        <v>1553300445</v>
      </c>
      <c r="C47">
        <v>2</v>
      </c>
      <c r="D47">
        <v>6</v>
      </c>
      <c r="E47" t="e">
        <f t="shared" ca="1" si="11"/>
        <v>#N/A</v>
      </c>
      <c r="F47" t="e">
        <f t="shared" ca="1" si="12"/>
        <v>#N/A</v>
      </c>
      <c r="G47">
        <f t="shared" ca="1" si="1"/>
        <v>8229.6</v>
      </c>
      <c r="H47" s="13" t="e">
        <f t="shared" ca="1" si="2"/>
        <v>#N/A</v>
      </c>
      <c r="I47" s="13" t="e">
        <f t="shared" ca="1" si="2"/>
        <v>#N/A</v>
      </c>
      <c r="J47" s="13">
        <f t="shared" ca="1" si="2"/>
        <v>0</v>
      </c>
      <c r="K47" s="13" t="e">
        <f t="shared" ca="1" si="3"/>
        <v>#N/A</v>
      </c>
      <c r="L47" s="13" t="e">
        <f t="shared" ca="1" si="4"/>
        <v>#N/A</v>
      </c>
      <c r="M47" t="e">
        <f t="shared" ca="1" si="7"/>
        <v>#N/A</v>
      </c>
      <c r="N47" t="e">
        <f t="shared" ca="1" si="8"/>
        <v>#N/A</v>
      </c>
    </row>
    <row r="48" spans="1:14" x14ac:dyDescent="0.25">
      <c r="A48" s="8">
        <f t="shared" si="9"/>
        <v>0.42187499999999961</v>
      </c>
      <c r="B48" s="4">
        <f t="shared" si="10"/>
        <v>1553300450</v>
      </c>
      <c r="C48">
        <v>2</v>
      </c>
      <c r="D48">
        <v>6</v>
      </c>
      <c r="E48" t="e">
        <f t="shared" ca="1" si="11"/>
        <v>#N/A</v>
      </c>
      <c r="F48" t="e">
        <f t="shared" ca="1" si="12"/>
        <v>#N/A</v>
      </c>
      <c r="G48">
        <f t="shared" ca="1" si="1"/>
        <v>8229.6</v>
      </c>
      <c r="H48" s="13" t="e">
        <f t="shared" ca="1" si="2"/>
        <v>#N/A</v>
      </c>
      <c r="I48" s="13" t="e">
        <f t="shared" ca="1" si="2"/>
        <v>#N/A</v>
      </c>
      <c r="J48" s="13">
        <f t="shared" ca="1" si="2"/>
        <v>0</v>
      </c>
      <c r="K48" s="13" t="e">
        <f t="shared" ca="1" si="3"/>
        <v>#N/A</v>
      </c>
      <c r="L48" s="13" t="e">
        <f t="shared" ca="1" si="4"/>
        <v>#N/A</v>
      </c>
      <c r="M48" t="e">
        <f t="shared" ca="1" si="7"/>
        <v>#N/A</v>
      </c>
      <c r="N48" t="e">
        <f t="shared" ca="1" si="8"/>
        <v>#N/A</v>
      </c>
    </row>
    <row r="49" spans="1:19" x14ac:dyDescent="0.25">
      <c r="A49" s="8">
        <f t="shared" si="9"/>
        <v>0.42193287037036997</v>
      </c>
      <c r="B49" s="4">
        <f t="shared" si="10"/>
        <v>1553300455</v>
      </c>
      <c r="C49">
        <v>2</v>
      </c>
      <c r="D49">
        <v>6</v>
      </c>
      <c r="E49" t="e">
        <f t="shared" ca="1" si="11"/>
        <v>#N/A</v>
      </c>
      <c r="F49" t="e">
        <f t="shared" ca="1" si="12"/>
        <v>#N/A</v>
      </c>
      <c r="G49">
        <f t="shared" ca="1" si="1"/>
        <v>8229.6</v>
      </c>
      <c r="H49" s="13" t="e">
        <f t="shared" ca="1" si="2"/>
        <v>#N/A</v>
      </c>
      <c r="I49" s="13" t="e">
        <f t="shared" ca="1" si="2"/>
        <v>#N/A</v>
      </c>
      <c r="J49" s="13">
        <f t="shared" ca="1" si="2"/>
        <v>0</v>
      </c>
      <c r="K49" s="13" t="e">
        <f t="shared" ca="1" si="3"/>
        <v>#N/A</v>
      </c>
      <c r="L49" s="13" t="e">
        <f t="shared" ca="1" si="4"/>
        <v>#N/A</v>
      </c>
      <c r="M49" t="e">
        <f t="shared" ca="1" si="7"/>
        <v>#N/A</v>
      </c>
      <c r="N49" t="e">
        <f t="shared" ca="1" si="8"/>
        <v>#N/A</v>
      </c>
    </row>
    <row r="50" spans="1:19" x14ac:dyDescent="0.25">
      <c r="A50" s="8">
        <f t="shared" si="9"/>
        <v>0.42199074074074033</v>
      </c>
      <c r="B50" s="4">
        <f t="shared" si="10"/>
        <v>1553300460</v>
      </c>
      <c r="C50">
        <v>2</v>
      </c>
      <c r="D50">
        <v>6</v>
      </c>
      <c r="E50" t="e">
        <f t="shared" ca="1" si="11"/>
        <v>#N/A</v>
      </c>
      <c r="F50" t="e">
        <f t="shared" ca="1" si="12"/>
        <v>#N/A</v>
      </c>
      <c r="G50">
        <f t="shared" ca="1" si="1"/>
        <v>8229.6</v>
      </c>
      <c r="H50" s="13" t="e">
        <f t="shared" ca="1" si="2"/>
        <v>#N/A</v>
      </c>
      <c r="I50" s="13" t="e">
        <f t="shared" ca="1" si="2"/>
        <v>#N/A</v>
      </c>
      <c r="J50" s="13">
        <f t="shared" ca="1" si="2"/>
        <v>0</v>
      </c>
      <c r="K50" s="13" t="e">
        <f t="shared" ca="1" si="3"/>
        <v>#N/A</v>
      </c>
      <c r="L50" s="13" t="e">
        <f t="shared" ca="1" si="4"/>
        <v>#N/A</v>
      </c>
      <c r="M50" t="e">
        <f t="shared" ca="1" si="7"/>
        <v>#N/A</v>
      </c>
      <c r="N50" t="e">
        <f t="shared" ca="1" si="8"/>
        <v>#N/A</v>
      </c>
    </row>
    <row r="51" spans="1:19" x14ac:dyDescent="0.25">
      <c r="A51" s="8">
        <f t="shared" si="9"/>
        <v>0.42204861111111069</v>
      </c>
      <c r="B51" s="4">
        <f t="shared" si="10"/>
        <v>1553300465</v>
      </c>
      <c r="C51">
        <v>2</v>
      </c>
      <c r="D51">
        <v>6</v>
      </c>
      <c r="E51" t="e">
        <f t="shared" ca="1" si="11"/>
        <v>#N/A</v>
      </c>
      <c r="F51" t="e">
        <f t="shared" ca="1" si="12"/>
        <v>#N/A</v>
      </c>
      <c r="G51">
        <f t="shared" ca="1" si="1"/>
        <v>8229.6</v>
      </c>
      <c r="H51" s="13" t="e">
        <f t="shared" ca="1" si="2"/>
        <v>#N/A</v>
      </c>
      <c r="I51" s="13" t="e">
        <f t="shared" ca="1" si="2"/>
        <v>#N/A</v>
      </c>
      <c r="J51" s="13">
        <f t="shared" ca="1" si="2"/>
        <v>0</v>
      </c>
      <c r="K51" s="13" t="e">
        <f t="shared" ca="1" si="3"/>
        <v>#N/A</v>
      </c>
      <c r="L51" s="13" t="e">
        <f t="shared" ca="1" si="4"/>
        <v>#N/A</v>
      </c>
      <c r="M51" t="e">
        <f t="shared" ca="1" si="7"/>
        <v>#N/A</v>
      </c>
      <c r="N51" t="e">
        <f t="shared" ca="1" si="8"/>
        <v>#N/A</v>
      </c>
      <c r="P51" t="s">
        <v>21</v>
      </c>
      <c r="Q51" t="s">
        <v>30</v>
      </c>
      <c r="R51" t="s">
        <v>50</v>
      </c>
      <c r="S51" t="s">
        <v>51</v>
      </c>
    </row>
    <row r="52" spans="1:19" x14ac:dyDescent="0.25">
      <c r="A52" s="8">
        <f>A51+5/24/3600</f>
        <v>0.42210648148148106</v>
      </c>
      <c r="B52" s="4">
        <f t="shared" si="10"/>
        <v>1553300470</v>
      </c>
      <c r="C52">
        <v>2</v>
      </c>
      <c r="D52">
        <v>6</v>
      </c>
      <c r="E52" t="e">
        <f t="shared" ca="1" si="11"/>
        <v>#N/A</v>
      </c>
      <c r="F52" t="e">
        <f t="shared" ca="1" si="12"/>
        <v>#N/A</v>
      </c>
      <c r="G52">
        <f t="shared" ca="1" si="1"/>
        <v>8229.6</v>
      </c>
      <c r="H52" s="13" t="e">
        <f t="shared" ca="1" si="2"/>
        <v>#N/A</v>
      </c>
      <c r="I52" s="13" t="e">
        <f t="shared" ca="1" si="2"/>
        <v>#N/A</v>
      </c>
      <c r="J52" s="13">
        <f t="shared" ca="1" si="2"/>
        <v>0</v>
      </c>
      <c r="K52" s="13" t="e">
        <f t="shared" ca="1" si="3"/>
        <v>#N/A</v>
      </c>
      <c r="L52" s="13" t="e">
        <f t="shared" ca="1" si="4"/>
        <v>#N/A</v>
      </c>
      <c r="M52" t="e">
        <f t="shared" ca="1" si="7"/>
        <v>#N/A</v>
      </c>
      <c r="N52" t="e">
        <f t="shared" ca="1" si="8"/>
        <v>#N/A</v>
      </c>
      <c r="O52">
        <f>(B52-B52)/(B56-B52)</f>
        <v>0</v>
      </c>
      <c r="P52" t="e">
        <f ca="1">(1-$O52)*(1-$O52)*E52+2*$O52*(1-$O52)*INDIRECT("E"&amp;C54)+$O52*$O52*E56</f>
        <v>#N/A</v>
      </c>
      <c r="Q52" t="e">
        <f ca="1">(1-$O52)*(1-$O52)*F52+2*$O52*(1-$O52)*INDIRECT("F"&amp;C54)+$O52*$O52*F56</f>
        <v>#N/A</v>
      </c>
      <c r="R52" t="e">
        <f ca="1">(1-$O52)*(1-$O52)*M52+2*$O52*(1-$O52)*INDIRECT("M"&amp;C54)+$O52*$O52*M56</f>
        <v>#N/A</v>
      </c>
      <c r="S52" t="e">
        <f ca="1">(1-$O52)*(1-$O52)*N52+2*$O52*(1-$O52)*INDIRECT("N"&amp;C54)+$O52*$O52*N56</f>
        <v>#N/A</v>
      </c>
    </row>
    <row r="53" spans="1:19" x14ac:dyDescent="0.25">
      <c r="A53" s="8">
        <f t="shared" si="9"/>
        <v>0.42216435185185142</v>
      </c>
      <c r="B53" s="4">
        <f t="shared" si="10"/>
        <v>1553300475</v>
      </c>
      <c r="C53">
        <v>2</v>
      </c>
      <c r="D53">
        <v>6</v>
      </c>
      <c r="E53" t="e">
        <f t="shared" ref="E53:F55" ca="1" si="13">P53</f>
        <v>#N/A</v>
      </c>
      <c r="F53" t="e">
        <f t="shared" ca="1" si="13"/>
        <v>#N/A</v>
      </c>
      <c r="G53">
        <f t="shared" ca="1" si="1"/>
        <v>8229.6</v>
      </c>
      <c r="H53" s="13" t="e">
        <f t="shared" ca="1" si="2"/>
        <v>#N/A</v>
      </c>
      <c r="I53" s="13" t="e">
        <f t="shared" ca="1" si="2"/>
        <v>#N/A</v>
      </c>
      <c r="J53" s="13">
        <f t="shared" ca="1" si="2"/>
        <v>0</v>
      </c>
      <c r="K53" s="13" t="e">
        <f t="shared" ca="1" si="3"/>
        <v>#N/A</v>
      </c>
      <c r="L53" s="13" t="e">
        <f t="shared" ca="1" si="4"/>
        <v>#N/A</v>
      </c>
      <c r="M53" t="e">
        <f ca="1">R53</f>
        <v>#N/A</v>
      </c>
      <c r="N53" t="e">
        <f ca="1">S53</f>
        <v>#N/A</v>
      </c>
      <c r="O53">
        <f>(B53-B52)/(B56-B52)</f>
        <v>0.25</v>
      </c>
      <c r="P53" t="e">
        <f ca="1">(1-$O53)*(1-$O53)*E52+2*$O53*(1-$O53)*INDIRECT("E"&amp;C54)+$O53*$O53*E56</f>
        <v>#N/A</v>
      </c>
      <c r="Q53" t="e">
        <f ca="1">(1-$O53)*(1-$O53)*F52+2*$O53*(1-$O53)*INDIRECT("F"&amp;C54)+$O53*$O53*F56</f>
        <v>#N/A</v>
      </c>
      <c r="R53" t="e">
        <f ca="1">(1-$O53)*(1-$O53)*M52+2*$O53*(1-$O53)*INDIRECT("M"&amp;C54)+$O53*$O53*M56</f>
        <v>#N/A</v>
      </c>
      <c r="S53" t="e">
        <f ca="1">(1-$O53)*(1-$O53)*N52+2*$O53*(1-$O53)*INDIRECT("N"&amp;C54)+$O53*$O53*N56</f>
        <v>#N/A</v>
      </c>
    </row>
    <row r="54" spans="1:19" x14ac:dyDescent="0.25">
      <c r="A54" s="9">
        <f t="shared" si="9"/>
        <v>0.42222222222222178</v>
      </c>
      <c r="B54" s="4">
        <f t="shared" si="10"/>
        <v>1553300480</v>
      </c>
      <c r="C54">
        <v>3</v>
      </c>
      <c r="D54">
        <v>54</v>
      </c>
      <c r="E54" t="e">
        <f t="shared" ca="1" si="13"/>
        <v>#N/A</v>
      </c>
      <c r="F54" t="e">
        <f t="shared" ca="1" si="13"/>
        <v>#N/A</v>
      </c>
      <c r="G54">
        <f t="shared" ca="1" si="1"/>
        <v>8229.6</v>
      </c>
      <c r="H54" s="13" t="e">
        <f t="shared" ca="1" si="2"/>
        <v>#N/A</v>
      </c>
      <c r="I54" s="13" t="e">
        <f t="shared" ca="1" si="2"/>
        <v>#N/A</v>
      </c>
      <c r="J54" s="13">
        <f t="shared" ca="1" si="2"/>
        <v>-2.177142857142826</v>
      </c>
      <c r="K54" s="13" t="e">
        <f t="shared" ca="1" si="3"/>
        <v>#N/A</v>
      </c>
      <c r="L54" s="13" t="e">
        <f t="shared" ca="1" si="4"/>
        <v>#N/A</v>
      </c>
      <c r="M54" t="e">
        <f t="shared" ref="M54:N55" ca="1" si="14">R54</f>
        <v>#N/A</v>
      </c>
      <c r="N54" t="e">
        <f t="shared" ca="1" si="14"/>
        <v>#N/A</v>
      </c>
      <c r="O54">
        <f>(B54-B52)/(B56-B52)</f>
        <v>0.5</v>
      </c>
      <c r="P54" t="e">
        <f ca="1">(1-$O54)*(1-$O54)*E52+2*$O54*(1-$O54)*INDIRECT("E"&amp;C54)+$O54*$O54*E56</f>
        <v>#N/A</v>
      </c>
      <c r="Q54" t="e">
        <f ca="1">(1-$O54)*(1-$O54)*F52+2*$O54*(1-$O54)*INDIRECT("F"&amp;C54)+$O54*$O54*F56</f>
        <v>#N/A</v>
      </c>
      <c r="R54" t="e">
        <f ca="1">(1-$O54)*(1-$O54)*M52+2*$O54*(1-$O54)*INDIRECT("M"&amp;C54)+$O54*$O54*M56</f>
        <v>#N/A</v>
      </c>
      <c r="S54" t="e">
        <f ca="1">(1-$O54)*(1-$O54)*N52+2*$O54*(1-$O54)*INDIRECT("N"&amp;C54)+$O54*$O54*N56</f>
        <v>#N/A</v>
      </c>
    </row>
    <row r="55" spans="1:19" x14ac:dyDescent="0.25">
      <c r="A55" s="8">
        <f t="shared" si="9"/>
        <v>0.42228009259259214</v>
      </c>
      <c r="B55" s="4">
        <f t="shared" si="10"/>
        <v>1553300485</v>
      </c>
      <c r="C55">
        <v>3</v>
      </c>
      <c r="D55">
        <v>54</v>
      </c>
      <c r="E55" t="e">
        <f t="shared" ca="1" si="13"/>
        <v>#N/A</v>
      </c>
      <c r="F55" t="e">
        <f t="shared" ca="1" si="13"/>
        <v>#N/A</v>
      </c>
      <c r="G55">
        <f t="shared" ca="1" si="1"/>
        <v>8218.7142857142862</v>
      </c>
      <c r="H55" s="13" t="e">
        <f t="shared" ca="1" si="2"/>
        <v>#N/A</v>
      </c>
      <c r="I55" s="13" t="e">
        <f t="shared" ca="1" si="2"/>
        <v>#N/A</v>
      </c>
      <c r="J55" s="13">
        <f t="shared" ca="1" si="2"/>
        <v>-2.177142857142826</v>
      </c>
      <c r="K55" s="13" t="e">
        <f t="shared" ca="1" si="3"/>
        <v>#N/A</v>
      </c>
      <c r="L55" s="13" t="e">
        <f t="shared" ca="1" si="4"/>
        <v>#N/A</v>
      </c>
      <c r="M55" t="e">
        <f t="shared" ca="1" si="14"/>
        <v>#N/A</v>
      </c>
      <c r="N55" t="e">
        <f t="shared" ca="1" si="14"/>
        <v>#N/A</v>
      </c>
      <c r="O55">
        <f>(B55-B52)/(B56-B52)</f>
        <v>0.75</v>
      </c>
      <c r="P55" t="e">
        <f ca="1">(1-$O55)*(1-$O55)*E52+2*$O55*(1-$O55)*INDIRECT("E"&amp;C54)+$O55*$O55*E56</f>
        <v>#N/A</v>
      </c>
      <c r="Q55" t="e">
        <f ca="1">(1-$O55)*(1-$O55)*F52+2*$O55*(1-$O55)*INDIRECT("F"&amp;C54)+$O55*$O55*F56</f>
        <v>#N/A</v>
      </c>
      <c r="R55" t="e">
        <f ca="1">(1-$O55)*(1-$O55)*M52+2*$O55*(1-$O55)*INDIRECT("M"&amp;C54)+$O55*$O55*M56</f>
        <v>#N/A</v>
      </c>
      <c r="S55" t="e">
        <f ca="1">(1-$O55)*(1-$O55)*N52+2*$O55*(1-$O55)*INDIRECT("N"&amp;C54)+$O55*$O55*N56</f>
        <v>#N/A</v>
      </c>
    </row>
    <row r="56" spans="1:19" x14ac:dyDescent="0.25">
      <c r="A56" s="8">
        <f t="shared" si="9"/>
        <v>0.4223379629629625</v>
      </c>
      <c r="B56" s="4">
        <f t="shared" si="10"/>
        <v>1553300490</v>
      </c>
      <c r="C56">
        <v>3</v>
      </c>
      <c r="D56">
        <v>54</v>
      </c>
      <c r="E56" t="e">
        <f t="shared" ref="E56" ca="1" si="15">INDIRECT("E$"&amp;C56)+INDIRECT("H$"&amp;C56)*($B56-INDIRECT("B$"&amp;D56))</f>
        <v>#N/A</v>
      </c>
      <c r="F56" t="e">
        <f t="shared" ref="F56" ca="1" si="16">INDIRECT("F$"&amp;C56)+INDIRECT("I$"&amp;C56)*($B56-INDIRECT("B$"&amp;D56))</f>
        <v>#N/A</v>
      </c>
      <c r="G56">
        <f t="shared" ca="1" si="1"/>
        <v>8207.8285714285721</v>
      </c>
      <c r="H56" s="13" t="e">
        <f t="shared" ca="1" si="2"/>
        <v>#N/A</v>
      </c>
      <c r="I56" s="13" t="e">
        <f t="shared" ca="1" si="2"/>
        <v>#N/A</v>
      </c>
      <c r="J56" s="13">
        <f t="shared" ca="1" si="2"/>
        <v>-2.177142857142826</v>
      </c>
      <c r="K56" s="13" t="e">
        <f t="shared" ca="1" si="3"/>
        <v>#N/A</v>
      </c>
      <c r="L56" s="13" t="e">
        <f t="shared" ca="1" si="4"/>
        <v>#N/A</v>
      </c>
      <c r="M56" t="e">
        <f t="shared" ref="M56" ca="1" si="17">INDIRECT("M$"&amp;C56)+INDIRECT("O$"&amp;C56)*($B56-INDIRECT("B$"&amp;D56))</f>
        <v>#N/A</v>
      </c>
      <c r="N56" t="e">
        <f t="shared" ref="N56" ca="1" si="18">INDIRECT("N$"&amp;C56)+INDIRECT("P$"&amp;C56)*($B56-INDIRECT("B$"&amp;D56))</f>
        <v>#N/A</v>
      </c>
      <c r="O56">
        <f>(B56-B52)/(B56-B52)</f>
        <v>1</v>
      </c>
      <c r="P56" t="e">
        <f ca="1">(1-$O56)*(1-$O56)*E52+2*$O56*(1-$O56)*INDIRECT("E"&amp;C54)+$O56*$O56*E56</f>
        <v>#N/A</v>
      </c>
      <c r="Q56" t="e">
        <f ca="1">(1-$O56)*(1-$O56)*F52+2*$O56*(1-$O56)*INDIRECT("F"&amp;C54)+$O56*$O56*F56</f>
        <v>#N/A</v>
      </c>
      <c r="R56" t="e">
        <f ca="1">(1-$O56)*(1-$O56)*M52+2*$O56*(1-$O56)*INDIRECT("M"&amp;C54)+$O56*$O56*M56</f>
        <v>#N/A</v>
      </c>
      <c r="S56" t="e">
        <f ca="1">(1-$O56)*(1-$O56)*N52+2*$O56*(1-$O56)*INDIRECT("N"&amp;C54)+$O56*$O56*N56</f>
        <v>#N/A</v>
      </c>
    </row>
    <row r="57" spans="1:19" x14ac:dyDescent="0.25">
      <c r="A57" s="8">
        <f t="shared" si="9"/>
        <v>0.42239583333333286</v>
      </c>
      <c r="B57" s="4">
        <f t="shared" si="10"/>
        <v>1553300495</v>
      </c>
      <c r="C57">
        <v>3</v>
      </c>
      <c r="D57">
        <v>54</v>
      </c>
      <c r="E57" t="e">
        <f t="shared" ref="E57:E120" ca="1" si="19">INDIRECT("E$"&amp;C57)+INDIRECT("H$"&amp;C57)*($B57-INDIRECT("B$"&amp;D57))</f>
        <v>#N/A</v>
      </c>
      <c r="F57" t="e">
        <f t="shared" ref="F57:F120" ca="1" si="20">INDIRECT("F$"&amp;C57)+INDIRECT("I$"&amp;C57)*($B57-INDIRECT("B$"&amp;D57))</f>
        <v>#N/A</v>
      </c>
      <c r="G57">
        <f t="shared" ca="1" si="1"/>
        <v>8196.942857142858</v>
      </c>
      <c r="H57" s="13" t="e">
        <f t="shared" ca="1" si="2"/>
        <v>#N/A</v>
      </c>
      <c r="I57" s="13" t="e">
        <f t="shared" ca="1" si="2"/>
        <v>#N/A</v>
      </c>
      <c r="J57" s="13">
        <f t="shared" ca="1" si="2"/>
        <v>-2.177142857143008</v>
      </c>
      <c r="K57" s="13" t="e">
        <f t="shared" ca="1" si="3"/>
        <v>#N/A</v>
      </c>
      <c r="L57" s="13" t="e">
        <f t="shared" ca="1" si="4"/>
        <v>#N/A</v>
      </c>
      <c r="M57" t="e">
        <f t="shared" ref="M57:M120" ca="1" si="21">INDIRECT("M$"&amp;C57)+INDIRECT("O$"&amp;C57)*($B57-INDIRECT("B$"&amp;D57))</f>
        <v>#N/A</v>
      </c>
      <c r="N57" t="e">
        <f t="shared" ref="N57:N120" ca="1" si="22">INDIRECT("N$"&amp;C57)+INDIRECT("P$"&amp;C57)*($B57-INDIRECT("B$"&amp;D57))</f>
        <v>#N/A</v>
      </c>
    </row>
    <row r="58" spans="1:19" x14ac:dyDescent="0.25">
      <c r="A58" s="8">
        <f t="shared" si="9"/>
        <v>0.42245370370370322</v>
      </c>
      <c r="B58" s="4">
        <f t="shared" si="10"/>
        <v>1553300500</v>
      </c>
      <c r="C58">
        <v>3</v>
      </c>
      <c r="D58">
        <v>54</v>
      </c>
      <c r="E58" t="e">
        <f t="shared" ca="1" si="19"/>
        <v>#N/A</v>
      </c>
      <c r="F58" t="e">
        <f t="shared" ca="1" si="20"/>
        <v>#N/A</v>
      </c>
      <c r="G58">
        <f t="shared" ca="1" si="1"/>
        <v>8186.0571428571429</v>
      </c>
      <c r="H58" s="13" t="e">
        <f t="shared" ca="1" si="2"/>
        <v>#N/A</v>
      </c>
      <c r="I58" s="13" t="e">
        <f t="shared" ca="1" si="2"/>
        <v>#N/A</v>
      </c>
      <c r="J58" s="13">
        <f t="shared" ca="1" si="2"/>
        <v>-2.177142857142826</v>
      </c>
      <c r="K58" s="13" t="e">
        <f t="shared" ca="1" si="3"/>
        <v>#N/A</v>
      </c>
      <c r="L58" s="13" t="e">
        <f t="shared" ca="1" si="4"/>
        <v>#N/A</v>
      </c>
      <c r="M58" t="e">
        <f t="shared" ca="1" si="21"/>
        <v>#N/A</v>
      </c>
      <c r="N58" t="e">
        <f t="shared" ca="1" si="22"/>
        <v>#N/A</v>
      </c>
    </row>
    <row r="59" spans="1:19" x14ac:dyDescent="0.25">
      <c r="A59" s="8">
        <f t="shared" si="9"/>
        <v>0.42251157407407358</v>
      </c>
      <c r="B59" s="4">
        <f t="shared" si="10"/>
        <v>1553300505</v>
      </c>
      <c r="C59">
        <v>3</v>
      </c>
      <c r="D59">
        <v>54</v>
      </c>
      <c r="E59" t="e">
        <f t="shared" ca="1" si="19"/>
        <v>#N/A</v>
      </c>
      <c r="F59" t="e">
        <f t="shared" ca="1" si="20"/>
        <v>#N/A</v>
      </c>
      <c r="G59">
        <f t="shared" ca="1" si="1"/>
        <v>8175.1714285714288</v>
      </c>
      <c r="H59" s="13" t="e">
        <f t="shared" ca="1" si="2"/>
        <v>#N/A</v>
      </c>
      <c r="I59" s="13" t="e">
        <f t="shared" ca="1" si="2"/>
        <v>#N/A</v>
      </c>
      <c r="J59" s="13">
        <f t="shared" ca="1" si="2"/>
        <v>-2.177142857142826</v>
      </c>
      <c r="K59" s="13" t="e">
        <f t="shared" ca="1" si="3"/>
        <v>#N/A</v>
      </c>
      <c r="L59" s="13" t="e">
        <f t="shared" ca="1" si="4"/>
        <v>#N/A</v>
      </c>
      <c r="M59" t="e">
        <f t="shared" ca="1" si="21"/>
        <v>#N/A</v>
      </c>
      <c r="N59" t="e">
        <f t="shared" ca="1" si="22"/>
        <v>#N/A</v>
      </c>
    </row>
    <row r="60" spans="1:19" x14ac:dyDescent="0.25">
      <c r="A60" s="8">
        <f t="shared" si="9"/>
        <v>0.42256944444444394</v>
      </c>
      <c r="B60" s="4">
        <f t="shared" si="10"/>
        <v>1553300510</v>
      </c>
      <c r="C60">
        <v>3</v>
      </c>
      <c r="D60">
        <v>54</v>
      </c>
      <c r="E60" t="e">
        <f t="shared" ca="1" si="19"/>
        <v>#N/A</v>
      </c>
      <c r="F60" t="e">
        <f t="shared" ca="1" si="20"/>
        <v>#N/A</v>
      </c>
      <c r="G60">
        <f t="shared" ca="1" si="1"/>
        <v>8164.2857142857147</v>
      </c>
      <c r="H60" s="13" t="e">
        <f t="shared" ca="1" si="2"/>
        <v>#N/A</v>
      </c>
      <c r="I60" s="13" t="e">
        <f t="shared" ca="1" si="2"/>
        <v>#N/A</v>
      </c>
      <c r="J60" s="13">
        <f t="shared" ca="1" si="2"/>
        <v>-2.177142857142826</v>
      </c>
      <c r="K60" s="13" t="e">
        <f t="shared" ca="1" si="3"/>
        <v>#N/A</v>
      </c>
      <c r="L60" s="13" t="e">
        <f t="shared" ca="1" si="4"/>
        <v>#N/A</v>
      </c>
      <c r="M60" t="e">
        <f t="shared" ca="1" si="21"/>
        <v>#N/A</v>
      </c>
      <c r="N60" t="e">
        <f t="shared" ca="1" si="22"/>
        <v>#N/A</v>
      </c>
    </row>
    <row r="61" spans="1:19" x14ac:dyDescent="0.25">
      <c r="A61" s="8">
        <f t="shared" si="9"/>
        <v>0.4226273148148143</v>
      </c>
      <c r="B61" s="4">
        <f t="shared" si="10"/>
        <v>1553300515</v>
      </c>
      <c r="C61">
        <v>3</v>
      </c>
      <c r="D61">
        <v>54</v>
      </c>
      <c r="E61" t="e">
        <f t="shared" ca="1" si="19"/>
        <v>#N/A</v>
      </c>
      <c r="F61" t="e">
        <f t="shared" ca="1" si="20"/>
        <v>#N/A</v>
      </c>
      <c r="G61">
        <f t="shared" ca="1" si="1"/>
        <v>8153.4000000000005</v>
      </c>
      <c r="H61" s="13" t="e">
        <f t="shared" ca="1" si="2"/>
        <v>#N/A</v>
      </c>
      <c r="I61" s="13" t="e">
        <f t="shared" ca="1" si="2"/>
        <v>#N/A</v>
      </c>
      <c r="J61" s="13">
        <f t="shared" ca="1" si="2"/>
        <v>-2.177142857142826</v>
      </c>
      <c r="K61" s="13" t="e">
        <f t="shared" ca="1" si="3"/>
        <v>#N/A</v>
      </c>
      <c r="L61" s="13" t="e">
        <f t="shared" ca="1" si="4"/>
        <v>#N/A</v>
      </c>
      <c r="M61" t="e">
        <f t="shared" ca="1" si="21"/>
        <v>#N/A</v>
      </c>
      <c r="N61" t="e">
        <f t="shared" ca="1" si="22"/>
        <v>#N/A</v>
      </c>
    </row>
    <row r="62" spans="1:19" x14ac:dyDescent="0.25">
      <c r="A62" s="8">
        <f t="shared" si="9"/>
        <v>0.42268518518518466</v>
      </c>
      <c r="B62" s="4">
        <f t="shared" si="10"/>
        <v>1553300520</v>
      </c>
      <c r="C62">
        <v>3</v>
      </c>
      <c r="D62">
        <v>54</v>
      </c>
      <c r="E62" t="e">
        <f t="shared" ca="1" si="19"/>
        <v>#N/A</v>
      </c>
      <c r="F62" t="e">
        <f t="shared" ca="1" si="20"/>
        <v>#N/A</v>
      </c>
      <c r="G62">
        <f t="shared" ca="1" si="1"/>
        <v>8142.5142857142864</v>
      </c>
      <c r="H62" s="13" t="e">
        <f t="shared" ca="1" si="2"/>
        <v>#N/A</v>
      </c>
      <c r="I62" s="13" t="e">
        <f t="shared" ca="1" si="2"/>
        <v>#N/A</v>
      </c>
      <c r="J62" s="13">
        <f t="shared" ca="1" si="2"/>
        <v>-2.177142857143008</v>
      </c>
      <c r="K62" s="13" t="e">
        <f t="shared" ca="1" si="3"/>
        <v>#N/A</v>
      </c>
      <c r="L62" s="13" t="e">
        <f t="shared" ca="1" si="4"/>
        <v>#N/A</v>
      </c>
      <c r="M62" t="e">
        <f t="shared" ca="1" si="21"/>
        <v>#N/A</v>
      </c>
      <c r="N62" t="e">
        <f t="shared" ca="1" si="22"/>
        <v>#N/A</v>
      </c>
    </row>
    <row r="63" spans="1:19" x14ac:dyDescent="0.25">
      <c r="A63" s="8">
        <f t="shared" si="9"/>
        <v>0.42274305555555503</v>
      </c>
      <c r="B63" s="4">
        <f t="shared" si="10"/>
        <v>1553300525</v>
      </c>
      <c r="C63">
        <v>3</v>
      </c>
      <c r="D63">
        <v>54</v>
      </c>
      <c r="E63" t="e">
        <f t="shared" ca="1" si="19"/>
        <v>#N/A</v>
      </c>
      <c r="F63" t="e">
        <f t="shared" ca="1" si="20"/>
        <v>#N/A</v>
      </c>
      <c r="G63">
        <f t="shared" ca="1" si="1"/>
        <v>8131.6285714285714</v>
      </c>
      <c r="H63" s="13" t="e">
        <f t="shared" ca="1" si="2"/>
        <v>#N/A</v>
      </c>
      <c r="I63" s="13" t="e">
        <f t="shared" ca="1" si="2"/>
        <v>#N/A</v>
      </c>
      <c r="J63" s="13">
        <f t="shared" ca="1" si="2"/>
        <v>-2.177142857142826</v>
      </c>
      <c r="K63" s="13" t="e">
        <f t="shared" ca="1" si="3"/>
        <v>#N/A</v>
      </c>
      <c r="L63" s="13" t="e">
        <f t="shared" ca="1" si="4"/>
        <v>#N/A</v>
      </c>
      <c r="M63" t="e">
        <f t="shared" ca="1" si="21"/>
        <v>#N/A</v>
      </c>
      <c r="N63" t="e">
        <f t="shared" ca="1" si="22"/>
        <v>#N/A</v>
      </c>
    </row>
    <row r="64" spans="1:19" x14ac:dyDescent="0.25">
      <c r="A64" s="8">
        <f t="shared" si="9"/>
        <v>0.42280092592592539</v>
      </c>
      <c r="B64" s="4">
        <f t="shared" si="10"/>
        <v>1553300530</v>
      </c>
      <c r="C64">
        <v>3</v>
      </c>
      <c r="D64">
        <v>54</v>
      </c>
      <c r="E64" t="e">
        <f t="shared" ca="1" si="19"/>
        <v>#N/A</v>
      </c>
      <c r="F64" t="e">
        <f t="shared" ca="1" si="20"/>
        <v>#N/A</v>
      </c>
      <c r="G64">
        <f t="shared" ca="1" si="1"/>
        <v>8120.7428571428572</v>
      </c>
      <c r="H64" s="13" t="e">
        <f t="shared" ca="1" si="2"/>
        <v>#N/A</v>
      </c>
      <c r="I64" s="13" t="e">
        <f t="shared" ca="1" si="2"/>
        <v>#N/A</v>
      </c>
      <c r="J64" s="13">
        <f t="shared" ca="1" si="2"/>
        <v>-2.177142857142826</v>
      </c>
      <c r="K64" s="13" t="e">
        <f t="shared" ca="1" si="3"/>
        <v>#N/A</v>
      </c>
      <c r="L64" s="13" t="e">
        <f t="shared" ca="1" si="4"/>
        <v>#N/A</v>
      </c>
      <c r="M64" t="e">
        <f t="shared" ca="1" si="21"/>
        <v>#N/A</v>
      </c>
      <c r="N64" t="e">
        <f t="shared" ca="1" si="22"/>
        <v>#N/A</v>
      </c>
    </row>
    <row r="65" spans="1:14" x14ac:dyDescent="0.25">
      <c r="A65" s="8">
        <f t="shared" si="9"/>
        <v>0.42285879629629575</v>
      </c>
      <c r="B65" s="4">
        <f t="shared" si="10"/>
        <v>1553300535</v>
      </c>
      <c r="C65">
        <v>3</v>
      </c>
      <c r="D65">
        <v>54</v>
      </c>
      <c r="E65" t="e">
        <f t="shared" ca="1" si="19"/>
        <v>#N/A</v>
      </c>
      <c r="F65" t="e">
        <f t="shared" ca="1" si="20"/>
        <v>#N/A</v>
      </c>
      <c r="G65">
        <f t="shared" ca="1" si="1"/>
        <v>8109.8571428571431</v>
      </c>
      <c r="H65" s="13" t="e">
        <f t="shared" ca="1" si="2"/>
        <v>#N/A</v>
      </c>
      <c r="I65" s="13" t="e">
        <f t="shared" ca="1" si="2"/>
        <v>#N/A</v>
      </c>
      <c r="J65" s="13">
        <f t="shared" ca="1" si="2"/>
        <v>-2.177142857142826</v>
      </c>
      <c r="K65" s="13" t="e">
        <f t="shared" ca="1" si="3"/>
        <v>#N/A</v>
      </c>
      <c r="L65" s="13" t="e">
        <f t="shared" ca="1" si="4"/>
        <v>#N/A</v>
      </c>
      <c r="M65" t="e">
        <f t="shared" ca="1" si="21"/>
        <v>#N/A</v>
      </c>
      <c r="N65" t="e">
        <f t="shared" ca="1" si="22"/>
        <v>#N/A</v>
      </c>
    </row>
    <row r="66" spans="1:14" x14ac:dyDescent="0.25">
      <c r="A66" s="8">
        <f t="shared" si="9"/>
        <v>0.42291666666666611</v>
      </c>
      <c r="B66" s="4">
        <f t="shared" si="10"/>
        <v>1553300540</v>
      </c>
      <c r="C66">
        <v>3</v>
      </c>
      <c r="D66">
        <v>54</v>
      </c>
      <c r="E66" t="e">
        <f t="shared" ca="1" si="19"/>
        <v>#N/A</v>
      </c>
      <c r="F66" t="e">
        <f t="shared" ca="1" si="20"/>
        <v>#N/A</v>
      </c>
      <c r="G66">
        <f t="shared" ca="1" si="1"/>
        <v>8098.971428571429</v>
      </c>
      <c r="H66" s="13" t="e">
        <f t="shared" ca="1" si="2"/>
        <v>#N/A</v>
      </c>
      <c r="I66" s="13" t="e">
        <f t="shared" ca="1" si="2"/>
        <v>#N/A</v>
      </c>
      <c r="J66" s="13">
        <f t="shared" ca="1" si="2"/>
        <v>-2.177142857142826</v>
      </c>
      <c r="K66" s="13" t="e">
        <f t="shared" ca="1" si="3"/>
        <v>#N/A</v>
      </c>
      <c r="L66" s="13" t="e">
        <f t="shared" ca="1" si="4"/>
        <v>#N/A</v>
      </c>
      <c r="M66" t="e">
        <f t="shared" ca="1" si="21"/>
        <v>#N/A</v>
      </c>
      <c r="N66" t="e">
        <f t="shared" ca="1" si="22"/>
        <v>#N/A</v>
      </c>
    </row>
    <row r="67" spans="1:14" x14ac:dyDescent="0.25">
      <c r="A67" s="8">
        <f t="shared" si="9"/>
        <v>0.42297453703703647</v>
      </c>
      <c r="B67" s="4">
        <f t="shared" si="10"/>
        <v>1553300545</v>
      </c>
      <c r="C67">
        <v>3</v>
      </c>
      <c r="D67">
        <v>54</v>
      </c>
      <c r="E67" t="e">
        <f t="shared" ca="1" si="19"/>
        <v>#N/A</v>
      </c>
      <c r="F67" t="e">
        <f t="shared" ca="1" si="20"/>
        <v>#N/A</v>
      </c>
      <c r="G67">
        <f t="shared" ca="1" si="1"/>
        <v>8088.0857142857149</v>
      </c>
      <c r="H67" s="13" t="e">
        <f t="shared" ca="1" si="2"/>
        <v>#N/A</v>
      </c>
      <c r="I67" s="13" t="e">
        <f t="shared" ca="1" si="2"/>
        <v>#N/A</v>
      </c>
      <c r="J67" s="13">
        <f t="shared" ca="1" si="2"/>
        <v>-2.177142857142826</v>
      </c>
      <c r="K67" s="13" t="e">
        <f t="shared" ca="1" si="3"/>
        <v>#N/A</v>
      </c>
      <c r="L67" s="13" t="e">
        <f t="shared" ca="1" si="4"/>
        <v>#N/A</v>
      </c>
      <c r="M67" t="e">
        <f t="shared" ca="1" si="21"/>
        <v>#N/A</v>
      </c>
      <c r="N67" t="e">
        <f t="shared" ca="1" si="22"/>
        <v>#N/A</v>
      </c>
    </row>
    <row r="68" spans="1:14" x14ac:dyDescent="0.25">
      <c r="A68" s="8">
        <f t="shared" si="9"/>
        <v>0.42303240740740683</v>
      </c>
      <c r="B68" s="4">
        <f t="shared" si="10"/>
        <v>1553300550</v>
      </c>
      <c r="C68">
        <v>3</v>
      </c>
      <c r="D68">
        <v>54</v>
      </c>
      <c r="E68" t="e">
        <f t="shared" ca="1" si="19"/>
        <v>#N/A</v>
      </c>
      <c r="F68" t="e">
        <f t="shared" ca="1" si="20"/>
        <v>#N/A</v>
      </c>
      <c r="G68">
        <f t="shared" ca="1" si="1"/>
        <v>8077.2000000000007</v>
      </c>
      <c r="H68" s="13" t="e">
        <f t="shared" ca="1" si="2"/>
        <v>#N/A</v>
      </c>
      <c r="I68" s="13" t="e">
        <f t="shared" ca="1" si="2"/>
        <v>#N/A</v>
      </c>
      <c r="J68" s="13">
        <f t="shared" ca="1" si="2"/>
        <v>-2.177142857143008</v>
      </c>
      <c r="K68" s="13" t="e">
        <f t="shared" ca="1" si="3"/>
        <v>#N/A</v>
      </c>
      <c r="L68" s="13" t="e">
        <f t="shared" ca="1" si="4"/>
        <v>#N/A</v>
      </c>
      <c r="M68" t="e">
        <f t="shared" ca="1" si="21"/>
        <v>#N/A</v>
      </c>
      <c r="N68" t="e">
        <f t="shared" ca="1" si="22"/>
        <v>#N/A</v>
      </c>
    </row>
    <row r="69" spans="1:14" x14ac:dyDescent="0.25">
      <c r="A69" s="8">
        <f t="shared" si="9"/>
        <v>0.42309027777777719</v>
      </c>
      <c r="B69" s="4">
        <f t="shared" si="10"/>
        <v>1553300555</v>
      </c>
      <c r="C69">
        <v>3</v>
      </c>
      <c r="D69">
        <v>54</v>
      </c>
      <c r="E69" t="e">
        <f t="shared" ca="1" si="19"/>
        <v>#N/A</v>
      </c>
      <c r="F69" t="e">
        <f t="shared" ca="1" si="20"/>
        <v>#N/A</v>
      </c>
      <c r="G69">
        <f t="shared" ca="1" si="1"/>
        <v>8066.3142857142857</v>
      </c>
      <c r="H69" s="13" t="e">
        <f t="shared" ca="1" si="2"/>
        <v>#N/A</v>
      </c>
      <c r="I69" s="13" t="e">
        <f t="shared" ca="1" si="2"/>
        <v>#N/A</v>
      </c>
      <c r="J69" s="13">
        <f t="shared" ca="1" si="2"/>
        <v>-2.177142857142826</v>
      </c>
      <c r="K69" s="13" t="e">
        <f t="shared" ca="1" si="3"/>
        <v>#N/A</v>
      </c>
      <c r="L69" s="13" t="e">
        <f t="shared" ca="1" si="4"/>
        <v>#N/A</v>
      </c>
      <c r="M69" t="e">
        <f t="shared" ca="1" si="21"/>
        <v>#N/A</v>
      </c>
      <c r="N69" t="e">
        <f t="shared" ca="1" si="22"/>
        <v>#N/A</v>
      </c>
    </row>
    <row r="70" spans="1:14" x14ac:dyDescent="0.25">
      <c r="A70" s="8">
        <f>A69+5/24/3600</f>
        <v>0.42314814814814755</v>
      </c>
      <c r="B70" s="4">
        <f t="shared" si="10"/>
        <v>1553300560</v>
      </c>
      <c r="C70">
        <v>3</v>
      </c>
      <c r="D70">
        <v>54</v>
      </c>
      <c r="E70" t="e">
        <f t="shared" ca="1" si="19"/>
        <v>#N/A</v>
      </c>
      <c r="F70" t="e">
        <f t="shared" ca="1" si="20"/>
        <v>#N/A</v>
      </c>
      <c r="G70">
        <f t="shared" ca="1" si="1"/>
        <v>8055.4285714285716</v>
      </c>
      <c r="H70" s="13" t="e">
        <f t="shared" ca="1" si="2"/>
        <v>#N/A</v>
      </c>
      <c r="I70" s="13" t="e">
        <f t="shared" ca="1" si="2"/>
        <v>#N/A</v>
      </c>
      <c r="J70" s="13">
        <f t="shared" ca="1" si="2"/>
        <v>-2.177142857142826</v>
      </c>
      <c r="K70" s="13" t="e">
        <f t="shared" ca="1" si="3"/>
        <v>#N/A</v>
      </c>
      <c r="L70" s="13" t="e">
        <f t="shared" ca="1" si="4"/>
        <v>#N/A</v>
      </c>
      <c r="M70" t="e">
        <f t="shared" ca="1" si="21"/>
        <v>#N/A</v>
      </c>
      <c r="N70" t="e">
        <f t="shared" ca="1" si="22"/>
        <v>#N/A</v>
      </c>
    </row>
    <row r="71" spans="1:14" x14ac:dyDescent="0.25">
      <c r="A71" s="8">
        <f t="shared" si="9"/>
        <v>0.42320601851851791</v>
      </c>
      <c r="B71" s="4">
        <f t="shared" si="10"/>
        <v>1553300565</v>
      </c>
      <c r="C71">
        <v>3</v>
      </c>
      <c r="D71">
        <v>54</v>
      </c>
      <c r="E71" t="e">
        <f t="shared" ca="1" si="19"/>
        <v>#N/A</v>
      </c>
      <c r="F71" t="e">
        <f t="shared" ca="1" si="20"/>
        <v>#N/A</v>
      </c>
      <c r="G71">
        <f t="shared" ref="G71:G134" ca="1" si="23">INDIRECT("G$"&amp;C71)+INDIRECT("J$"&amp;C71)*($B71-INDIRECT("B$"&amp;D71))</f>
        <v>8044.5428571428574</v>
      </c>
      <c r="H71" s="13" t="e">
        <f t="shared" ref="H71:J134" ca="1" si="24">(E72-E71)/($B72-$B71)</f>
        <v>#N/A</v>
      </c>
      <c r="I71" s="13" t="e">
        <f t="shared" ca="1" si="24"/>
        <v>#N/A</v>
      </c>
      <c r="J71" s="13">
        <f t="shared" ca="1" si="24"/>
        <v>-2.177142857142826</v>
      </c>
      <c r="K71" s="13" t="e">
        <f t="shared" ref="K71:K134" ca="1" si="25">SQRT(H71*H71+I71*I71)</f>
        <v>#N/A</v>
      </c>
      <c r="L71" s="13" t="e">
        <f t="shared" ref="L71:L134" ca="1" si="26">DEGREES(ATAN2(I71,H71))</f>
        <v>#N/A</v>
      </c>
      <c r="M71" t="e">
        <f t="shared" ca="1" si="21"/>
        <v>#N/A</v>
      </c>
      <c r="N71" t="e">
        <f t="shared" ca="1" si="22"/>
        <v>#N/A</v>
      </c>
    </row>
    <row r="72" spans="1:14" x14ac:dyDescent="0.25">
      <c r="A72" s="8">
        <f t="shared" si="9"/>
        <v>0.42326388888888827</v>
      </c>
      <c r="B72" s="4">
        <f t="shared" si="10"/>
        <v>1553300570</v>
      </c>
      <c r="C72">
        <v>3</v>
      </c>
      <c r="D72">
        <v>54</v>
      </c>
      <c r="E72" t="e">
        <f t="shared" ca="1" si="19"/>
        <v>#N/A</v>
      </c>
      <c r="F72" t="e">
        <f t="shared" ca="1" si="20"/>
        <v>#N/A</v>
      </c>
      <c r="G72">
        <f t="shared" ca="1" si="23"/>
        <v>8033.6571428571433</v>
      </c>
      <c r="H72" s="13" t="e">
        <f t="shared" ca="1" si="24"/>
        <v>#N/A</v>
      </c>
      <c r="I72" s="13" t="e">
        <f t="shared" ca="1" si="24"/>
        <v>#N/A</v>
      </c>
      <c r="J72" s="13">
        <f t="shared" ca="1" si="24"/>
        <v>-2.177142857142826</v>
      </c>
      <c r="K72" s="13" t="e">
        <f t="shared" ca="1" si="25"/>
        <v>#N/A</v>
      </c>
      <c r="L72" s="13" t="e">
        <f t="shared" ca="1" si="26"/>
        <v>#N/A</v>
      </c>
      <c r="M72" t="e">
        <f t="shared" ca="1" si="21"/>
        <v>#N/A</v>
      </c>
      <c r="N72" t="e">
        <f t="shared" ca="1" si="22"/>
        <v>#N/A</v>
      </c>
    </row>
    <row r="73" spans="1:14" x14ac:dyDescent="0.25">
      <c r="A73" s="8">
        <f t="shared" ref="A73:A102" si="27">A72+5/24/3600</f>
        <v>0.42332175925925863</v>
      </c>
      <c r="B73" s="4">
        <f t="shared" ref="B73:B136" si="28">B72+SECOND(A73-A72)</f>
        <v>1553300575</v>
      </c>
      <c r="C73">
        <v>3</v>
      </c>
      <c r="D73">
        <v>54</v>
      </c>
      <c r="E73" t="e">
        <f t="shared" ca="1" si="19"/>
        <v>#N/A</v>
      </c>
      <c r="F73" t="e">
        <f t="shared" ca="1" si="20"/>
        <v>#N/A</v>
      </c>
      <c r="G73">
        <f t="shared" ca="1" si="23"/>
        <v>8022.7714285714292</v>
      </c>
      <c r="H73" s="13" t="e">
        <f t="shared" ca="1" si="24"/>
        <v>#N/A</v>
      </c>
      <c r="I73" s="13" t="e">
        <f t="shared" ca="1" si="24"/>
        <v>#N/A</v>
      </c>
      <c r="J73" s="13">
        <f t="shared" ca="1" si="24"/>
        <v>-2.177142857143008</v>
      </c>
      <c r="K73" s="13" t="e">
        <f t="shared" ca="1" si="25"/>
        <v>#N/A</v>
      </c>
      <c r="L73" s="13" t="e">
        <f t="shared" ca="1" si="26"/>
        <v>#N/A</v>
      </c>
      <c r="M73" t="e">
        <f t="shared" ca="1" si="21"/>
        <v>#N/A</v>
      </c>
      <c r="N73" t="e">
        <f t="shared" ca="1" si="22"/>
        <v>#N/A</v>
      </c>
    </row>
    <row r="74" spans="1:14" x14ac:dyDescent="0.25">
      <c r="A74" s="8">
        <f t="shared" si="27"/>
        <v>0.423379629629629</v>
      </c>
      <c r="B74" s="4">
        <f t="shared" si="28"/>
        <v>1553300580</v>
      </c>
      <c r="C74">
        <v>3</v>
      </c>
      <c r="D74">
        <v>54</v>
      </c>
      <c r="E74" t="e">
        <f t="shared" ca="1" si="19"/>
        <v>#N/A</v>
      </c>
      <c r="F74" t="e">
        <f t="shared" ca="1" si="20"/>
        <v>#N/A</v>
      </c>
      <c r="G74">
        <f t="shared" ca="1" si="23"/>
        <v>8011.8857142857141</v>
      </c>
      <c r="H74" s="13" t="e">
        <f t="shared" ca="1" si="24"/>
        <v>#N/A</v>
      </c>
      <c r="I74" s="13" t="e">
        <f t="shared" ca="1" si="24"/>
        <v>#N/A</v>
      </c>
      <c r="J74" s="13">
        <f t="shared" ca="1" si="24"/>
        <v>-2.177142857142826</v>
      </c>
      <c r="K74" s="13" t="e">
        <f t="shared" ca="1" si="25"/>
        <v>#N/A</v>
      </c>
      <c r="L74" s="13" t="e">
        <f t="shared" ca="1" si="26"/>
        <v>#N/A</v>
      </c>
      <c r="M74" t="e">
        <f t="shared" ca="1" si="21"/>
        <v>#N/A</v>
      </c>
      <c r="N74" t="e">
        <f t="shared" ca="1" si="22"/>
        <v>#N/A</v>
      </c>
    </row>
    <row r="75" spans="1:14" x14ac:dyDescent="0.25">
      <c r="A75" s="8">
        <f t="shared" si="27"/>
        <v>0.42343749999999936</v>
      </c>
      <c r="B75" s="4">
        <f t="shared" si="28"/>
        <v>1553300585</v>
      </c>
      <c r="C75">
        <v>3</v>
      </c>
      <c r="D75">
        <v>54</v>
      </c>
      <c r="E75" t="e">
        <f t="shared" ca="1" si="19"/>
        <v>#N/A</v>
      </c>
      <c r="F75" t="e">
        <f t="shared" ca="1" si="20"/>
        <v>#N/A</v>
      </c>
      <c r="G75">
        <f t="shared" ca="1" si="23"/>
        <v>8001</v>
      </c>
      <c r="H75" s="13" t="e">
        <f t="shared" ca="1" si="24"/>
        <v>#N/A</v>
      </c>
      <c r="I75" s="13" t="e">
        <f t="shared" ca="1" si="24"/>
        <v>#N/A</v>
      </c>
      <c r="J75" s="13">
        <f t="shared" ca="1" si="24"/>
        <v>-2.177142857142826</v>
      </c>
      <c r="K75" s="13" t="e">
        <f t="shared" ca="1" si="25"/>
        <v>#N/A</v>
      </c>
      <c r="L75" s="13" t="e">
        <f t="shared" ca="1" si="26"/>
        <v>#N/A</v>
      </c>
      <c r="M75" t="e">
        <f t="shared" ca="1" si="21"/>
        <v>#N/A</v>
      </c>
      <c r="N75" t="e">
        <f t="shared" ca="1" si="22"/>
        <v>#N/A</v>
      </c>
    </row>
    <row r="76" spans="1:14" x14ac:dyDescent="0.25">
      <c r="A76" s="8">
        <f t="shared" si="27"/>
        <v>0.42349537037036972</v>
      </c>
      <c r="B76" s="4">
        <f t="shared" si="28"/>
        <v>1553300590</v>
      </c>
      <c r="C76">
        <v>3</v>
      </c>
      <c r="D76">
        <v>54</v>
      </c>
      <c r="E76" t="e">
        <f t="shared" ca="1" si="19"/>
        <v>#N/A</v>
      </c>
      <c r="F76" t="e">
        <f t="shared" ca="1" si="20"/>
        <v>#N/A</v>
      </c>
      <c r="G76">
        <f t="shared" ca="1" si="23"/>
        <v>7990.1142857142859</v>
      </c>
      <c r="H76" s="13" t="e">
        <f t="shared" ca="1" si="24"/>
        <v>#N/A</v>
      </c>
      <c r="I76" s="13" t="e">
        <f t="shared" ca="1" si="24"/>
        <v>#N/A</v>
      </c>
      <c r="J76" s="13">
        <f t="shared" ca="1" si="24"/>
        <v>-2.177142857142826</v>
      </c>
      <c r="K76" s="13" t="e">
        <f t="shared" ca="1" si="25"/>
        <v>#N/A</v>
      </c>
      <c r="L76" s="13" t="e">
        <f t="shared" ca="1" si="26"/>
        <v>#N/A</v>
      </c>
      <c r="M76" t="e">
        <f t="shared" ca="1" si="21"/>
        <v>#N/A</v>
      </c>
      <c r="N76" t="e">
        <f t="shared" ca="1" si="22"/>
        <v>#N/A</v>
      </c>
    </row>
    <row r="77" spans="1:14" x14ac:dyDescent="0.25">
      <c r="A77" s="8">
        <f t="shared" si="27"/>
        <v>0.42355324074074008</v>
      </c>
      <c r="B77" s="4">
        <f t="shared" si="28"/>
        <v>1553300595</v>
      </c>
      <c r="C77">
        <v>3</v>
      </c>
      <c r="D77">
        <v>54</v>
      </c>
      <c r="E77" t="e">
        <f t="shared" ca="1" si="19"/>
        <v>#N/A</v>
      </c>
      <c r="F77" t="e">
        <f t="shared" ca="1" si="20"/>
        <v>#N/A</v>
      </c>
      <c r="G77">
        <f t="shared" ca="1" si="23"/>
        <v>7979.2285714285717</v>
      </c>
      <c r="H77" s="13" t="e">
        <f t="shared" ca="1" si="24"/>
        <v>#N/A</v>
      </c>
      <c r="I77" s="13" t="e">
        <f t="shared" ca="1" si="24"/>
        <v>#N/A</v>
      </c>
      <c r="J77" s="13">
        <f t="shared" ca="1" si="24"/>
        <v>-2.177142857142826</v>
      </c>
      <c r="K77" s="13" t="e">
        <f t="shared" ca="1" si="25"/>
        <v>#N/A</v>
      </c>
      <c r="L77" s="13" t="e">
        <f t="shared" ca="1" si="26"/>
        <v>#N/A</v>
      </c>
      <c r="M77" t="e">
        <f t="shared" ca="1" si="21"/>
        <v>#N/A</v>
      </c>
      <c r="N77" t="e">
        <f t="shared" ca="1" si="22"/>
        <v>#N/A</v>
      </c>
    </row>
    <row r="78" spans="1:14" x14ac:dyDescent="0.25">
      <c r="A78" s="8">
        <f t="shared" si="27"/>
        <v>0.42361111111111044</v>
      </c>
      <c r="B78" s="4">
        <f t="shared" si="28"/>
        <v>1553300600</v>
      </c>
      <c r="C78">
        <v>3</v>
      </c>
      <c r="D78">
        <v>54</v>
      </c>
      <c r="E78" t="e">
        <f t="shared" ca="1" si="19"/>
        <v>#N/A</v>
      </c>
      <c r="F78" t="e">
        <f t="shared" ca="1" si="20"/>
        <v>#N/A</v>
      </c>
      <c r="G78">
        <f t="shared" ca="1" si="23"/>
        <v>7968.3428571428576</v>
      </c>
      <c r="H78" s="13" t="e">
        <f t="shared" ca="1" si="24"/>
        <v>#N/A</v>
      </c>
      <c r="I78" s="13" t="e">
        <f t="shared" ca="1" si="24"/>
        <v>#N/A</v>
      </c>
      <c r="J78" s="13">
        <f t="shared" ca="1" si="24"/>
        <v>-2.177142857142826</v>
      </c>
      <c r="K78" s="13" t="e">
        <f t="shared" ca="1" si="25"/>
        <v>#N/A</v>
      </c>
      <c r="L78" s="13" t="e">
        <f t="shared" ca="1" si="26"/>
        <v>#N/A</v>
      </c>
      <c r="M78" t="e">
        <f t="shared" ca="1" si="21"/>
        <v>#N/A</v>
      </c>
      <c r="N78" t="e">
        <f t="shared" ca="1" si="22"/>
        <v>#N/A</v>
      </c>
    </row>
    <row r="79" spans="1:14" x14ac:dyDescent="0.25">
      <c r="A79" s="8">
        <f t="shared" si="27"/>
        <v>0.4236689814814808</v>
      </c>
      <c r="B79" s="4">
        <f t="shared" si="28"/>
        <v>1553300605</v>
      </c>
      <c r="C79">
        <v>3</v>
      </c>
      <c r="D79">
        <v>54</v>
      </c>
      <c r="E79" t="e">
        <f t="shared" ca="1" si="19"/>
        <v>#N/A</v>
      </c>
      <c r="F79" t="e">
        <f t="shared" ca="1" si="20"/>
        <v>#N/A</v>
      </c>
      <c r="G79">
        <f t="shared" ca="1" si="23"/>
        <v>7957.4571428571435</v>
      </c>
      <c r="H79" s="13" t="e">
        <f t="shared" ca="1" si="24"/>
        <v>#N/A</v>
      </c>
      <c r="I79" s="13" t="e">
        <f t="shared" ca="1" si="24"/>
        <v>#N/A</v>
      </c>
      <c r="J79" s="13">
        <f t="shared" ca="1" si="24"/>
        <v>-2.177142857143008</v>
      </c>
      <c r="K79" s="13" t="e">
        <f t="shared" ca="1" si="25"/>
        <v>#N/A</v>
      </c>
      <c r="L79" s="13" t="e">
        <f t="shared" ca="1" si="26"/>
        <v>#N/A</v>
      </c>
      <c r="M79" t="e">
        <f t="shared" ca="1" si="21"/>
        <v>#N/A</v>
      </c>
      <c r="N79" t="e">
        <f t="shared" ca="1" si="22"/>
        <v>#N/A</v>
      </c>
    </row>
    <row r="80" spans="1:14" x14ac:dyDescent="0.25">
      <c r="A80" s="8">
        <f t="shared" si="27"/>
        <v>0.42372685185185116</v>
      </c>
      <c r="B80" s="4">
        <f t="shared" si="28"/>
        <v>1553300610</v>
      </c>
      <c r="C80">
        <v>3</v>
      </c>
      <c r="D80">
        <v>54</v>
      </c>
      <c r="E80" t="e">
        <f t="shared" ca="1" si="19"/>
        <v>#N/A</v>
      </c>
      <c r="F80" t="e">
        <f t="shared" ca="1" si="20"/>
        <v>#N/A</v>
      </c>
      <c r="G80">
        <f t="shared" ca="1" si="23"/>
        <v>7946.5714285714284</v>
      </c>
      <c r="H80" s="13" t="e">
        <f t="shared" ca="1" si="24"/>
        <v>#N/A</v>
      </c>
      <c r="I80" s="13" t="e">
        <f t="shared" ca="1" si="24"/>
        <v>#N/A</v>
      </c>
      <c r="J80" s="13">
        <f t="shared" ca="1" si="24"/>
        <v>-2.177142857142826</v>
      </c>
      <c r="K80" s="13" t="e">
        <f t="shared" ca="1" si="25"/>
        <v>#N/A</v>
      </c>
      <c r="L80" s="13" t="e">
        <f t="shared" ca="1" si="26"/>
        <v>#N/A</v>
      </c>
      <c r="M80" t="e">
        <f t="shared" ca="1" si="21"/>
        <v>#N/A</v>
      </c>
      <c r="N80" t="e">
        <f t="shared" ca="1" si="22"/>
        <v>#N/A</v>
      </c>
    </row>
    <row r="81" spans="1:14" x14ac:dyDescent="0.25">
      <c r="A81" s="8">
        <f t="shared" si="27"/>
        <v>0.42378472222222152</v>
      </c>
      <c r="B81" s="4">
        <f t="shared" si="28"/>
        <v>1553300615</v>
      </c>
      <c r="C81">
        <v>3</v>
      </c>
      <c r="D81">
        <v>54</v>
      </c>
      <c r="E81" t="e">
        <f t="shared" ca="1" si="19"/>
        <v>#N/A</v>
      </c>
      <c r="F81" t="e">
        <f t="shared" ca="1" si="20"/>
        <v>#N/A</v>
      </c>
      <c r="G81">
        <f t="shared" ca="1" si="23"/>
        <v>7935.6857142857143</v>
      </c>
      <c r="H81" s="13" t="e">
        <f t="shared" ca="1" si="24"/>
        <v>#N/A</v>
      </c>
      <c r="I81" s="13" t="e">
        <f t="shared" ca="1" si="24"/>
        <v>#N/A</v>
      </c>
      <c r="J81" s="13">
        <f t="shared" ca="1" si="24"/>
        <v>-2.177142857142826</v>
      </c>
      <c r="K81" s="13" t="e">
        <f t="shared" ca="1" si="25"/>
        <v>#N/A</v>
      </c>
      <c r="L81" s="13" t="e">
        <f t="shared" ca="1" si="26"/>
        <v>#N/A</v>
      </c>
      <c r="M81" t="e">
        <f t="shared" ca="1" si="21"/>
        <v>#N/A</v>
      </c>
      <c r="N81" t="e">
        <f t="shared" ca="1" si="22"/>
        <v>#N/A</v>
      </c>
    </row>
    <row r="82" spans="1:14" x14ac:dyDescent="0.25">
      <c r="A82" s="8">
        <f t="shared" si="27"/>
        <v>0.42384259259259188</v>
      </c>
      <c r="B82" s="4">
        <f t="shared" si="28"/>
        <v>1553300620</v>
      </c>
      <c r="C82">
        <v>3</v>
      </c>
      <c r="D82">
        <v>54</v>
      </c>
      <c r="E82" t="e">
        <f t="shared" ca="1" si="19"/>
        <v>#N/A</v>
      </c>
      <c r="F82" t="e">
        <f t="shared" ca="1" si="20"/>
        <v>#N/A</v>
      </c>
      <c r="G82">
        <f t="shared" ca="1" si="23"/>
        <v>7924.8</v>
      </c>
      <c r="H82" s="13" t="e">
        <f t="shared" ca="1" si="24"/>
        <v>#N/A</v>
      </c>
      <c r="I82" s="13" t="e">
        <f t="shared" ca="1" si="24"/>
        <v>#N/A</v>
      </c>
      <c r="J82" s="13">
        <f t="shared" ca="1" si="24"/>
        <v>-2.177142857142826</v>
      </c>
      <c r="K82" s="13" t="e">
        <f t="shared" ca="1" si="25"/>
        <v>#N/A</v>
      </c>
      <c r="L82" s="13" t="e">
        <f t="shared" ca="1" si="26"/>
        <v>#N/A</v>
      </c>
      <c r="M82" t="e">
        <f t="shared" ca="1" si="21"/>
        <v>#N/A</v>
      </c>
      <c r="N82" t="e">
        <f t="shared" ca="1" si="22"/>
        <v>#N/A</v>
      </c>
    </row>
    <row r="83" spans="1:14" x14ac:dyDescent="0.25">
      <c r="A83" s="8">
        <f t="shared" si="27"/>
        <v>0.42390046296296224</v>
      </c>
      <c r="B83" s="4">
        <f t="shared" si="28"/>
        <v>1553300625</v>
      </c>
      <c r="C83">
        <v>3</v>
      </c>
      <c r="D83">
        <v>54</v>
      </c>
      <c r="E83" t="e">
        <f t="shared" ca="1" si="19"/>
        <v>#N/A</v>
      </c>
      <c r="F83" t="e">
        <f t="shared" ca="1" si="20"/>
        <v>#N/A</v>
      </c>
      <c r="G83">
        <f t="shared" ca="1" si="23"/>
        <v>7913.9142857142861</v>
      </c>
      <c r="H83" s="13" t="e">
        <f t="shared" ca="1" si="24"/>
        <v>#N/A</v>
      </c>
      <c r="I83" s="13" t="e">
        <f t="shared" ca="1" si="24"/>
        <v>#N/A</v>
      </c>
      <c r="J83" s="13">
        <f t="shared" ca="1" si="24"/>
        <v>-2.177142857142826</v>
      </c>
      <c r="K83" s="13" t="e">
        <f t="shared" ca="1" si="25"/>
        <v>#N/A</v>
      </c>
      <c r="L83" s="13" t="e">
        <f t="shared" ca="1" si="26"/>
        <v>#N/A</v>
      </c>
      <c r="M83" t="e">
        <f t="shared" ca="1" si="21"/>
        <v>#N/A</v>
      </c>
      <c r="N83" t="e">
        <f t="shared" ca="1" si="22"/>
        <v>#N/A</v>
      </c>
    </row>
    <row r="84" spans="1:14" x14ac:dyDescent="0.25">
      <c r="A84" s="8">
        <f t="shared" si="27"/>
        <v>0.4239583333333326</v>
      </c>
      <c r="B84" s="4">
        <f t="shared" si="28"/>
        <v>1553300630</v>
      </c>
      <c r="C84">
        <v>3</v>
      </c>
      <c r="D84">
        <v>54</v>
      </c>
      <c r="E84" t="e">
        <f t="shared" ca="1" si="19"/>
        <v>#N/A</v>
      </c>
      <c r="F84" t="e">
        <f t="shared" ca="1" si="20"/>
        <v>#N/A</v>
      </c>
      <c r="G84">
        <f t="shared" ca="1" si="23"/>
        <v>7903.0285714285719</v>
      </c>
      <c r="H84" s="13" t="e">
        <f t="shared" ca="1" si="24"/>
        <v>#N/A</v>
      </c>
      <c r="I84" s="13" t="e">
        <f t="shared" ca="1" si="24"/>
        <v>#N/A</v>
      </c>
      <c r="J84" s="13">
        <f t="shared" ca="1" si="24"/>
        <v>-2.177142857143008</v>
      </c>
      <c r="K84" s="13" t="e">
        <f t="shared" ca="1" si="25"/>
        <v>#N/A</v>
      </c>
      <c r="L84" s="13" t="e">
        <f t="shared" ca="1" si="26"/>
        <v>#N/A</v>
      </c>
      <c r="M84" t="e">
        <f t="shared" ca="1" si="21"/>
        <v>#N/A</v>
      </c>
      <c r="N84" t="e">
        <f t="shared" ca="1" si="22"/>
        <v>#N/A</v>
      </c>
    </row>
    <row r="85" spans="1:14" x14ac:dyDescent="0.25">
      <c r="A85" s="8">
        <f t="shared" si="27"/>
        <v>0.42401620370370297</v>
      </c>
      <c r="B85" s="4">
        <f t="shared" si="28"/>
        <v>1553300635</v>
      </c>
      <c r="C85">
        <v>3</v>
      </c>
      <c r="D85">
        <v>54</v>
      </c>
      <c r="E85" t="e">
        <f t="shared" ca="1" si="19"/>
        <v>#N/A</v>
      </c>
      <c r="F85" t="e">
        <f t="shared" ca="1" si="20"/>
        <v>#N/A</v>
      </c>
      <c r="G85">
        <f t="shared" ca="1" si="23"/>
        <v>7892.1428571428569</v>
      </c>
      <c r="H85" s="13" t="e">
        <f t="shared" ca="1" si="24"/>
        <v>#N/A</v>
      </c>
      <c r="I85" s="13" t="e">
        <f t="shared" ca="1" si="24"/>
        <v>#N/A</v>
      </c>
      <c r="J85" s="13">
        <f t="shared" ca="1" si="24"/>
        <v>-2.177142857142826</v>
      </c>
      <c r="K85" s="13" t="e">
        <f t="shared" ca="1" si="25"/>
        <v>#N/A</v>
      </c>
      <c r="L85" s="13" t="e">
        <f t="shared" ca="1" si="26"/>
        <v>#N/A</v>
      </c>
      <c r="M85" t="e">
        <f t="shared" ca="1" si="21"/>
        <v>#N/A</v>
      </c>
      <c r="N85" t="e">
        <f t="shared" ca="1" si="22"/>
        <v>#N/A</v>
      </c>
    </row>
    <row r="86" spans="1:14" x14ac:dyDescent="0.25">
      <c r="A86" s="8">
        <f t="shared" si="27"/>
        <v>0.42407407407407333</v>
      </c>
      <c r="B86" s="4">
        <f t="shared" si="28"/>
        <v>1553300640</v>
      </c>
      <c r="C86">
        <v>3</v>
      </c>
      <c r="D86">
        <v>54</v>
      </c>
      <c r="E86" t="e">
        <f t="shared" ca="1" si="19"/>
        <v>#N/A</v>
      </c>
      <c r="F86" t="e">
        <f t="shared" ca="1" si="20"/>
        <v>#N/A</v>
      </c>
      <c r="G86">
        <f t="shared" ca="1" si="23"/>
        <v>7881.2571428571428</v>
      </c>
      <c r="H86" s="13" t="e">
        <f t="shared" ca="1" si="24"/>
        <v>#N/A</v>
      </c>
      <c r="I86" s="13" t="e">
        <f t="shared" ca="1" si="24"/>
        <v>#N/A</v>
      </c>
      <c r="J86" s="13">
        <f t="shared" ca="1" si="24"/>
        <v>-2.177142857142826</v>
      </c>
      <c r="K86" s="13" t="e">
        <f t="shared" ca="1" si="25"/>
        <v>#N/A</v>
      </c>
      <c r="L86" s="13" t="e">
        <f t="shared" ca="1" si="26"/>
        <v>#N/A</v>
      </c>
      <c r="M86" t="e">
        <f t="shared" ca="1" si="21"/>
        <v>#N/A</v>
      </c>
      <c r="N86" t="e">
        <f t="shared" ca="1" si="22"/>
        <v>#N/A</v>
      </c>
    </row>
    <row r="87" spans="1:14" x14ac:dyDescent="0.25">
      <c r="A87" s="8">
        <f t="shared" si="27"/>
        <v>0.42413194444444369</v>
      </c>
      <c r="B87" s="4">
        <f t="shared" si="28"/>
        <v>1553300645</v>
      </c>
      <c r="C87">
        <v>3</v>
      </c>
      <c r="D87">
        <v>54</v>
      </c>
      <c r="E87" t="e">
        <f t="shared" ca="1" si="19"/>
        <v>#N/A</v>
      </c>
      <c r="F87" t="e">
        <f t="shared" ca="1" si="20"/>
        <v>#N/A</v>
      </c>
      <c r="G87">
        <f t="shared" ca="1" si="23"/>
        <v>7870.3714285714286</v>
      </c>
      <c r="H87" s="13" t="e">
        <f t="shared" ca="1" si="24"/>
        <v>#N/A</v>
      </c>
      <c r="I87" s="13" t="e">
        <f t="shared" ca="1" si="24"/>
        <v>#N/A</v>
      </c>
      <c r="J87" s="13">
        <f t="shared" ca="1" si="24"/>
        <v>-2.177142857142826</v>
      </c>
      <c r="K87" s="13" t="e">
        <f t="shared" ca="1" si="25"/>
        <v>#N/A</v>
      </c>
      <c r="L87" s="13" t="e">
        <f t="shared" ca="1" si="26"/>
        <v>#N/A</v>
      </c>
      <c r="M87" t="e">
        <f t="shared" ca="1" si="21"/>
        <v>#N/A</v>
      </c>
      <c r="N87" t="e">
        <f t="shared" ca="1" si="22"/>
        <v>#N/A</v>
      </c>
    </row>
    <row r="88" spans="1:14" x14ac:dyDescent="0.25">
      <c r="A88" s="8">
        <f t="shared" si="27"/>
        <v>0.42418981481481405</v>
      </c>
      <c r="B88" s="4">
        <f t="shared" si="28"/>
        <v>1553300650</v>
      </c>
      <c r="C88">
        <v>3</v>
      </c>
      <c r="D88">
        <v>54</v>
      </c>
      <c r="E88" t="e">
        <f t="shared" ca="1" si="19"/>
        <v>#N/A</v>
      </c>
      <c r="F88" t="e">
        <f t="shared" ca="1" si="20"/>
        <v>#N/A</v>
      </c>
      <c r="G88">
        <f t="shared" ca="1" si="23"/>
        <v>7859.4857142857145</v>
      </c>
      <c r="H88" s="13" t="e">
        <f t="shared" ca="1" si="24"/>
        <v>#N/A</v>
      </c>
      <c r="I88" s="13" t="e">
        <f t="shared" ca="1" si="24"/>
        <v>#N/A</v>
      </c>
      <c r="J88" s="13">
        <f t="shared" ca="1" si="24"/>
        <v>-2.177142857142826</v>
      </c>
      <c r="K88" s="13" t="e">
        <f t="shared" ca="1" si="25"/>
        <v>#N/A</v>
      </c>
      <c r="L88" s="13" t="e">
        <f t="shared" ca="1" si="26"/>
        <v>#N/A</v>
      </c>
      <c r="M88" t="e">
        <f t="shared" ca="1" si="21"/>
        <v>#N/A</v>
      </c>
      <c r="N88" t="e">
        <f t="shared" ca="1" si="22"/>
        <v>#N/A</v>
      </c>
    </row>
    <row r="89" spans="1:14" x14ac:dyDescent="0.25">
      <c r="A89" s="8">
        <f t="shared" si="27"/>
        <v>0.42424768518518441</v>
      </c>
      <c r="B89" s="4">
        <f t="shared" si="28"/>
        <v>1553300655</v>
      </c>
      <c r="C89">
        <v>3</v>
      </c>
      <c r="D89">
        <v>54</v>
      </c>
      <c r="E89" t="e">
        <f t="shared" ca="1" si="19"/>
        <v>#N/A</v>
      </c>
      <c r="F89" t="e">
        <f t="shared" ca="1" si="20"/>
        <v>#N/A</v>
      </c>
      <c r="G89">
        <f t="shared" ca="1" si="23"/>
        <v>7848.6</v>
      </c>
      <c r="H89" s="13" t="e">
        <f t="shared" ca="1" si="24"/>
        <v>#N/A</v>
      </c>
      <c r="I89" s="13" t="e">
        <f t="shared" ca="1" si="24"/>
        <v>#N/A</v>
      </c>
      <c r="J89" s="13">
        <f t="shared" ca="1" si="24"/>
        <v>-2.177142857142826</v>
      </c>
      <c r="K89" s="13" t="e">
        <f t="shared" ca="1" si="25"/>
        <v>#N/A</v>
      </c>
      <c r="L89" s="13" t="e">
        <f t="shared" ca="1" si="26"/>
        <v>#N/A</v>
      </c>
      <c r="M89" t="e">
        <f t="shared" ca="1" si="21"/>
        <v>#N/A</v>
      </c>
      <c r="N89" t="e">
        <f t="shared" ca="1" si="22"/>
        <v>#N/A</v>
      </c>
    </row>
    <row r="90" spans="1:14" x14ac:dyDescent="0.25">
      <c r="A90" s="8">
        <f t="shared" si="27"/>
        <v>0.42430555555555477</v>
      </c>
      <c r="B90" s="4">
        <f t="shared" si="28"/>
        <v>1553300660</v>
      </c>
      <c r="C90">
        <v>3</v>
      </c>
      <c r="D90">
        <v>54</v>
      </c>
      <c r="E90" t="e">
        <f t="shared" ca="1" si="19"/>
        <v>#N/A</v>
      </c>
      <c r="F90" t="e">
        <f t="shared" ca="1" si="20"/>
        <v>#N/A</v>
      </c>
      <c r="G90">
        <f t="shared" ca="1" si="23"/>
        <v>7837.7142857142862</v>
      </c>
      <c r="H90" s="13" t="e">
        <f t="shared" ca="1" si="24"/>
        <v>#N/A</v>
      </c>
      <c r="I90" s="13" t="e">
        <f t="shared" ca="1" si="24"/>
        <v>#N/A</v>
      </c>
      <c r="J90" s="13">
        <f t="shared" ca="1" si="24"/>
        <v>-2.177142857143008</v>
      </c>
      <c r="K90" s="13" t="e">
        <f t="shared" ca="1" si="25"/>
        <v>#N/A</v>
      </c>
      <c r="L90" s="13" t="e">
        <f t="shared" ca="1" si="26"/>
        <v>#N/A</v>
      </c>
      <c r="M90" t="e">
        <f t="shared" ca="1" si="21"/>
        <v>#N/A</v>
      </c>
      <c r="N90" t="e">
        <f t="shared" ca="1" si="22"/>
        <v>#N/A</v>
      </c>
    </row>
    <row r="91" spans="1:14" x14ac:dyDescent="0.25">
      <c r="A91" s="8">
        <f t="shared" si="27"/>
        <v>0.42436342592592513</v>
      </c>
      <c r="B91" s="4">
        <f t="shared" si="28"/>
        <v>1553300665</v>
      </c>
      <c r="C91">
        <v>3</v>
      </c>
      <c r="D91">
        <v>54</v>
      </c>
      <c r="E91" t="e">
        <f t="shared" ca="1" si="19"/>
        <v>#N/A</v>
      </c>
      <c r="F91" t="e">
        <f t="shared" ca="1" si="20"/>
        <v>#N/A</v>
      </c>
      <c r="G91">
        <f t="shared" ca="1" si="23"/>
        <v>7826.8285714285712</v>
      </c>
      <c r="H91" s="13" t="e">
        <f t="shared" ca="1" si="24"/>
        <v>#N/A</v>
      </c>
      <c r="I91" s="13" t="e">
        <f t="shared" ca="1" si="24"/>
        <v>#N/A</v>
      </c>
      <c r="J91" s="13">
        <f t="shared" ca="1" si="24"/>
        <v>-2.177142857142826</v>
      </c>
      <c r="K91" s="13" t="e">
        <f t="shared" ca="1" si="25"/>
        <v>#N/A</v>
      </c>
      <c r="L91" s="13" t="e">
        <f t="shared" ca="1" si="26"/>
        <v>#N/A</v>
      </c>
      <c r="M91" t="e">
        <f t="shared" ca="1" si="21"/>
        <v>#N/A</v>
      </c>
      <c r="N91" t="e">
        <f t="shared" ca="1" si="22"/>
        <v>#N/A</v>
      </c>
    </row>
    <row r="92" spans="1:14" x14ac:dyDescent="0.25">
      <c r="A92" s="8">
        <f t="shared" si="27"/>
        <v>0.42442129629629549</v>
      </c>
      <c r="B92" s="4">
        <f t="shared" si="28"/>
        <v>1553300670</v>
      </c>
      <c r="C92">
        <v>3</v>
      </c>
      <c r="D92">
        <v>54</v>
      </c>
      <c r="E92" t="e">
        <f t="shared" ca="1" si="19"/>
        <v>#N/A</v>
      </c>
      <c r="F92" t="e">
        <f t="shared" ca="1" si="20"/>
        <v>#N/A</v>
      </c>
      <c r="G92">
        <f t="shared" ca="1" si="23"/>
        <v>7815.9428571428571</v>
      </c>
      <c r="H92" s="13" t="e">
        <f t="shared" ca="1" si="24"/>
        <v>#N/A</v>
      </c>
      <c r="I92" s="13" t="e">
        <f t="shared" ca="1" si="24"/>
        <v>#N/A</v>
      </c>
      <c r="J92" s="13">
        <f t="shared" ca="1" si="24"/>
        <v>-2.177142857142826</v>
      </c>
      <c r="K92" s="13" t="e">
        <f t="shared" ca="1" si="25"/>
        <v>#N/A</v>
      </c>
      <c r="L92" s="13" t="e">
        <f t="shared" ca="1" si="26"/>
        <v>#N/A</v>
      </c>
      <c r="M92" t="e">
        <f t="shared" ca="1" si="21"/>
        <v>#N/A</v>
      </c>
      <c r="N92" t="e">
        <f t="shared" ca="1" si="22"/>
        <v>#N/A</v>
      </c>
    </row>
    <row r="93" spans="1:14" x14ac:dyDescent="0.25">
      <c r="A93" s="8">
        <f t="shared" si="27"/>
        <v>0.42447916666666585</v>
      </c>
      <c r="B93" s="4">
        <f t="shared" si="28"/>
        <v>1553300675</v>
      </c>
      <c r="C93">
        <v>3</v>
      </c>
      <c r="D93">
        <v>54</v>
      </c>
      <c r="E93" t="e">
        <f t="shared" ca="1" si="19"/>
        <v>#N/A</v>
      </c>
      <c r="F93" t="e">
        <f t="shared" ca="1" si="20"/>
        <v>#N/A</v>
      </c>
      <c r="G93">
        <f t="shared" ca="1" si="23"/>
        <v>7805.0571428571429</v>
      </c>
      <c r="H93" s="13" t="e">
        <f t="shared" ca="1" si="24"/>
        <v>#N/A</v>
      </c>
      <c r="I93" s="13" t="e">
        <f t="shared" ca="1" si="24"/>
        <v>#N/A</v>
      </c>
      <c r="J93" s="13">
        <f t="shared" ca="1" si="24"/>
        <v>-2.177142857142826</v>
      </c>
      <c r="K93" s="13" t="e">
        <f t="shared" ca="1" si="25"/>
        <v>#N/A</v>
      </c>
      <c r="L93" s="13" t="e">
        <f t="shared" ca="1" si="26"/>
        <v>#N/A</v>
      </c>
      <c r="M93" t="e">
        <f t="shared" ca="1" si="21"/>
        <v>#N/A</v>
      </c>
      <c r="N93" t="e">
        <f t="shared" ca="1" si="22"/>
        <v>#N/A</v>
      </c>
    </row>
    <row r="94" spans="1:14" x14ac:dyDescent="0.25">
      <c r="A94" s="8">
        <f t="shared" si="27"/>
        <v>0.42453703703703621</v>
      </c>
      <c r="B94" s="4">
        <f t="shared" si="28"/>
        <v>1553300680</v>
      </c>
      <c r="C94">
        <v>3</v>
      </c>
      <c r="D94">
        <v>54</v>
      </c>
      <c r="E94" t="e">
        <f t="shared" ca="1" si="19"/>
        <v>#N/A</v>
      </c>
      <c r="F94" t="e">
        <f t="shared" ca="1" si="20"/>
        <v>#N/A</v>
      </c>
      <c r="G94">
        <f t="shared" ca="1" si="23"/>
        <v>7794.1714285714288</v>
      </c>
      <c r="H94" s="13" t="e">
        <f t="shared" ca="1" si="24"/>
        <v>#N/A</v>
      </c>
      <c r="I94" s="13" t="e">
        <f t="shared" ca="1" si="24"/>
        <v>#N/A</v>
      </c>
      <c r="J94" s="13">
        <f t="shared" ca="1" si="24"/>
        <v>-2.177142857142826</v>
      </c>
      <c r="K94" s="13" t="e">
        <f t="shared" ca="1" si="25"/>
        <v>#N/A</v>
      </c>
      <c r="L94" s="13" t="e">
        <f t="shared" ca="1" si="26"/>
        <v>#N/A</v>
      </c>
      <c r="M94" t="e">
        <f t="shared" ca="1" si="21"/>
        <v>#N/A</v>
      </c>
      <c r="N94" t="e">
        <f t="shared" ca="1" si="22"/>
        <v>#N/A</v>
      </c>
    </row>
    <row r="95" spans="1:14" x14ac:dyDescent="0.25">
      <c r="A95" s="8">
        <f>A94+5/24/3600</f>
        <v>0.42459490740740657</v>
      </c>
      <c r="B95" s="4">
        <f t="shared" si="28"/>
        <v>1553300685</v>
      </c>
      <c r="C95">
        <v>3</v>
      </c>
      <c r="D95">
        <v>54</v>
      </c>
      <c r="E95" t="e">
        <f t="shared" ca="1" si="19"/>
        <v>#N/A</v>
      </c>
      <c r="F95" t="e">
        <f t="shared" ca="1" si="20"/>
        <v>#N/A</v>
      </c>
      <c r="G95">
        <f t="shared" ca="1" si="23"/>
        <v>7783.2857142857147</v>
      </c>
      <c r="H95" s="13" t="e">
        <f t="shared" ca="1" si="24"/>
        <v>#N/A</v>
      </c>
      <c r="I95" s="13" t="e">
        <f t="shared" ca="1" si="24"/>
        <v>#N/A</v>
      </c>
      <c r="J95" s="13">
        <f t="shared" ca="1" si="24"/>
        <v>-2.177142857143008</v>
      </c>
      <c r="K95" s="13" t="e">
        <f t="shared" ca="1" si="25"/>
        <v>#N/A</v>
      </c>
      <c r="L95" s="13" t="e">
        <f t="shared" ca="1" si="26"/>
        <v>#N/A</v>
      </c>
      <c r="M95" t="e">
        <f t="shared" ca="1" si="21"/>
        <v>#N/A</v>
      </c>
      <c r="N95" t="e">
        <f t="shared" ca="1" si="22"/>
        <v>#N/A</v>
      </c>
    </row>
    <row r="96" spans="1:14" x14ac:dyDescent="0.25">
      <c r="A96" s="8">
        <f t="shared" si="27"/>
        <v>0.42465277777777694</v>
      </c>
      <c r="B96" s="4">
        <f t="shared" si="28"/>
        <v>1553300690</v>
      </c>
      <c r="C96">
        <v>3</v>
      </c>
      <c r="D96">
        <v>54</v>
      </c>
      <c r="E96" t="e">
        <f t="shared" ca="1" si="19"/>
        <v>#N/A</v>
      </c>
      <c r="F96" t="e">
        <f t="shared" ca="1" si="20"/>
        <v>#N/A</v>
      </c>
      <c r="G96">
        <f t="shared" ca="1" si="23"/>
        <v>7772.4</v>
      </c>
      <c r="H96" s="13" t="e">
        <f t="shared" ca="1" si="24"/>
        <v>#N/A</v>
      </c>
      <c r="I96" s="13" t="e">
        <f t="shared" ca="1" si="24"/>
        <v>#N/A</v>
      </c>
      <c r="J96" s="13">
        <f t="shared" ca="1" si="24"/>
        <v>-2.177142857142826</v>
      </c>
      <c r="K96" s="13" t="e">
        <f t="shared" ca="1" si="25"/>
        <v>#N/A</v>
      </c>
      <c r="L96" s="13" t="e">
        <f t="shared" ca="1" si="26"/>
        <v>#N/A</v>
      </c>
      <c r="M96" t="e">
        <f t="shared" ca="1" si="21"/>
        <v>#N/A</v>
      </c>
      <c r="N96" t="e">
        <f t="shared" ca="1" si="22"/>
        <v>#N/A</v>
      </c>
    </row>
    <row r="97" spans="1:14" x14ac:dyDescent="0.25">
      <c r="A97" s="8">
        <f t="shared" si="27"/>
        <v>0.4247106481481473</v>
      </c>
      <c r="B97" s="4">
        <f t="shared" si="28"/>
        <v>1553300695</v>
      </c>
      <c r="C97">
        <v>3</v>
      </c>
      <c r="D97">
        <v>54</v>
      </c>
      <c r="E97" t="e">
        <f t="shared" ca="1" si="19"/>
        <v>#N/A</v>
      </c>
      <c r="F97" t="e">
        <f t="shared" ca="1" si="20"/>
        <v>#N/A</v>
      </c>
      <c r="G97">
        <f t="shared" ca="1" si="23"/>
        <v>7761.5142857142855</v>
      </c>
      <c r="H97" s="13" t="e">
        <f t="shared" ca="1" si="24"/>
        <v>#N/A</v>
      </c>
      <c r="I97" s="13" t="e">
        <f t="shared" ca="1" si="24"/>
        <v>#N/A</v>
      </c>
      <c r="J97" s="13">
        <f t="shared" ca="1" si="24"/>
        <v>-2.177142857142826</v>
      </c>
      <c r="K97" s="13" t="e">
        <f t="shared" ca="1" si="25"/>
        <v>#N/A</v>
      </c>
      <c r="L97" s="13" t="e">
        <f t="shared" ca="1" si="26"/>
        <v>#N/A</v>
      </c>
      <c r="M97" t="e">
        <f t="shared" ca="1" si="21"/>
        <v>#N/A</v>
      </c>
      <c r="N97" t="e">
        <f t="shared" ca="1" si="22"/>
        <v>#N/A</v>
      </c>
    </row>
    <row r="98" spans="1:14" x14ac:dyDescent="0.25">
      <c r="A98" s="8">
        <f t="shared" si="27"/>
        <v>0.42476851851851766</v>
      </c>
      <c r="B98" s="4">
        <f t="shared" si="28"/>
        <v>1553300700</v>
      </c>
      <c r="C98">
        <v>3</v>
      </c>
      <c r="D98">
        <v>54</v>
      </c>
      <c r="E98" t="e">
        <f t="shared" ca="1" si="19"/>
        <v>#N/A</v>
      </c>
      <c r="F98" t="e">
        <f t="shared" ca="1" si="20"/>
        <v>#N/A</v>
      </c>
      <c r="G98">
        <f t="shared" ca="1" si="23"/>
        <v>7750.6285714285714</v>
      </c>
      <c r="H98" s="13" t="e">
        <f t="shared" ca="1" si="24"/>
        <v>#N/A</v>
      </c>
      <c r="I98" s="13" t="e">
        <f t="shared" ca="1" si="24"/>
        <v>#N/A</v>
      </c>
      <c r="J98" s="13">
        <f t="shared" ca="1" si="24"/>
        <v>-2.177142857142826</v>
      </c>
      <c r="K98" s="13" t="e">
        <f t="shared" ca="1" si="25"/>
        <v>#N/A</v>
      </c>
      <c r="L98" s="13" t="e">
        <f t="shared" ca="1" si="26"/>
        <v>#N/A</v>
      </c>
      <c r="M98" t="e">
        <f t="shared" ca="1" si="21"/>
        <v>#N/A</v>
      </c>
      <c r="N98" t="e">
        <f t="shared" ca="1" si="22"/>
        <v>#N/A</v>
      </c>
    </row>
    <row r="99" spans="1:14" x14ac:dyDescent="0.25">
      <c r="A99" s="8">
        <f t="shared" si="27"/>
        <v>0.42482638888888802</v>
      </c>
      <c r="B99" s="4">
        <f t="shared" si="28"/>
        <v>1553300705</v>
      </c>
      <c r="C99">
        <v>3</v>
      </c>
      <c r="D99">
        <v>54</v>
      </c>
      <c r="E99" t="e">
        <f t="shared" ca="1" si="19"/>
        <v>#N/A</v>
      </c>
      <c r="F99" t="e">
        <f t="shared" ca="1" si="20"/>
        <v>#N/A</v>
      </c>
      <c r="G99">
        <f t="shared" ca="1" si="23"/>
        <v>7739.7428571428572</v>
      </c>
      <c r="H99" s="13" t="e">
        <f t="shared" ca="1" si="24"/>
        <v>#N/A</v>
      </c>
      <c r="I99" s="13" t="e">
        <f t="shared" ca="1" si="24"/>
        <v>#N/A</v>
      </c>
      <c r="J99" s="13">
        <f t="shared" ca="1" si="24"/>
        <v>-2.177142857142826</v>
      </c>
      <c r="K99" s="13" t="e">
        <f t="shared" ca="1" si="25"/>
        <v>#N/A</v>
      </c>
      <c r="L99" s="13" t="e">
        <f t="shared" ca="1" si="26"/>
        <v>#N/A</v>
      </c>
      <c r="M99" t="e">
        <f t="shared" ca="1" si="21"/>
        <v>#N/A</v>
      </c>
      <c r="N99" t="e">
        <f t="shared" ca="1" si="22"/>
        <v>#N/A</v>
      </c>
    </row>
    <row r="100" spans="1:14" x14ac:dyDescent="0.25">
      <c r="A100" s="8">
        <f t="shared" si="27"/>
        <v>0.42488425925925838</v>
      </c>
      <c r="B100" s="4">
        <f t="shared" si="28"/>
        <v>1553300710</v>
      </c>
      <c r="C100">
        <v>3</v>
      </c>
      <c r="D100">
        <v>54</v>
      </c>
      <c r="E100" t="e">
        <f t="shared" ca="1" si="19"/>
        <v>#N/A</v>
      </c>
      <c r="F100" t="e">
        <f t="shared" ca="1" si="20"/>
        <v>#N/A</v>
      </c>
      <c r="G100">
        <f t="shared" ca="1" si="23"/>
        <v>7728.8571428571431</v>
      </c>
      <c r="H100" s="13" t="e">
        <f t="shared" ca="1" si="24"/>
        <v>#N/A</v>
      </c>
      <c r="I100" s="13" t="e">
        <f t="shared" ca="1" si="24"/>
        <v>#N/A</v>
      </c>
      <c r="J100" s="13">
        <f t="shared" ca="1" si="24"/>
        <v>-2.177142857142826</v>
      </c>
      <c r="K100" s="13" t="e">
        <f t="shared" ca="1" si="25"/>
        <v>#N/A</v>
      </c>
      <c r="L100" s="13" t="e">
        <f t="shared" ca="1" si="26"/>
        <v>#N/A</v>
      </c>
      <c r="M100" t="e">
        <f t="shared" ca="1" si="21"/>
        <v>#N/A</v>
      </c>
      <c r="N100" t="e">
        <f t="shared" ca="1" si="22"/>
        <v>#N/A</v>
      </c>
    </row>
    <row r="101" spans="1:14" x14ac:dyDescent="0.25">
      <c r="A101" s="8">
        <f t="shared" si="27"/>
        <v>0.42494212962962874</v>
      </c>
      <c r="B101" s="4">
        <f t="shared" si="28"/>
        <v>1553300715</v>
      </c>
      <c r="C101">
        <v>3</v>
      </c>
      <c r="D101">
        <v>54</v>
      </c>
      <c r="E101" t="e">
        <f t="shared" ca="1" si="19"/>
        <v>#N/A</v>
      </c>
      <c r="F101" t="e">
        <f t="shared" ca="1" si="20"/>
        <v>#N/A</v>
      </c>
      <c r="G101">
        <f t="shared" ca="1" si="23"/>
        <v>7717.971428571429</v>
      </c>
      <c r="H101" s="13" t="e">
        <f t="shared" ca="1" si="24"/>
        <v>#N/A</v>
      </c>
      <c r="I101" s="13" t="e">
        <f t="shared" ca="1" si="24"/>
        <v>#N/A</v>
      </c>
      <c r="J101" s="13">
        <f t="shared" ca="1" si="24"/>
        <v>-2.177142857142826</v>
      </c>
      <c r="K101" s="13" t="e">
        <f t="shared" ca="1" si="25"/>
        <v>#N/A</v>
      </c>
      <c r="L101" s="13" t="e">
        <f t="shared" ca="1" si="26"/>
        <v>#N/A</v>
      </c>
      <c r="M101" t="e">
        <f t="shared" ca="1" si="21"/>
        <v>#N/A</v>
      </c>
      <c r="N101" t="e">
        <f t="shared" ca="1" si="22"/>
        <v>#N/A</v>
      </c>
    </row>
    <row r="102" spans="1:14" x14ac:dyDescent="0.25">
      <c r="A102" s="8">
        <f t="shared" si="27"/>
        <v>0.4249999999999991</v>
      </c>
      <c r="B102" s="4">
        <f t="shared" si="28"/>
        <v>1553300720</v>
      </c>
      <c r="C102">
        <v>3</v>
      </c>
      <c r="D102">
        <v>54</v>
      </c>
      <c r="E102" t="e">
        <f t="shared" ca="1" si="19"/>
        <v>#N/A</v>
      </c>
      <c r="F102" t="e">
        <f t="shared" ca="1" si="20"/>
        <v>#N/A</v>
      </c>
      <c r="G102">
        <f t="shared" ca="1" si="23"/>
        <v>7707.0857142857149</v>
      </c>
      <c r="H102" s="13" t="e">
        <f t="shared" ca="1" si="24"/>
        <v>#N/A</v>
      </c>
      <c r="I102" s="13" t="e">
        <f t="shared" ca="1" si="24"/>
        <v>#N/A</v>
      </c>
      <c r="J102" s="13">
        <f t="shared" ca="1" si="24"/>
        <v>-2.177142857143008</v>
      </c>
      <c r="K102" s="13" t="e">
        <f t="shared" ca="1" si="25"/>
        <v>#N/A</v>
      </c>
      <c r="L102" s="13" t="e">
        <f t="shared" ca="1" si="26"/>
        <v>#N/A</v>
      </c>
      <c r="M102" t="e">
        <f t="shared" ca="1" si="21"/>
        <v>#N/A</v>
      </c>
      <c r="N102" t="e">
        <f t="shared" ca="1" si="22"/>
        <v>#N/A</v>
      </c>
    </row>
    <row r="103" spans="1:14" x14ac:dyDescent="0.25">
      <c r="A103" s="8">
        <f>A102+5/24/3600</f>
        <v>0.42505787037036946</v>
      </c>
      <c r="B103" s="4">
        <f t="shared" si="28"/>
        <v>1553300725</v>
      </c>
      <c r="C103">
        <v>3</v>
      </c>
      <c r="D103">
        <v>54</v>
      </c>
      <c r="E103" t="e">
        <f t="shared" ca="1" si="19"/>
        <v>#N/A</v>
      </c>
      <c r="F103" t="e">
        <f t="shared" ca="1" si="20"/>
        <v>#N/A</v>
      </c>
      <c r="G103">
        <f t="shared" ca="1" si="23"/>
        <v>7696.2</v>
      </c>
      <c r="H103" s="13" t="e">
        <f t="shared" ca="1" si="24"/>
        <v>#N/A</v>
      </c>
      <c r="I103" s="13" t="e">
        <f t="shared" ca="1" si="24"/>
        <v>#N/A</v>
      </c>
      <c r="J103" s="13">
        <f t="shared" ca="1" si="24"/>
        <v>-2.177142857142826</v>
      </c>
      <c r="K103" s="13" t="e">
        <f t="shared" ca="1" si="25"/>
        <v>#N/A</v>
      </c>
      <c r="L103" s="13" t="e">
        <f t="shared" ca="1" si="26"/>
        <v>#N/A</v>
      </c>
      <c r="M103" t="e">
        <f t="shared" ca="1" si="21"/>
        <v>#N/A</v>
      </c>
      <c r="N103" t="e">
        <f t="shared" ca="1" si="22"/>
        <v>#N/A</v>
      </c>
    </row>
    <row r="104" spans="1:14" x14ac:dyDescent="0.25">
      <c r="A104" s="8">
        <f t="shared" ref="A104:A120" si="29">A103+5/24/3600</f>
        <v>0.42511574074073982</v>
      </c>
      <c r="B104" s="4">
        <f t="shared" si="28"/>
        <v>1553300730</v>
      </c>
      <c r="C104">
        <v>3</v>
      </c>
      <c r="D104">
        <v>54</v>
      </c>
      <c r="E104" t="e">
        <f t="shared" ca="1" si="19"/>
        <v>#N/A</v>
      </c>
      <c r="F104" t="e">
        <f t="shared" ca="1" si="20"/>
        <v>#N/A</v>
      </c>
      <c r="G104">
        <f t="shared" ca="1" si="23"/>
        <v>7685.3142857142857</v>
      </c>
      <c r="H104" s="13" t="e">
        <f t="shared" ca="1" si="24"/>
        <v>#N/A</v>
      </c>
      <c r="I104" s="13" t="e">
        <f t="shared" ca="1" si="24"/>
        <v>#N/A</v>
      </c>
      <c r="J104" s="13">
        <f t="shared" ca="1" si="24"/>
        <v>-2.177142857142826</v>
      </c>
      <c r="K104" s="13" t="e">
        <f t="shared" ca="1" si="25"/>
        <v>#N/A</v>
      </c>
      <c r="L104" s="13" t="e">
        <f t="shared" ca="1" si="26"/>
        <v>#N/A</v>
      </c>
      <c r="M104" t="e">
        <f t="shared" ca="1" si="21"/>
        <v>#N/A</v>
      </c>
      <c r="N104" t="e">
        <f t="shared" ca="1" si="22"/>
        <v>#N/A</v>
      </c>
    </row>
    <row r="105" spans="1:14" x14ac:dyDescent="0.25">
      <c r="A105" s="8">
        <f t="shared" si="29"/>
        <v>0.42517361111111018</v>
      </c>
      <c r="B105" s="4">
        <f t="shared" si="28"/>
        <v>1553300735</v>
      </c>
      <c r="C105">
        <v>3</v>
      </c>
      <c r="D105">
        <v>54</v>
      </c>
      <c r="E105" t="e">
        <f t="shared" ca="1" si="19"/>
        <v>#N/A</v>
      </c>
      <c r="F105" t="e">
        <f t="shared" ca="1" si="20"/>
        <v>#N/A</v>
      </c>
      <c r="G105">
        <f t="shared" ca="1" si="23"/>
        <v>7674.4285714285716</v>
      </c>
      <c r="H105" s="13" t="e">
        <f t="shared" ca="1" si="24"/>
        <v>#N/A</v>
      </c>
      <c r="I105" s="13" t="e">
        <f t="shared" ca="1" si="24"/>
        <v>#N/A</v>
      </c>
      <c r="J105" s="13">
        <f t="shared" ca="1" si="24"/>
        <v>-2.177142857142826</v>
      </c>
      <c r="K105" s="13" t="e">
        <f t="shared" ca="1" si="25"/>
        <v>#N/A</v>
      </c>
      <c r="L105" s="13" t="e">
        <f t="shared" ca="1" si="26"/>
        <v>#N/A</v>
      </c>
      <c r="M105" t="e">
        <f t="shared" ca="1" si="21"/>
        <v>#N/A</v>
      </c>
      <c r="N105" t="e">
        <f t="shared" ca="1" si="22"/>
        <v>#N/A</v>
      </c>
    </row>
    <row r="106" spans="1:14" x14ac:dyDescent="0.25">
      <c r="A106" s="8">
        <f t="shared" si="29"/>
        <v>0.42523148148148054</v>
      </c>
      <c r="B106" s="4">
        <f t="shared" si="28"/>
        <v>1553300740</v>
      </c>
      <c r="C106">
        <v>3</v>
      </c>
      <c r="D106">
        <v>54</v>
      </c>
      <c r="E106" t="e">
        <f t="shared" ca="1" si="19"/>
        <v>#N/A</v>
      </c>
      <c r="F106" t="e">
        <f t="shared" ca="1" si="20"/>
        <v>#N/A</v>
      </c>
      <c r="G106">
        <f t="shared" ca="1" si="23"/>
        <v>7663.5428571428574</v>
      </c>
      <c r="H106" s="13" t="e">
        <f t="shared" ca="1" si="24"/>
        <v>#N/A</v>
      </c>
      <c r="I106" s="13" t="e">
        <f t="shared" ca="1" si="24"/>
        <v>#N/A</v>
      </c>
      <c r="J106" s="13">
        <f t="shared" ca="1" si="24"/>
        <v>-2.177142857143008</v>
      </c>
      <c r="K106" s="13" t="e">
        <f t="shared" ca="1" si="25"/>
        <v>#N/A</v>
      </c>
      <c r="L106" s="13" t="e">
        <f t="shared" ca="1" si="26"/>
        <v>#N/A</v>
      </c>
      <c r="M106" t="e">
        <f t="shared" ca="1" si="21"/>
        <v>#N/A</v>
      </c>
      <c r="N106" t="e">
        <f t="shared" ca="1" si="22"/>
        <v>#N/A</v>
      </c>
    </row>
    <row r="107" spans="1:14" x14ac:dyDescent="0.25">
      <c r="A107" s="8">
        <f t="shared" si="29"/>
        <v>0.42528935185185091</v>
      </c>
      <c r="B107" s="4">
        <f t="shared" si="28"/>
        <v>1553300745</v>
      </c>
      <c r="C107">
        <v>3</v>
      </c>
      <c r="D107">
        <v>54</v>
      </c>
      <c r="E107" t="e">
        <f t="shared" ca="1" si="19"/>
        <v>#N/A</v>
      </c>
      <c r="F107" t="e">
        <f t="shared" ca="1" si="20"/>
        <v>#N/A</v>
      </c>
      <c r="G107">
        <f t="shared" ca="1" si="23"/>
        <v>7652.6571428571424</v>
      </c>
      <c r="H107" s="13" t="e">
        <f t="shared" ca="1" si="24"/>
        <v>#N/A</v>
      </c>
      <c r="I107" s="13" t="e">
        <f t="shared" ca="1" si="24"/>
        <v>#N/A</v>
      </c>
      <c r="J107" s="13">
        <f t="shared" ca="1" si="24"/>
        <v>-2.177142857142826</v>
      </c>
      <c r="K107" s="13" t="e">
        <f t="shared" ca="1" si="25"/>
        <v>#N/A</v>
      </c>
      <c r="L107" s="13" t="e">
        <f t="shared" ca="1" si="26"/>
        <v>#N/A</v>
      </c>
      <c r="M107" t="e">
        <f t="shared" ca="1" si="21"/>
        <v>#N/A</v>
      </c>
      <c r="N107" t="e">
        <f t="shared" ca="1" si="22"/>
        <v>#N/A</v>
      </c>
    </row>
    <row r="108" spans="1:14" x14ac:dyDescent="0.25">
      <c r="A108" s="8">
        <f t="shared" si="29"/>
        <v>0.42534722222222127</v>
      </c>
      <c r="B108" s="4">
        <f t="shared" si="28"/>
        <v>1553300750</v>
      </c>
      <c r="C108">
        <v>3</v>
      </c>
      <c r="D108">
        <v>54</v>
      </c>
      <c r="E108" t="e">
        <f t="shared" ca="1" si="19"/>
        <v>#N/A</v>
      </c>
      <c r="F108" t="e">
        <f t="shared" ca="1" si="20"/>
        <v>#N/A</v>
      </c>
      <c r="G108">
        <f t="shared" ca="1" si="23"/>
        <v>7641.7714285714283</v>
      </c>
      <c r="H108" s="13" t="e">
        <f t="shared" ca="1" si="24"/>
        <v>#N/A</v>
      </c>
      <c r="I108" s="13" t="e">
        <f t="shared" ca="1" si="24"/>
        <v>#N/A</v>
      </c>
      <c r="J108" s="13">
        <f t="shared" ca="1" si="24"/>
        <v>-2.177142857142826</v>
      </c>
      <c r="K108" s="13" t="e">
        <f t="shared" ca="1" si="25"/>
        <v>#N/A</v>
      </c>
      <c r="L108" s="13" t="e">
        <f t="shared" ca="1" si="26"/>
        <v>#N/A</v>
      </c>
      <c r="M108" t="e">
        <f t="shared" ca="1" si="21"/>
        <v>#N/A</v>
      </c>
      <c r="N108" t="e">
        <f t="shared" ca="1" si="22"/>
        <v>#N/A</v>
      </c>
    </row>
    <row r="109" spans="1:14" x14ac:dyDescent="0.25">
      <c r="A109" s="8">
        <f t="shared" si="29"/>
        <v>0.42540509259259163</v>
      </c>
      <c r="B109" s="4">
        <f t="shared" si="28"/>
        <v>1553300755</v>
      </c>
      <c r="C109">
        <v>3</v>
      </c>
      <c r="D109">
        <v>54</v>
      </c>
      <c r="E109" t="e">
        <f t="shared" ca="1" si="19"/>
        <v>#N/A</v>
      </c>
      <c r="F109" t="e">
        <f t="shared" ca="1" si="20"/>
        <v>#N/A</v>
      </c>
      <c r="G109">
        <f t="shared" ca="1" si="23"/>
        <v>7630.8857142857141</v>
      </c>
      <c r="H109" s="13" t="e">
        <f t="shared" ca="1" si="24"/>
        <v>#N/A</v>
      </c>
      <c r="I109" s="13" t="e">
        <f t="shared" ca="1" si="24"/>
        <v>#N/A</v>
      </c>
      <c r="J109" s="13">
        <f t="shared" ca="1" si="24"/>
        <v>-2.177142857142826</v>
      </c>
      <c r="K109" s="13" t="e">
        <f t="shared" ca="1" si="25"/>
        <v>#N/A</v>
      </c>
      <c r="L109" s="13" t="e">
        <f t="shared" ca="1" si="26"/>
        <v>#N/A</v>
      </c>
      <c r="M109" t="e">
        <f t="shared" ca="1" si="21"/>
        <v>#N/A</v>
      </c>
      <c r="N109" t="e">
        <f t="shared" ca="1" si="22"/>
        <v>#N/A</v>
      </c>
    </row>
    <row r="110" spans="1:14" x14ac:dyDescent="0.25">
      <c r="A110" s="8">
        <f t="shared" si="29"/>
        <v>0.42546296296296199</v>
      </c>
      <c r="B110" s="4">
        <f t="shared" si="28"/>
        <v>1553300760</v>
      </c>
      <c r="C110">
        <v>3</v>
      </c>
      <c r="D110">
        <v>54</v>
      </c>
      <c r="E110" t="e">
        <f t="shared" ca="1" si="19"/>
        <v>#N/A</v>
      </c>
      <c r="F110" t="e">
        <f t="shared" ca="1" si="20"/>
        <v>#N/A</v>
      </c>
      <c r="G110">
        <f t="shared" ca="1" si="23"/>
        <v>7620</v>
      </c>
      <c r="H110" s="13" t="e">
        <f t="shared" ca="1" si="24"/>
        <v>#N/A</v>
      </c>
      <c r="I110" s="13" t="e">
        <f t="shared" ca="1" si="24"/>
        <v>#N/A</v>
      </c>
      <c r="J110" s="13">
        <f t="shared" ca="1" si="24"/>
        <v>-2.177142857142826</v>
      </c>
      <c r="K110" s="13" t="e">
        <f t="shared" ca="1" si="25"/>
        <v>#N/A</v>
      </c>
      <c r="L110" s="13" t="e">
        <f t="shared" ca="1" si="26"/>
        <v>#N/A</v>
      </c>
      <c r="M110" t="e">
        <f t="shared" ca="1" si="21"/>
        <v>#N/A</v>
      </c>
      <c r="N110" t="e">
        <f t="shared" ca="1" si="22"/>
        <v>#N/A</v>
      </c>
    </row>
    <row r="111" spans="1:14" x14ac:dyDescent="0.25">
      <c r="A111" s="8">
        <f t="shared" si="29"/>
        <v>0.42552083333333235</v>
      </c>
      <c r="B111" s="4">
        <f t="shared" si="28"/>
        <v>1553300765</v>
      </c>
      <c r="C111">
        <v>3</v>
      </c>
      <c r="D111">
        <v>54</v>
      </c>
      <c r="E111" t="e">
        <f t="shared" ca="1" si="19"/>
        <v>#N/A</v>
      </c>
      <c r="F111" t="e">
        <f t="shared" ca="1" si="20"/>
        <v>#N/A</v>
      </c>
      <c r="G111">
        <f t="shared" ca="1" si="23"/>
        <v>7609.1142857142859</v>
      </c>
      <c r="H111" s="13" t="e">
        <f t="shared" ca="1" si="24"/>
        <v>#N/A</v>
      </c>
      <c r="I111" s="13" t="e">
        <f t="shared" ca="1" si="24"/>
        <v>#N/A</v>
      </c>
      <c r="J111" s="13">
        <f t="shared" ca="1" si="24"/>
        <v>-2.177142857142826</v>
      </c>
      <c r="K111" s="13" t="e">
        <f t="shared" ca="1" si="25"/>
        <v>#N/A</v>
      </c>
      <c r="L111" s="13" t="e">
        <f t="shared" ca="1" si="26"/>
        <v>#N/A</v>
      </c>
      <c r="M111" t="e">
        <f t="shared" ca="1" si="21"/>
        <v>#N/A</v>
      </c>
      <c r="N111" t="e">
        <f t="shared" ca="1" si="22"/>
        <v>#N/A</v>
      </c>
    </row>
    <row r="112" spans="1:14" x14ac:dyDescent="0.25">
      <c r="A112" s="8">
        <f t="shared" si="29"/>
        <v>0.42557870370370271</v>
      </c>
      <c r="B112" s="4">
        <f t="shared" si="28"/>
        <v>1553300770</v>
      </c>
      <c r="C112">
        <v>3</v>
      </c>
      <c r="D112">
        <v>54</v>
      </c>
      <c r="E112" t="e">
        <f t="shared" ca="1" si="19"/>
        <v>#N/A</v>
      </c>
      <c r="F112" t="e">
        <f t="shared" ca="1" si="20"/>
        <v>#N/A</v>
      </c>
      <c r="G112">
        <f t="shared" ca="1" si="23"/>
        <v>7598.2285714285717</v>
      </c>
      <c r="H112" s="13" t="e">
        <f t="shared" ca="1" si="24"/>
        <v>#N/A</v>
      </c>
      <c r="I112" s="13" t="e">
        <f t="shared" ca="1" si="24"/>
        <v>#N/A</v>
      </c>
      <c r="J112" s="13">
        <f t="shared" ca="1" si="24"/>
        <v>-2.177142857142826</v>
      </c>
      <c r="K112" s="13" t="e">
        <f t="shared" ca="1" si="25"/>
        <v>#N/A</v>
      </c>
      <c r="L112" s="13" t="e">
        <f t="shared" ca="1" si="26"/>
        <v>#N/A</v>
      </c>
      <c r="M112" t="e">
        <f t="shared" ca="1" si="21"/>
        <v>#N/A</v>
      </c>
      <c r="N112" t="e">
        <f t="shared" ca="1" si="22"/>
        <v>#N/A</v>
      </c>
    </row>
    <row r="113" spans="1:14" x14ac:dyDescent="0.25">
      <c r="A113" s="8">
        <f t="shared" si="29"/>
        <v>0.42563657407407307</v>
      </c>
      <c r="B113" s="4">
        <f t="shared" si="28"/>
        <v>1553300775</v>
      </c>
      <c r="C113">
        <v>3</v>
      </c>
      <c r="D113">
        <v>54</v>
      </c>
      <c r="E113" t="e">
        <f t="shared" ca="1" si="19"/>
        <v>#N/A</v>
      </c>
      <c r="F113" t="e">
        <f t="shared" ca="1" si="20"/>
        <v>#N/A</v>
      </c>
      <c r="G113">
        <f t="shared" ca="1" si="23"/>
        <v>7587.3428571428576</v>
      </c>
      <c r="H113" s="13" t="e">
        <f t="shared" ca="1" si="24"/>
        <v>#N/A</v>
      </c>
      <c r="I113" s="13" t="e">
        <f t="shared" ca="1" si="24"/>
        <v>#N/A</v>
      </c>
      <c r="J113" s="13">
        <f t="shared" ca="1" si="24"/>
        <v>-2.177142857143008</v>
      </c>
      <c r="K113" s="13" t="e">
        <f t="shared" ca="1" si="25"/>
        <v>#N/A</v>
      </c>
      <c r="L113" s="13" t="e">
        <f t="shared" ca="1" si="26"/>
        <v>#N/A</v>
      </c>
      <c r="M113" t="e">
        <f t="shared" ca="1" si="21"/>
        <v>#N/A</v>
      </c>
      <c r="N113" t="e">
        <f t="shared" ca="1" si="22"/>
        <v>#N/A</v>
      </c>
    </row>
    <row r="114" spans="1:14" x14ac:dyDescent="0.25">
      <c r="A114" s="8">
        <f t="shared" si="29"/>
        <v>0.42569444444444343</v>
      </c>
      <c r="B114" s="4">
        <f t="shared" si="28"/>
        <v>1553300780</v>
      </c>
      <c r="C114">
        <v>3</v>
      </c>
      <c r="D114">
        <v>54</v>
      </c>
      <c r="E114" t="e">
        <f t="shared" ca="1" si="19"/>
        <v>#N/A</v>
      </c>
      <c r="F114" t="e">
        <f t="shared" ca="1" si="20"/>
        <v>#N/A</v>
      </c>
      <c r="G114">
        <f t="shared" ca="1" si="23"/>
        <v>7576.4571428571426</v>
      </c>
      <c r="H114" s="13" t="e">
        <f t="shared" ca="1" si="24"/>
        <v>#N/A</v>
      </c>
      <c r="I114" s="13" t="e">
        <f t="shared" ca="1" si="24"/>
        <v>#N/A</v>
      </c>
      <c r="J114" s="13">
        <f t="shared" ca="1" si="24"/>
        <v>-2.177142857142826</v>
      </c>
      <c r="K114" s="13" t="e">
        <f t="shared" ca="1" si="25"/>
        <v>#N/A</v>
      </c>
      <c r="L114" s="13" t="e">
        <f t="shared" ca="1" si="26"/>
        <v>#N/A</v>
      </c>
      <c r="M114" t="e">
        <f t="shared" ca="1" si="21"/>
        <v>#N/A</v>
      </c>
      <c r="N114" t="e">
        <f t="shared" ca="1" si="22"/>
        <v>#N/A</v>
      </c>
    </row>
    <row r="115" spans="1:14" x14ac:dyDescent="0.25">
      <c r="A115" s="8">
        <f t="shared" si="29"/>
        <v>0.42575231481481379</v>
      </c>
      <c r="B115" s="4">
        <f t="shared" si="28"/>
        <v>1553300785</v>
      </c>
      <c r="C115">
        <v>3</v>
      </c>
      <c r="D115">
        <v>54</v>
      </c>
      <c r="E115" t="e">
        <f t="shared" ca="1" si="19"/>
        <v>#N/A</v>
      </c>
      <c r="F115" t="e">
        <f t="shared" ca="1" si="20"/>
        <v>#N/A</v>
      </c>
      <c r="G115">
        <f t="shared" ca="1" si="23"/>
        <v>7565.5714285714284</v>
      </c>
      <c r="H115" s="13" t="e">
        <f t="shared" ca="1" si="24"/>
        <v>#N/A</v>
      </c>
      <c r="I115" s="13" t="e">
        <f t="shared" ca="1" si="24"/>
        <v>#N/A</v>
      </c>
      <c r="J115" s="13">
        <f t="shared" ca="1" si="24"/>
        <v>-2.177142857142826</v>
      </c>
      <c r="K115" s="13" t="e">
        <f t="shared" ca="1" si="25"/>
        <v>#N/A</v>
      </c>
      <c r="L115" s="13" t="e">
        <f t="shared" ca="1" si="26"/>
        <v>#N/A</v>
      </c>
      <c r="M115" t="e">
        <f t="shared" ca="1" si="21"/>
        <v>#N/A</v>
      </c>
      <c r="N115" t="e">
        <f t="shared" ca="1" si="22"/>
        <v>#N/A</v>
      </c>
    </row>
    <row r="116" spans="1:14" x14ac:dyDescent="0.25">
      <c r="A116" s="8">
        <f t="shared" si="29"/>
        <v>0.42581018518518415</v>
      </c>
      <c r="B116" s="4">
        <f t="shared" si="28"/>
        <v>1553300790</v>
      </c>
      <c r="C116">
        <v>3</v>
      </c>
      <c r="D116">
        <v>54</v>
      </c>
      <c r="E116" t="e">
        <f t="shared" ca="1" si="19"/>
        <v>#N/A</v>
      </c>
      <c r="F116" t="e">
        <f t="shared" ca="1" si="20"/>
        <v>#N/A</v>
      </c>
      <c r="G116">
        <f t="shared" ca="1" si="23"/>
        <v>7554.6857142857143</v>
      </c>
      <c r="H116" s="13" t="e">
        <f t="shared" ca="1" si="24"/>
        <v>#N/A</v>
      </c>
      <c r="I116" s="13" t="e">
        <f t="shared" ca="1" si="24"/>
        <v>#N/A</v>
      </c>
      <c r="J116" s="13">
        <f t="shared" ca="1" si="24"/>
        <v>-2.177142857142826</v>
      </c>
      <c r="K116" s="13" t="e">
        <f t="shared" ca="1" si="25"/>
        <v>#N/A</v>
      </c>
      <c r="L116" s="13" t="e">
        <f t="shared" ca="1" si="26"/>
        <v>#N/A</v>
      </c>
      <c r="M116" t="e">
        <f t="shared" ca="1" si="21"/>
        <v>#N/A</v>
      </c>
      <c r="N116" t="e">
        <f t="shared" ca="1" si="22"/>
        <v>#N/A</v>
      </c>
    </row>
    <row r="117" spans="1:14" x14ac:dyDescent="0.25">
      <c r="A117" s="8">
        <f t="shared" si="29"/>
        <v>0.42586805555555451</v>
      </c>
      <c r="B117" s="4">
        <f t="shared" si="28"/>
        <v>1553300795</v>
      </c>
      <c r="C117">
        <v>3</v>
      </c>
      <c r="D117">
        <v>54</v>
      </c>
      <c r="E117" t="e">
        <f t="shared" ca="1" si="19"/>
        <v>#N/A</v>
      </c>
      <c r="F117" t="e">
        <f t="shared" ca="1" si="20"/>
        <v>#N/A</v>
      </c>
      <c r="G117">
        <f t="shared" ca="1" si="23"/>
        <v>7543.8</v>
      </c>
      <c r="H117" s="13" t="e">
        <f t="shared" ca="1" si="24"/>
        <v>#N/A</v>
      </c>
      <c r="I117" s="13" t="e">
        <f t="shared" ca="1" si="24"/>
        <v>#N/A</v>
      </c>
      <c r="J117" s="13">
        <f t="shared" ca="1" si="24"/>
        <v>-2.177142857142826</v>
      </c>
      <c r="K117" s="13" t="e">
        <f t="shared" ca="1" si="25"/>
        <v>#N/A</v>
      </c>
      <c r="L117" s="13" t="e">
        <f t="shared" ca="1" si="26"/>
        <v>#N/A</v>
      </c>
      <c r="M117" t="e">
        <f t="shared" ca="1" si="21"/>
        <v>#N/A</v>
      </c>
      <c r="N117" t="e">
        <f t="shared" ca="1" si="22"/>
        <v>#N/A</v>
      </c>
    </row>
    <row r="118" spans="1:14" x14ac:dyDescent="0.25">
      <c r="A118" s="8">
        <f t="shared" si="29"/>
        <v>0.42592592592592488</v>
      </c>
      <c r="B118" s="4">
        <f t="shared" si="28"/>
        <v>1553300800</v>
      </c>
      <c r="C118">
        <v>3</v>
      </c>
      <c r="D118">
        <v>54</v>
      </c>
      <c r="E118" t="e">
        <f t="shared" ca="1" si="19"/>
        <v>#N/A</v>
      </c>
      <c r="F118" t="e">
        <f t="shared" ca="1" si="20"/>
        <v>#N/A</v>
      </c>
      <c r="G118">
        <f t="shared" ca="1" si="23"/>
        <v>7532.9142857142861</v>
      </c>
      <c r="H118" s="13" t="e">
        <f t="shared" ca="1" si="24"/>
        <v>#N/A</v>
      </c>
      <c r="I118" s="13" t="e">
        <f t="shared" ca="1" si="24"/>
        <v>#N/A</v>
      </c>
      <c r="J118" s="13">
        <f t="shared" ca="1" si="24"/>
        <v>-2.177142857143008</v>
      </c>
      <c r="K118" s="13" t="e">
        <f t="shared" ca="1" si="25"/>
        <v>#N/A</v>
      </c>
      <c r="L118" s="13" t="e">
        <f t="shared" ca="1" si="26"/>
        <v>#N/A</v>
      </c>
      <c r="M118" t="e">
        <f t="shared" ca="1" si="21"/>
        <v>#N/A</v>
      </c>
      <c r="N118" t="e">
        <f t="shared" ca="1" si="22"/>
        <v>#N/A</v>
      </c>
    </row>
    <row r="119" spans="1:14" x14ac:dyDescent="0.25">
      <c r="A119" s="8">
        <f t="shared" si="29"/>
        <v>0.42598379629629524</v>
      </c>
      <c r="B119" s="4">
        <f t="shared" si="28"/>
        <v>1553300805</v>
      </c>
      <c r="C119">
        <v>3</v>
      </c>
      <c r="D119">
        <v>54</v>
      </c>
      <c r="E119" t="e">
        <f t="shared" ca="1" si="19"/>
        <v>#N/A</v>
      </c>
      <c r="F119" t="e">
        <f t="shared" ca="1" si="20"/>
        <v>#N/A</v>
      </c>
      <c r="G119">
        <f t="shared" ca="1" si="23"/>
        <v>7522.028571428571</v>
      </c>
      <c r="H119" s="13" t="e">
        <f t="shared" ca="1" si="24"/>
        <v>#N/A</v>
      </c>
      <c r="I119" s="13" t="e">
        <f t="shared" ca="1" si="24"/>
        <v>#N/A</v>
      </c>
      <c r="J119" s="13">
        <f t="shared" ca="1" si="24"/>
        <v>-2.177142857142826</v>
      </c>
      <c r="K119" s="13" t="e">
        <f t="shared" ca="1" si="25"/>
        <v>#N/A</v>
      </c>
      <c r="L119" s="13" t="e">
        <f t="shared" ca="1" si="26"/>
        <v>#N/A</v>
      </c>
      <c r="M119" t="e">
        <f t="shared" ca="1" si="21"/>
        <v>#N/A</v>
      </c>
      <c r="N119" t="e">
        <f t="shared" ca="1" si="22"/>
        <v>#N/A</v>
      </c>
    </row>
    <row r="120" spans="1:14" x14ac:dyDescent="0.25">
      <c r="A120" s="8">
        <f t="shared" si="29"/>
        <v>0.4260416666666656</v>
      </c>
      <c r="B120" s="4">
        <f t="shared" si="28"/>
        <v>1553300810</v>
      </c>
      <c r="C120">
        <v>3</v>
      </c>
      <c r="D120">
        <v>54</v>
      </c>
      <c r="E120" t="e">
        <f t="shared" ca="1" si="19"/>
        <v>#N/A</v>
      </c>
      <c r="F120" t="e">
        <f t="shared" ca="1" si="20"/>
        <v>#N/A</v>
      </c>
      <c r="G120">
        <f t="shared" ca="1" si="23"/>
        <v>7511.1428571428569</v>
      </c>
      <c r="H120" s="13" t="e">
        <f t="shared" ca="1" si="24"/>
        <v>#N/A</v>
      </c>
      <c r="I120" s="13" t="e">
        <f t="shared" ca="1" si="24"/>
        <v>#N/A</v>
      </c>
      <c r="J120" s="13">
        <f t="shared" ca="1" si="24"/>
        <v>-2.177142857142826</v>
      </c>
      <c r="K120" s="13" t="e">
        <f t="shared" ca="1" si="25"/>
        <v>#N/A</v>
      </c>
      <c r="L120" s="13" t="e">
        <f t="shared" ca="1" si="26"/>
        <v>#N/A</v>
      </c>
      <c r="M120" t="e">
        <f t="shared" ca="1" si="21"/>
        <v>#N/A</v>
      </c>
      <c r="N120" t="e">
        <f t="shared" ca="1" si="22"/>
        <v>#N/A</v>
      </c>
    </row>
    <row r="121" spans="1:14" x14ac:dyDescent="0.25">
      <c r="A121" s="8">
        <f>A120+5/24/3600</f>
        <v>0.42609953703703596</v>
      </c>
      <c r="B121" s="4">
        <f t="shared" si="28"/>
        <v>1553300815</v>
      </c>
      <c r="C121">
        <v>3</v>
      </c>
      <c r="D121">
        <v>54</v>
      </c>
      <c r="E121" t="e">
        <f t="shared" ref="E121:E138" ca="1" si="30">INDIRECT("E$"&amp;C121)+INDIRECT("H$"&amp;C121)*($B121-INDIRECT("B$"&amp;D121))</f>
        <v>#N/A</v>
      </c>
      <c r="F121" t="e">
        <f t="shared" ref="F121:F138" ca="1" si="31">INDIRECT("F$"&amp;C121)+INDIRECT("I$"&amp;C121)*($B121-INDIRECT("B$"&amp;D121))</f>
        <v>#N/A</v>
      </c>
      <c r="G121">
        <f t="shared" ca="1" si="23"/>
        <v>7500.2571428571428</v>
      </c>
      <c r="H121" s="13" t="e">
        <f t="shared" ca="1" si="24"/>
        <v>#N/A</v>
      </c>
      <c r="I121" s="13" t="e">
        <f t="shared" ca="1" si="24"/>
        <v>#N/A</v>
      </c>
      <c r="J121" s="13">
        <f t="shared" ca="1" si="24"/>
        <v>-2.177142857142826</v>
      </c>
      <c r="K121" s="13" t="e">
        <f t="shared" ca="1" si="25"/>
        <v>#N/A</v>
      </c>
      <c r="L121" s="13" t="e">
        <f t="shared" ca="1" si="26"/>
        <v>#N/A</v>
      </c>
      <c r="M121" t="e">
        <f t="shared" ref="M121:M138" ca="1" si="32">INDIRECT("M$"&amp;C121)+INDIRECT("O$"&amp;C121)*($B121-INDIRECT("B$"&amp;D121))</f>
        <v>#N/A</v>
      </c>
      <c r="N121" t="e">
        <f t="shared" ref="N121:N138" ca="1" si="33">INDIRECT("N$"&amp;C121)+INDIRECT("P$"&amp;C121)*($B121-INDIRECT("B$"&amp;D121))</f>
        <v>#N/A</v>
      </c>
    </row>
    <row r="122" spans="1:14" x14ac:dyDescent="0.25">
      <c r="A122" s="8">
        <f t="shared" ref="A122:A138" si="34">A121+5/24/3600</f>
        <v>0.42615740740740632</v>
      </c>
      <c r="B122" s="4">
        <f t="shared" si="28"/>
        <v>1553300820</v>
      </c>
      <c r="C122">
        <v>3</v>
      </c>
      <c r="D122">
        <v>54</v>
      </c>
      <c r="E122" t="e">
        <f t="shared" ca="1" si="30"/>
        <v>#N/A</v>
      </c>
      <c r="F122" t="e">
        <f t="shared" ca="1" si="31"/>
        <v>#N/A</v>
      </c>
      <c r="G122">
        <f t="shared" ca="1" si="23"/>
        <v>7489.3714285714286</v>
      </c>
      <c r="H122" s="13" t="e">
        <f t="shared" ca="1" si="24"/>
        <v>#N/A</v>
      </c>
      <c r="I122" s="13" t="e">
        <f t="shared" ca="1" si="24"/>
        <v>#N/A</v>
      </c>
      <c r="J122" s="13">
        <f t="shared" ca="1" si="24"/>
        <v>-2.177142857142826</v>
      </c>
      <c r="K122" s="13" t="e">
        <f t="shared" ca="1" si="25"/>
        <v>#N/A</v>
      </c>
      <c r="L122" s="13" t="e">
        <f t="shared" ca="1" si="26"/>
        <v>#N/A</v>
      </c>
      <c r="M122" t="e">
        <f t="shared" ca="1" si="32"/>
        <v>#N/A</v>
      </c>
      <c r="N122" t="e">
        <f t="shared" ca="1" si="33"/>
        <v>#N/A</v>
      </c>
    </row>
    <row r="123" spans="1:14" x14ac:dyDescent="0.25">
      <c r="A123" s="8">
        <f t="shared" si="34"/>
        <v>0.42621527777777668</v>
      </c>
      <c r="B123" s="4">
        <f t="shared" si="28"/>
        <v>1553300825</v>
      </c>
      <c r="C123">
        <v>3</v>
      </c>
      <c r="D123">
        <v>54</v>
      </c>
      <c r="E123" t="e">
        <f t="shared" ca="1" si="30"/>
        <v>#N/A</v>
      </c>
      <c r="F123" t="e">
        <f t="shared" ca="1" si="31"/>
        <v>#N/A</v>
      </c>
      <c r="G123">
        <f t="shared" ca="1" si="23"/>
        <v>7478.4857142857145</v>
      </c>
      <c r="H123" s="13" t="e">
        <f t="shared" ca="1" si="24"/>
        <v>#N/A</v>
      </c>
      <c r="I123" s="13" t="e">
        <f t="shared" ca="1" si="24"/>
        <v>#N/A</v>
      </c>
      <c r="J123" s="13">
        <f t="shared" ca="1" si="24"/>
        <v>-2.177142857142826</v>
      </c>
      <c r="K123" s="13" t="e">
        <f t="shared" ca="1" si="25"/>
        <v>#N/A</v>
      </c>
      <c r="L123" s="13" t="e">
        <f t="shared" ca="1" si="26"/>
        <v>#N/A</v>
      </c>
      <c r="M123" t="e">
        <f t="shared" ca="1" si="32"/>
        <v>#N/A</v>
      </c>
      <c r="N123" t="e">
        <f t="shared" ca="1" si="33"/>
        <v>#N/A</v>
      </c>
    </row>
    <row r="124" spans="1:14" x14ac:dyDescent="0.25">
      <c r="A124" s="8">
        <f t="shared" si="34"/>
        <v>0.42627314814814704</v>
      </c>
      <c r="B124" s="4">
        <f t="shared" si="28"/>
        <v>1553300830</v>
      </c>
      <c r="C124">
        <v>3</v>
      </c>
      <c r="D124">
        <v>54</v>
      </c>
      <c r="E124" t="e">
        <f t="shared" ca="1" si="30"/>
        <v>#N/A</v>
      </c>
      <c r="F124" t="e">
        <f t="shared" ca="1" si="31"/>
        <v>#N/A</v>
      </c>
      <c r="G124">
        <f t="shared" ca="1" si="23"/>
        <v>7467.6</v>
      </c>
      <c r="H124" s="13" t="e">
        <f t="shared" ca="1" si="24"/>
        <v>#N/A</v>
      </c>
      <c r="I124" s="13" t="e">
        <f t="shared" ca="1" si="24"/>
        <v>#N/A</v>
      </c>
      <c r="J124" s="13">
        <f t="shared" ca="1" si="24"/>
        <v>-2.177142857143008</v>
      </c>
      <c r="K124" s="13" t="e">
        <f t="shared" ca="1" si="25"/>
        <v>#N/A</v>
      </c>
      <c r="L124" s="13" t="e">
        <f t="shared" ca="1" si="26"/>
        <v>#N/A</v>
      </c>
      <c r="M124" t="e">
        <f t="shared" ca="1" si="32"/>
        <v>#N/A</v>
      </c>
      <c r="N124" t="e">
        <f t="shared" ca="1" si="33"/>
        <v>#N/A</v>
      </c>
    </row>
    <row r="125" spans="1:14" x14ac:dyDescent="0.25">
      <c r="A125" s="8">
        <f t="shared" si="34"/>
        <v>0.4263310185185174</v>
      </c>
      <c r="B125" s="4">
        <f t="shared" si="28"/>
        <v>1553300835</v>
      </c>
      <c r="C125">
        <v>3</v>
      </c>
      <c r="D125">
        <v>54</v>
      </c>
      <c r="E125" t="e">
        <f t="shared" ca="1" si="30"/>
        <v>#N/A</v>
      </c>
      <c r="F125" t="e">
        <f t="shared" ca="1" si="31"/>
        <v>#N/A</v>
      </c>
      <c r="G125">
        <f t="shared" ca="1" si="23"/>
        <v>7456.7142857142853</v>
      </c>
      <c r="H125" s="13" t="e">
        <f t="shared" ca="1" si="24"/>
        <v>#N/A</v>
      </c>
      <c r="I125" s="13" t="e">
        <f t="shared" ca="1" si="24"/>
        <v>#N/A</v>
      </c>
      <c r="J125" s="13">
        <f t="shared" ca="1" si="24"/>
        <v>-2.177142857142826</v>
      </c>
      <c r="K125" s="13" t="e">
        <f t="shared" ca="1" si="25"/>
        <v>#N/A</v>
      </c>
      <c r="L125" s="13" t="e">
        <f t="shared" ca="1" si="26"/>
        <v>#N/A</v>
      </c>
      <c r="M125" t="e">
        <f t="shared" ca="1" si="32"/>
        <v>#N/A</v>
      </c>
      <c r="N125" t="e">
        <f t="shared" ca="1" si="33"/>
        <v>#N/A</v>
      </c>
    </row>
    <row r="126" spans="1:14" x14ac:dyDescent="0.25">
      <c r="A126" s="8">
        <f t="shared" si="34"/>
        <v>0.42638888888888776</v>
      </c>
      <c r="B126" s="4">
        <f t="shared" si="28"/>
        <v>1553300840</v>
      </c>
      <c r="C126">
        <v>3</v>
      </c>
      <c r="D126">
        <v>54</v>
      </c>
      <c r="E126" t="e">
        <f t="shared" ca="1" si="30"/>
        <v>#N/A</v>
      </c>
      <c r="F126" t="e">
        <f t="shared" ca="1" si="31"/>
        <v>#N/A</v>
      </c>
      <c r="G126">
        <f t="shared" ca="1" si="23"/>
        <v>7445.8285714285712</v>
      </c>
      <c r="H126" s="13" t="e">
        <f t="shared" ca="1" si="24"/>
        <v>#N/A</v>
      </c>
      <c r="I126" s="13" t="e">
        <f t="shared" ca="1" si="24"/>
        <v>#N/A</v>
      </c>
      <c r="J126" s="13">
        <f t="shared" ca="1" si="24"/>
        <v>-2.177142857142826</v>
      </c>
      <c r="K126" s="13" t="e">
        <f t="shared" ca="1" si="25"/>
        <v>#N/A</v>
      </c>
      <c r="L126" s="13" t="e">
        <f t="shared" ca="1" si="26"/>
        <v>#N/A</v>
      </c>
      <c r="M126" t="e">
        <f t="shared" ca="1" si="32"/>
        <v>#N/A</v>
      </c>
      <c r="N126" t="e">
        <f t="shared" ca="1" si="33"/>
        <v>#N/A</v>
      </c>
    </row>
    <row r="127" spans="1:14" x14ac:dyDescent="0.25">
      <c r="A127" s="8">
        <f t="shared" si="34"/>
        <v>0.42644675925925812</v>
      </c>
      <c r="B127" s="4">
        <f t="shared" si="28"/>
        <v>1553300845</v>
      </c>
      <c r="C127">
        <v>3</v>
      </c>
      <c r="D127">
        <v>54</v>
      </c>
      <c r="E127" t="e">
        <f t="shared" ca="1" si="30"/>
        <v>#N/A</v>
      </c>
      <c r="F127" t="e">
        <f t="shared" ca="1" si="31"/>
        <v>#N/A</v>
      </c>
      <c r="G127">
        <f t="shared" ca="1" si="23"/>
        <v>7434.9428571428571</v>
      </c>
      <c r="H127" s="13" t="e">
        <f t="shared" ca="1" si="24"/>
        <v>#N/A</v>
      </c>
      <c r="I127" s="13" t="e">
        <f t="shared" ca="1" si="24"/>
        <v>#N/A</v>
      </c>
      <c r="J127" s="13">
        <f t="shared" ca="1" si="24"/>
        <v>-2.177142857142826</v>
      </c>
      <c r="K127" s="13" t="e">
        <f t="shared" ca="1" si="25"/>
        <v>#N/A</v>
      </c>
      <c r="L127" s="13" t="e">
        <f t="shared" ca="1" si="26"/>
        <v>#N/A</v>
      </c>
      <c r="M127" t="e">
        <f t="shared" ca="1" si="32"/>
        <v>#N/A</v>
      </c>
      <c r="N127" t="e">
        <f t="shared" ca="1" si="33"/>
        <v>#N/A</v>
      </c>
    </row>
    <row r="128" spans="1:14" x14ac:dyDescent="0.25">
      <c r="A128" s="8">
        <f t="shared" si="34"/>
        <v>0.42650462962962848</v>
      </c>
      <c r="B128" s="4">
        <f t="shared" si="28"/>
        <v>1553300850</v>
      </c>
      <c r="C128">
        <v>3</v>
      </c>
      <c r="D128">
        <v>54</v>
      </c>
      <c r="E128" t="e">
        <f t="shared" ca="1" si="30"/>
        <v>#N/A</v>
      </c>
      <c r="F128" t="e">
        <f t="shared" ca="1" si="31"/>
        <v>#N/A</v>
      </c>
      <c r="G128">
        <f t="shared" ca="1" si="23"/>
        <v>7424.0571428571429</v>
      </c>
      <c r="H128" s="13" t="e">
        <f t="shared" ca="1" si="24"/>
        <v>#N/A</v>
      </c>
      <c r="I128" s="13" t="e">
        <f t="shared" ca="1" si="24"/>
        <v>#N/A</v>
      </c>
      <c r="J128" s="13">
        <f t="shared" ca="1" si="24"/>
        <v>-2.177142857142826</v>
      </c>
      <c r="K128" s="13" t="e">
        <f t="shared" ca="1" si="25"/>
        <v>#N/A</v>
      </c>
      <c r="L128" s="13" t="e">
        <f t="shared" ca="1" si="26"/>
        <v>#N/A</v>
      </c>
      <c r="M128" t="e">
        <f t="shared" ca="1" si="32"/>
        <v>#N/A</v>
      </c>
      <c r="N128" t="e">
        <f t="shared" ca="1" si="33"/>
        <v>#N/A</v>
      </c>
    </row>
    <row r="129" spans="1:14" x14ac:dyDescent="0.25">
      <c r="A129" s="8">
        <f t="shared" si="34"/>
        <v>0.42656249999999885</v>
      </c>
      <c r="B129" s="4">
        <f t="shared" si="28"/>
        <v>1553300855</v>
      </c>
      <c r="C129">
        <v>3</v>
      </c>
      <c r="D129">
        <v>54</v>
      </c>
      <c r="E129" t="e">
        <f t="shared" ca="1" si="30"/>
        <v>#N/A</v>
      </c>
      <c r="F129" t="e">
        <f t="shared" ca="1" si="31"/>
        <v>#N/A</v>
      </c>
      <c r="G129">
        <f t="shared" ca="1" si="23"/>
        <v>7413.1714285714288</v>
      </c>
      <c r="H129" s="13" t="e">
        <f t="shared" ca="1" si="24"/>
        <v>#N/A</v>
      </c>
      <c r="I129" s="13" t="e">
        <f t="shared" ca="1" si="24"/>
        <v>#N/A</v>
      </c>
      <c r="J129" s="13">
        <f t="shared" ca="1" si="24"/>
        <v>-2.177142857143008</v>
      </c>
      <c r="K129" s="13" t="e">
        <f t="shared" ca="1" si="25"/>
        <v>#N/A</v>
      </c>
      <c r="L129" s="13" t="e">
        <f t="shared" ca="1" si="26"/>
        <v>#N/A</v>
      </c>
      <c r="M129" t="e">
        <f t="shared" ca="1" si="32"/>
        <v>#N/A</v>
      </c>
      <c r="N129" t="e">
        <f t="shared" ca="1" si="33"/>
        <v>#N/A</v>
      </c>
    </row>
    <row r="130" spans="1:14" x14ac:dyDescent="0.25">
      <c r="A130" s="8">
        <f t="shared" si="34"/>
        <v>0.42662037037036921</v>
      </c>
      <c r="B130" s="4">
        <f t="shared" si="28"/>
        <v>1553300860</v>
      </c>
      <c r="C130">
        <v>3</v>
      </c>
      <c r="D130">
        <v>54</v>
      </c>
      <c r="E130" t="e">
        <f t="shared" ca="1" si="30"/>
        <v>#N/A</v>
      </c>
      <c r="F130" t="e">
        <f t="shared" ca="1" si="31"/>
        <v>#N/A</v>
      </c>
      <c r="G130">
        <f t="shared" ca="1" si="23"/>
        <v>7402.2857142857138</v>
      </c>
      <c r="H130" s="13" t="e">
        <f t="shared" ca="1" si="24"/>
        <v>#N/A</v>
      </c>
      <c r="I130" s="13" t="e">
        <f t="shared" ca="1" si="24"/>
        <v>#N/A</v>
      </c>
      <c r="J130" s="13">
        <f t="shared" ca="1" si="24"/>
        <v>-2.177142857142826</v>
      </c>
      <c r="K130" s="13" t="e">
        <f t="shared" ca="1" si="25"/>
        <v>#N/A</v>
      </c>
      <c r="L130" s="13" t="e">
        <f t="shared" ca="1" si="26"/>
        <v>#N/A</v>
      </c>
      <c r="M130" t="e">
        <f t="shared" ca="1" si="32"/>
        <v>#N/A</v>
      </c>
      <c r="N130" t="e">
        <f t="shared" ca="1" si="33"/>
        <v>#N/A</v>
      </c>
    </row>
    <row r="131" spans="1:14" x14ac:dyDescent="0.25">
      <c r="A131" s="8">
        <f t="shared" si="34"/>
        <v>0.42667824074073957</v>
      </c>
      <c r="B131" s="4">
        <f t="shared" si="28"/>
        <v>1553300865</v>
      </c>
      <c r="C131">
        <v>3</v>
      </c>
      <c r="D131">
        <v>54</v>
      </c>
      <c r="E131" t="e">
        <f t="shared" ca="1" si="30"/>
        <v>#N/A</v>
      </c>
      <c r="F131" t="e">
        <f t="shared" ca="1" si="31"/>
        <v>#N/A</v>
      </c>
      <c r="G131">
        <f t="shared" ca="1" si="23"/>
        <v>7391.4</v>
      </c>
      <c r="H131" s="13" t="e">
        <f t="shared" ca="1" si="24"/>
        <v>#N/A</v>
      </c>
      <c r="I131" s="13" t="e">
        <f t="shared" ca="1" si="24"/>
        <v>#N/A</v>
      </c>
      <c r="J131" s="13">
        <f t="shared" ca="1" si="24"/>
        <v>-2.177142857142826</v>
      </c>
      <c r="K131" s="13" t="e">
        <f t="shared" ca="1" si="25"/>
        <v>#N/A</v>
      </c>
      <c r="L131" s="13" t="e">
        <f t="shared" ca="1" si="26"/>
        <v>#N/A</v>
      </c>
      <c r="M131" t="e">
        <f t="shared" ca="1" si="32"/>
        <v>#N/A</v>
      </c>
      <c r="N131" t="e">
        <f t="shared" ca="1" si="33"/>
        <v>#N/A</v>
      </c>
    </row>
    <row r="132" spans="1:14" x14ac:dyDescent="0.25">
      <c r="A132" s="8">
        <f t="shared" si="34"/>
        <v>0.42673611111110993</v>
      </c>
      <c r="B132" s="4">
        <f t="shared" si="28"/>
        <v>1553300870</v>
      </c>
      <c r="C132">
        <v>3</v>
      </c>
      <c r="D132">
        <v>54</v>
      </c>
      <c r="E132" t="e">
        <f t="shared" ca="1" si="30"/>
        <v>#N/A</v>
      </c>
      <c r="F132" t="e">
        <f t="shared" ca="1" si="31"/>
        <v>#N/A</v>
      </c>
      <c r="G132">
        <f t="shared" ca="1" si="23"/>
        <v>7380.5142857142855</v>
      </c>
      <c r="H132" s="13" t="e">
        <f t="shared" ca="1" si="24"/>
        <v>#N/A</v>
      </c>
      <c r="I132" s="13" t="e">
        <f t="shared" ca="1" si="24"/>
        <v>#N/A</v>
      </c>
      <c r="J132" s="13">
        <f t="shared" ca="1" si="24"/>
        <v>-2.177142857142826</v>
      </c>
      <c r="K132" s="13" t="e">
        <f t="shared" ca="1" si="25"/>
        <v>#N/A</v>
      </c>
      <c r="L132" s="13" t="e">
        <f t="shared" ca="1" si="26"/>
        <v>#N/A</v>
      </c>
      <c r="M132" t="e">
        <f t="shared" ca="1" si="32"/>
        <v>#N/A</v>
      </c>
      <c r="N132" t="e">
        <f t="shared" ca="1" si="33"/>
        <v>#N/A</v>
      </c>
    </row>
    <row r="133" spans="1:14" x14ac:dyDescent="0.25">
      <c r="A133" s="8">
        <f t="shared" si="34"/>
        <v>0.42679398148148029</v>
      </c>
      <c r="B133" s="4">
        <f t="shared" si="28"/>
        <v>1553300875</v>
      </c>
      <c r="C133">
        <v>3</v>
      </c>
      <c r="D133">
        <v>54</v>
      </c>
      <c r="E133" t="e">
        <f t="shared" ca="1" si="30"/>
        <v>#N/A</v>
      </c>
      <c r="F133" t="e">
        <f t="shared" ca="1" si="31"/>
        <v>#N/A</v>
      </c>
      <c r="G133">
        <f t="shared" ca="1" si="23"/>
        <v>7369.6285714285714</v>
      </c>
      <c r="H133" s="13" t="e">
        <f t="shared" ca="1" si="24"/>
        <v>#N/A</v>
      </c>
      <c r="I133" s="13" t="e">
        <f t="shared" ca="1" si="24"/>
        <v>#N/A</v>
      </c>
      <c r="J133" s="13">
        <f t="shared" ca="1" si="24"/>
        <v>-2.177142857142826</v>
      </c>
      <c r="K133" s="13" t="e">
        <f t="shared" ca="1" si="25"/>
        <v>#N/A</v>
      </c>
      <c r="L133" s="13" t="e">
        <f t="shared" ca="1" si="26"/>
        <v>#N/A</v>
      </c>
      <c r="M133" t="e">
        <f t="shared" ca="1" si="32"/>
        <v>#N/A</v>
      </c>
      <c r="N133" t="e">
        <f t="shared" ca="1" si="33"/>
        <v>#N/A</v>
      </c>
    </row>
    <row r="134" spans="1:14" x14ac:dyDescent="0.25">
      <c r="A134" s="8">
        <f t="shared" si="34"/>
        <v>0.42685185185185065</v>
      </c>
      <c r="B134" s="4">
        <f t="shared" si="28"/>
        <v>1553300880</v>
      </c>
      <c r="C134">
        <v>3</v>
      </c>
      <c r="D134">
        <v>54</v>
      </c>
      <c r="E134" t="e">
        <f t="shared" ca="1" si="30"/>
        <v>#N/A</v>
      </c>
      <c r="F134" t="e">
        <f t="shared" ca="1" si="31"/>
        <v>#N/A</v>
      </c>
      <c r="G134">
        <f t="shared" ca="1" si="23"/>
        <v>7358.7428571428572</v>
      </c>
      <c r="H134" s="13" t="e">
        <f t="shared" ca="1" si="24"/>
        <v>#N/A</v>
      </c>
      <c r="I134" s="13" t="e">
        <f t="shared" ca="1" si="24"/>
        <v>#N/A</v>
      </c>
      <c r="J134" s="13">
        <f t="shared" ca="1" si="24"/>
        <v>-2.177142857142826</v>
      </c>
      <c r="K134" s="13" t="e">
        <f t="shared" ca="1" si="25"/>
        <v>#N/A</v>
      </c>
      <c r="L134" s="13" t="e">
        <f t="shared" ca="1" si="26"/>
        <v>#N/A</v>
      </c>
      <c r="M134" t="e">
        <f t="shared" ca="1" si="32"/>
        <v>#N/A</v>
      </c>
      <c r="N134" t="e">
        <f t="shared" ca="1" si="33"/>
        <v>#N/A</v>
      </c>
    </row>
    <row r="135" spans="1:14" x14ac:dyDescent="0.25">
      <c r="A135" s="8">
        <f t="shared" si="34"/>
        <v>0.42690972222222101</v>
      </c>
      <c r="B135" s="4">
        <f t="shared" si="28"/>
        <v>1553300885</v>
      </c>
      <c r="C135">
        <v>3</v>
      </c>
      <c r="D135">
        <v>54</v>
      </c>
      <c r="E135" t="e">
        <f t="shared" ca="1" si="30"/>
        <v>#N/A</v>
      </c>
      <c r="F135" t="e">
        <f t="shared" ca="1" si="31"/>
        <v>#N/A</v>
      </c>
      <c r="G135">
        <f t="shared" ref="G135:G138" ca="1" si="35">INDIRECT("G$"&amp;C135)+INDIRECT("J$"&amp;C135)*($B135-INDIRECT("B$"&amp;D135))</f>
        <v>7347.8571428571431</v>
      </c>
      <c r="H135" s="13" t="e">
        <f t="shared" ref="H135:J137" ca="1" si="36">(E136-E135)/($B136-$B135)</f>
        <v>#N/A</v>
      </c>
      <c r="I135" s="13" t="e">
        <f t="shared" ca="1" si="36"/>
        <v>#N/A</v>
      </c>
      <c r="J135" s="13">
        <f t="shared" ca="1" si="36"/>
        <v>-2.177142857143008</v>
      </c>
      <c r="K135" s="13" t="e">
        <f t="shared" ref="K135:K137" ca="1" si="37">SQRT(H135*H135+I135*I135)</f>
        <v>#N/A</v>
      </c>
      <c r="L135" s="13" t="e">
        <f t="shared" ref="L135:L137" ca="1" si="38">DEGREES(ATAN2(I135,H135))</f>
        <v>#N/A</v>
      </c>
      <c r="M135" t="e">
        <f t="shared" ca="1" si="32"/>
        <v>#N/A</v>
      </c>
      <c r="N135" t="e">
        <f t="shared" ca="1" si="33"/>
        <v>#N/A</v>
      </c>
    </row>
    <row r="136" spans="1:14" x14ac:dyDescent="0.25">
      <c r="A136" s="8">
        <f t="shared" si="34"/>
        <v>0.42696759259259137</v>
      </c>
      <c r="B136" s="4">
        <f t="shared" si="28"/>
        <v>1553300890</v>
      </c>
      <c r="C136">
        <v>3</v>
      </c>
      <c r="D136">
        <v>54</v>
      </c>
      <c r="E136" t="e">
        <f t="shared" ca="1" si="30"/>
        <v>#N/A</v>
      </c>
      <c r="F136" t="e">
        <f t="shared" ca="1" si="31"/>
        <v>#N/A</v>
      </c>
      <c r="G136">
        <f t="shared" ca="1" si="35"/>
        <v>7336.9714285714281</v>
      </c>
      <c r="H136" s="13" t="e">
        <f t="shared" ca="1" si="36"/>
        <v>#N/A</v>
      </c>
      <c r="I136" s="13" t="e">
        <f t="shared" ca="1" si="36"/>
        <v>#N/A</v>
      </c>
      <c r="J136" s="13">
        <f t="shared" ca="1" si="36"/>
        <v>-2.177142857142826</v>
      </c>
      <c r="K136" s="13" t="e">
        <f t="shared" ca="1" si="37"/>
        <v>#N/A</v>
      </c>
      <c r="L136" s="13" t="e">
        <f t="shared" ca="1" si="38"/>
        <v>#N/A</v>
      </c>
      <c r="M136" t="e">
        <f t="shared" ca="1" si="32"/>
        <v>#N/A</v>
      </c>
      <c r="N136" t="e">
        <f t="shared" ca="1" si="33"/>
        <v>#N/A</v>
      </c>
    </row>
    <row r="137" spans="1:14" x14ac:dyDescent="0.25">
      <c r="A137" s="8">
        <f t="shared" si="34"/>
        <v>0.42702546296296173</v>
      </c>
      <c r="B137" s="4">
        <f t="shared" ref="B137:B138" si="39">B136+SECOND(A137-A136)</f>
        <v>1553300895</v>
      </c>
      <c r="C137">
        <v>3</v>
      </c>
      <c r="D137">
        <v>54</v>
      </c>
      <c r="E137" t="e">
        <f t="shared" ca="1" si="30"/>
        <v>#N/A</v>
      </c>
      <c r="F137" t="e">
        <f t="shared" ca="1" si="31"/>
        <v>#N/A</v>
      </c>
      <c r="G137">
        <f t="shared" ca="1" si="35"/>
        <v>7326.0857142857139</v>
      </c>
      <c r="H137" s="13" t="e">
        <f t="shared" ca="1" si="36"/>
        <v>#N/A</v>
      </c>
      <c r="I137" s="13" t="e">
        <f t="shared" ca="1" si="36"/>
        <v>#N/A</v>
      </c>
      <c r="J137" s="13">
        <f t="shared" ca="1" si="36"/>
        <v>-2.177142857142826</v>
      </c>
      <c r="K137" s="13" t="e">
        <f t="shared" ca="1" si="37"/>
        <v>#N/A</v>
      </c>
      <c r="L137" s="13" t="e">
        <f t="shared" ca="1" si="38"/>
        <v>#N/A</v>
      </c>
      <c r="M137" t="e">
        <f t="shared" ca="1" si="32"/>
        <v>#N/A</v>
      </c>
      <c r="N137" t="e">
        <f t="shared" ca="1" si="33"/>
        <v>#N/A</v>
      </c>
    </row>
    <row r="138" spans="1:14" x14ac:dyDescent="0.25">
      <c r="A138" s="9">
        <f t="shared" si="34"/>
        <v>0.42708333333333209</v>
      </c>
      <c r="B138" s="4">
        <f t="shared" si="39"/>
        <v>1553300900</v>
      </c>
      <c r="C138">
        <v>4</v>
      </c>
      <c r="D138">
        <v>138</v>
      </c>
      <c r="E138" t="e">
        <f t="shared" ca="1" si="30"/>
        <v>#N/A</v>
      </c>
      <c r="F138" t="e">
        <f t="shared" ca="1" si="31"/>
        <v>#N/A</v>
      </c>
      <c r="G138">
        <f t="shared" ca="1" si="35"/>
        <v>7315.2</v>
      </c>
      <c r="H138" s="13" t="e">
        <f ca="1">H137</f>
        <v>#N/A</v>
      </c>
      <c r="I138" s="13" t="e">
        <f t="shared" ref="I138:L138" ca="1" si="40">I137</f>
        <v>#N/A</v>
      </c>
      <c r="J138" s="13">
        <f t="shared" ca="1" si="40"/>
        <v>-2.177142857142826</v>
      </c>
      <c r="K138" s="13" t="e">
        <f t="shared" ca="1" si="40"/>
        <v>#N/A</v>
      </c>
      <c r="L138" s="13" t="e">
        <f t="shared" ca="1" si="40"/>
        <v>#N/A</v>
      </c>
      <c r="M138" t="e">
        <f t="shared" ca="1" si="32"/>
        <v>#N/A</v>
      </c>
      <c r="N138" t="e">
        <f t="shared" ca="1" si="33"/>
        <v>#N/A</v>
      </c>
    </row>
    <row r="139" spans="1:14" x14ac:dyDescent="0.25">
      <c r="A139" t="s">
        <v>48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139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7" max="7" width="10.140625" bestFit="1" customWidth="1"/>
    <col min="15" max="15" width="10.140625" bestFit="1" customWidth="1"/>
  </cols>
  <sheetData>
    <row r="1" spans="1:15" x14ac:dyDescent="0.25">
      <c r="A1" t="s">
        <v>31</v>
      </c>
      <c r="B1">
        <v>424201</v>
      </c>
      <c r="C1" t="s">
        <v>29</v>
      </c>
      <c r="D1" t="s">
        <v>21</v>
      </c>
      <c r="E1" t="s">
        <v>22</v>
      </c>
      <c r="F1" t="s">
        <v>30</v>
      </c>
      <c r="G1" t="s">
        <v>44</v>
      </c>
      <c r="H1" t="s">
        <v>45</v>
      </c>
      <c r="I1" t="s">
        <v>47</v>
      </c>
      <c r="J1" t="s">
        <v>43</v>
      </c>
      <c r="K1" t="s">
        <v>46</v>
      </c>
      <c r="L1" t="s">
        <v>50</v>
      </c>
      <c r="M1" t="s">
        <v>51</v>
      </c>
      <c r="N1" t="s">
        <v>81</v>
      </c>
      <c r="O1" t="s">
        <v>82</v>
      </c>
    </row>
    <row r="2" spans="1:15" x14ac:dyDescent="0.25">
      <c r="A2" s="9">
        <v>0.41944444444444445</v>
      </c>
      <c r="B2" s="10" t="s">
        <v>0</v>
      </c>
      <c r="C2" s="11">
        <v>270</v>
      </c>
      <c r="D2" s="11" t="e">
        <f>VLOOKUP($B2,Beacons!$A$7:$J$47,9,FALSE)</f>
        <v>#N/A</v>
      </c>
      <c r="E2" s="11" t="e">
        <f>VLOOKUP($B2,Beacons!$A$7:$J$47,10,FALSE)</f>
        <v>#N/A</v>
      </c>
      <c r="F2" s="11">
        <f>C2*Beacons!$R$2</f>
        <v>8229.6</v>
      </c>
      <c r="G2" s="13" t="e">
        <f t="shared" ref="G2:I3" si="0">(D3-D2)/(MINUTE($A3-$A2)*60+SECOND($A3-$A2))</f>
        <v>#N/A</v>
      </c>
      <c r="H2" s="13" t="e">
        <f t="shared" si="0"/>
        <v>#N/A</v>
      </c>
      <c r="I2" s="13">
        <f t="shared" si="0"/>
        <v>0</v>
      </c>
      <c r="J2" s="13" t="e">
        <f>SQRT(G2*G2+H2*H2)</f>
        <v>#N/A</v>
      </c>
      <c r="K2" s="13" t="e">
        <f>DEGREES(ATAN2(H2,G2))</f>
        <v>#N/A</v>
      </c>
      <c r="L2" s="11" t="e">
        <f>VLOOKUP($B2,Beacons!$A$7:$J$47,7,FALSE)</f>
        <v>#N/A</v>
      </c>
      <c r="M2" s="11" t="e">
        <f>VLOOKUP($B2,Beacons!$A$7:$J$47,6,FALSE)</f>
        <v>#N/A</v>
      </c>
      <c r="N2" s="14" t="e">
        <f>(L3-L2)/(MINUTE($A3-$A2)*60+SECOND($A3-$A2))</f>
        <v>#N/A</v>
      </c>
      <c r="O2" s="14" t="e">
        <f>(M3-M2)/(MINUTE($A3-$A2)*60+SECOND($A3-$A2))</f>
        <v>#N/A</v>
      </c>
    </row>
    <row r="3" spans="1:15" x14ac:dyDescent="0.25">
      <c r="A3" s="9">
        <v>0.42222222222222222</v>
      </c>
      <c r="B3" s="10" t="s">
        <v>1</v>
      </c>
      <c r="C3" s="11">
        <v>270</v>
      </c>
      <c r="D3" s="11" t="e">
        <f>VLOOKUP($B3,Beacons!$A$7:$J$47,9,FALSE)</f>
        <v>#N/A</v>
      </c>
      <c r="E3" s="11" t="e">
        <f>VLOOKUP($B3,Beacons!$A$7:$J$47,10,FALSE)</f>
        <v>#N/A</v>
      </c>
      <c r="F3" s="11">
        <f>C3*Beacons!$R$2</f>
        <v>8229.6</v>
      </c>
      <c r="G3" s="13" t="e">
        <f t="shared" si="0"/>
        <v>#N/A</v>
      </c>
      <c r="H3" s="13" t="e">
        <f t="shared" si="0"/>
        <v>#N/A</v>
      </c>
      <c r="I3" s="13">
        <f t="shared" si="0"/>
        <v>-2.1771428571428584</v>
      </c>
      <c r="J3" s="13" t="e">
        <f>SQRT(G3*G3+H3*H3)</f>
        <v>#N/A</v>
      </c>
      <c r="K3" s="13" t="e">
        <f>DEGREES(ATAN2(H3,G3))</f>
        <v>#N/A</v>
      </c>
      <c r="L3" s="11" t="e">
        <f>VLOOKUP($B3,Beacons!$A$7:$J$47,7,FALSE)</f>
        <v>#N/A</v>
      </c>
      <c r="M3" s="11" t="e">
        <f>VLOOKUP($B3,Beacons!$A$7:$J$47,6,FALSE)</f>
        <v>#N/A</v>
      </c>
      <c r="N3" s="14" t="e">
        <f>(L4-L3)/(MINUTE($A4-$A3)*60+SECOND($A4-$A3))</f>
        <v>#N/A</v>
      </c>
      <c r="O3" s="14" t="e">
        <f>(M4-M3)/(MINUTE($A4-$A3)*60+SECOND($A4-$A3))</f>
        <v>#N/A</v>
      </c>
    </row>
    <row r="4" spans="1:15" x14ac:dyDescent="0.25">
      <c r="A4" s="9">
        <v>0.42708333333333331</v>
      </c>
      <c r="B4" s="10" t="s">
        <v>2</v>
      </c>
      <c r="C4" s="11">
        <v>240</v>
      </c>
      <c r="D4" s="11" t="e">
        <f>VLOOKUP($B4,Beacons!$A$7:$J$47,9,FALSE)</f>
        <v>#N/A</v>
      </c>
      <c r="E4" s="11" t="e">
        <f>VLOOKUP($B4,Beacons!$A$7:$J$47,10,FALSE)</f>
        <v>#N/A</v>
      </c>
      <c r="F4" s="11">
        <f>C4*Beacons!$R$2</f>
        <v>7315.2</v>
      </c>
      <c r="L4" s="11" t="e">
        <f>VLOOKUP($B4,Beacons!$A$7:$J$47,7,FALSE)</f>
        <v>#N/A</v>
      </c>
      <c r="M4" s="11" t="e">
        <f>VLOOKUP($B4,Beacons!$A$7:$J$47,6,FALSE)</f>
        <v>#N/A</v>
      </c>
    </row>
    <row r="5" spans="1:15" x14ac:dyDescent="0.25">
      <c r="A5" t="s">
        <v>49</v>
      </c>
      <c r="B5" s="8"/>
      <c r="D5" t="s">
        <v>21</v>
      </c>
      <c r="E5" t="s">
        <v>22</v>
      </c>
      <c r="F5" t="s">
        <v>30</v>
      </c>
      <c r="L5" t="s">
        <v>50</v>
      </c>
      <c r="M5" t="s">
        <v>51</v>
      </c>
    </row>
    <row r="6" spans="1:15" x14ac:dyDescent="0.25">
      <c r="A6" s="8">
        <f>A2</f>
        <v>0.41944444444444445</v>
      </c>
      <c r="B6" s="4">
        <f>Params!D27+MINUTE(A6-Params!C27)*60+SECOND(A6-Params!C27)</f>
        <v>1553300240</v>
      </c>
      <c r="D6" t="e">
        <f>D$2+G$2*($B6-$B$6)</f>
        <v>#N/A</v>
      </c>
      <c r="E6" t="e">
        <f>E$2+H$2*($B6-$B$6)</f>
        <v>#N/A</v>
      </c>
      <c r="F6">
        <f>F$2+I$2*($B6-$B$6)</f>
        <v>8229.6</v>
      </c>
      <c r="G6" s="13" t="e">
        <f>(D7-D6)/($B7-$B6)</f>
        <v>#N/A</v>
      </c>
      <c r="H6" s="13" t="e">
        <f>(E7-E6)/($B7-$B6)</f>
        <v>#N/A</v>
      </c>
      <c r="I6" s="13">
        <f>(F7-F6)/($B7-$B6)</f>
        <v>0</v>
      </c>
      <c r="J6" s="13" t="e">
        <f>SQRT(G6*G6+H6*H6)</f>
        <v>#N/A</v>
      </c>
      <c r="K6" s="13" t="e">
        <f>DEGREES(ATAN2(H6,G6))</f>
        <v>#N/A</v>
      </c>
      <c r="L6" t="e">
        <f>L$2+N$2*($B6-$B$6)</f>
        <v>#N/A</v>
      </c>
      <c r="M6" t="e">
        <f>M$2+O$2*($B6-$B$6)</f>
        <v>#N/A</v>
      </c>
      <c r="O6" s="8"/>
    </row>
    <row r="7" spans="1:15" x14ac:dyDescent="0.25">
      <c r="A7" s="8">
        <f>A6+5/24/3600</f>
        <v>0.41950231481481481</v>
      </c>
      <c r="B7" s="4">
        <f>B6+SECOND(A7-A6)</f>
        <v>1553300245</v>
      </c>
      <c r="C7" s="11"/>
      <c r="D7" t="e">
        <f t="shared" ref="D7:F22" si="1">D$2+G$2*($B7-$B$6)</f>
        <v>#N/A</v>
      </c>
      <c r="E7" t="e">
        <f t="shared" si="1"/>
        <v>#N/A</v>
      </c>
      <c r="F7">
        <f t="shared" si="1"/>
        <v>8229.6</v>
      </c>
      <c r="G7" s="13" t="e">
        <f t="shared" ref="G7:I70" si="2">(D8-D7)/($B8-$B7)</f>
        <v>#N/A</v>
      </c>
      <c r="H7" s="13" t="e">
        <f t="shared" si="2"/>
        <v>#N/A</v>
      </c>
      <c r="I7" s="13">
        <f t="shared" si="2"/>
        <v>0</v>
      </c>
      <c r="J7" s="13" t="e">
        <f t="shared" ref="J7:J70" si="3">SQRT(G7*G7+H7*H7)</f>
        <v>#N/A</v>
      </c>
      <c r="K7" s="13" t="e">
        <f t="shared" ref="K7:K70" si="4">DEGREES(ATAN2(H7,G7))</f>
        <v>#N/A</v>
      </c>
      <c r="L7" t="e">
        <f t="shared" ref="L7:M52" si="5">L$2+N$2*($B7-$B$6)</f>
        <v>#N/A</v>
      </c>
      <c r="M7" t="e">
        <f t="shared" si="5"/>
        <v>#N/A</v>
      </c>
      <c r="O7" s="4"/>
    </row>
    <row r="8" spans="1:15" x14ac:dyDescent="0.25">
      <c r="A8" s="8">
        <f>A7+5/24/3600</f>
        <v>0.41956018518518517</v>
      </c>
      <c r="B8" s="4">
        <f>B7+SECOND(A8-A7)</f>
        <v>1553300250</v>
      </c>
      <c r="C8" s="8"/>
      <c r="D8" t="e">
        <f t="shared" si="1"/>
        <v>#N/A</v>
      </c>
      <c r="E8" t="e">
        <f t="shared" si="1"/>
        <v>#N/A</v>
      </c>
      <c r="F8">
        <f t="shared" si="1"/>
        <v>8229.6</v>
      </c>
      <c r="G8" s="13" t="e">
        <f t="shared" si="2"/>
        <v>#N/A</v>
      </c>
      <c r="H8" s="13" t="e">
        <f t="shared" si="2"/>
        <v>#N/A</v>
      </c>
      <c r="I8" s="13">
        <f t="shared" si="2"/>
        <v>0</v>
      </c>
      <c r="J8" s="13" t="e">
        <f t="shared" si="3"/>
        <v>#N/A</v>
      </c>
      <c r="K8" s="13" t="e">
        <f t="shared" si="4"/>
        <v>#N/A</v>
      </c>
      <c r="L8" t="e">
        <f t="shared" si="5"/>
        <v>#N/A</v>
      </c>
      <c r="M8" t="e">
        <f t="shared" si="5"/>
        <v>#N/A</v>
      </c>
    </row>
    <row r="9" spans="1:15" x14ac:dyDescent="0.25">
      <c r="A9" s="8">
        <f t="shared" ref="A9:A72" si="6">A8+5/24/3600</f>
        <v>0.41961805555555554</v>
      </c>
      <c r="B9" s="4">
        <f t="shared" ref="B9:B72" si="7">B8+SECOND(A9-A8)</f>
        <v>1553300255</v>
      </c>
      <c r="D9" t="e">
        <f t="shared" si="1"/>
        <v>#N/A</v>
      </c>
      <c r="E9" t="e">
        <f t="shared" si="1"/>
        <v>#N/A</v>
      </c>
      <c r="F9">
        <f t="shared" si="1"/>
        <v>8229.6</v>
      </c>
      <c r="G9" s="13" t="e">
        <f t="shared" si="2"/>
        <v>#N/A</v>
      </c>
      <c r="H9" s="13" t="e">
        <f t="shared" si="2"/>
        <v>#N/A</v>
      </c>
      <c r="I9" s="13">
        <f t="shared" si="2"/>
        <v>0</v>
      </c>
      <c r="J9" s="13" t="e">
        <f t="shared" si="3"/>
        <v>#N/A</v>
      </c>
      <c r="K9" s="13" t="e">
        <f t="shared" si="4"/>
        <v>#N/A</v>
      </c>
      <c r="L9" t="e">
        <f t="shared" si="5"/>
        <v>#N/A</v>
      </c>
      <c r="M9" t="e">
        <f t="shared" si="5"/>
        <v>#N/A</v>
      </c>
    </row>
    <row r="10" spans="1:15" x14ac:dyDescent="0.25">
      <c r="A10" s="8">
        <f t="shared" si="6"/>
        <v>0.4196759259259259</v>
      </c>
      <c r="B10" s="4">
        <f t="shared" si="7"/>
        <v>1553300260</v>
      </c>
      <c r="D10" t="e">
        <f t="shared" si="1"/>
        <v>#N/A</v>
      </c>
      <c r="E10" t="e">
        <f t="shared" si="1"/>
        <v>#N/A</v>
      </c>
      <c r="F10">
        <f t="shared" si="1"/>
        <v>8229.6</v>
      </c>
      <c r="G10" s="13" t="e">
        <f t="shared" si="2"/>
        <v>#N/A</v>
      </c>
      <c r="H10" s="13" t="e">
        <f t="shared" si="2"/>
        <v>#N/A</v>
      </c>
      <c r="I10" s="13">
        <f t="shared" si="2"/>
        <v>0</v>
      </c>
      <c r="J10" s="13" t="e">
        <f t="shared" si="3"/>
        <v>#N/A</v>
      </c>
      <c r="K10" s="13" t="e">
        <f t="shared" si="4"/>
        <v>#N/A</v>
      </c>
      <c r="L10" t="e">
        <f t="shared" si="5"/>
        <v>#N/A</v>
      </c>
      <c r="M10" t="e">
        <f t="shared" si="5"/>
        <v>#N/A</v>
      </c>
    </row>
    <row r="11" spans="1:15" x14ac:dyDescent="0.25">
      <c r="A11" s="8">
        <f t="shared" si="6"/>
        <v>0.41973379629629626</v>
      </c>
      <c r="B11" s="4">
        <f t="shared" si="7"/>
        <v>1553300265</v>
      </c>
      <c r="D11" t="e">
        <f t="shared" si="1"/>
        <v>#N/A</v>
      </c>
      <c r="E11" t="e">
        <f t="shared" si="1"/>
        <v>#N/A</v>
      </c>
      <c r="F11">
        <f t="shared" si="1"/>
        <v>8229.6</v>
      </c>
      <c r="G11" s="13" t="e">
        <f t="shared" si="2"/>
        <v>#N/A</v>
      </c>
      <c r="H11" s="13" t="e">
        <f t="shared" si="2"/>
        <v>#N/A</v>
      </c>
      <c r="I11" s="13">
        <f t="shared" si="2"/>
        <v>0</v>
      </c>
      <c r="J11" s="13" t="e">
        <f t="shared" si="3"/>
        <v>#N/A</v>
      </c>
      <c r="K11" s="13" t="e">
        <f t="shared" si="4"/>
        <v>#N/A</v>
      </c>
      <c r="L11" t="e">
        <f t="shared" si="5"/>
        <v>#N/A</v>
      </c>
      <c r="M11" t="e">
        <f t="shared" si="5"/>
        <v>#N/A</v>
      </c>
    </row>
    <row r="12" spans="1:15" x14ac:dyDescent="0.25">
      <c r="A12" s="8">
        <f t="shared" si="6"/>
        <v>0.41979166666666662</v>
      </c>
      <c r="B12" s="4">
        <f t="shared" si="7"/>
        <v>1553300270</v>
      </c>
      <c r="D12" t="e">
        <f t="shared" si="1"/>
        <v>#N/A</v>
      </c>
      <c r="E12" t="e">
        <f t="shared" si="1"/>
        <v>#N/A</v>
      </c>
      <c r="F12">
        <f t="shared" si="1"/>
        <v>8229.6</v>
      </c>
      <c r="G12" s="13" t="e">
        <f t="shared" si="2"/>
        <v>#N/A</v>
      </c>
      <c r="H12" s="13" t="e">
        <f t="shared" si="2"/>
        <v>#N/A</v>
      </c>
      <c r="I12" s="13">
        <f t="shared" si="2"/>
        <v>0</v>
      </c>
      <c r="J12" s="13" t="e">
        <f t="shared" si="3"/>
        <v>#N/A</v>
      </c>
      <c r="K12" s="13" t="e">
        <f t="shared" si="4"/>
        <v>#N/A</v>
      </c>
      <c r="L12" t="e">
        <f t="shared" si="5"/>
        <v>#N/A</v>
      </c>
      <c r="M12" t="e">
        <f t="shared" si="5"/>
        <v>#N/A</v>
      </c>
    </row>
    <row r="13" spans="1:15" x14ac:dyDescent="0.25">
      <c r="A13" s="8">
        <f t="shared" si="6"/>
        <v>0.41984953703703698</v>
      </c>
      <c r="B13" s="4">
        <f t="shared" si="7"/>
        <v>1553300275</v>
      </c>
      <c r="D13" t="e">
        <f t="shared" si="1"/>
        <v>#N/A</v>
      </c>
      <c r="E13" t="e">
        <f t="shared" si="1"/>
        <v>#N/A</v>
      </c>
      <c r="F13">
        <f t="shared" si="1"/>
        <v>8229.6</v>
      </c>
      <c r="G13" s="13" t="e">
        <f t="shared" si="2"/>
        <v>#N/A</v>
      </c>
      <c r="H13" s="13" t="e">
        <f t="shared" si="2"/>
        <v>#N/A</v>
      </c>
      <c r="I13" s="13">
        <f t="shared" si="2"/>
        <v>0</v>
      </c>
      <c r="J13" s="13" t="e">
        <f t="shared" si="3"/>
        <v>#N/A</v>
      </c>
      <c r="K13" s="13" t="e">
        <f t="shared" si="4"/>
        <v>#N/A</v>
      </c>
      <c r="L13" t="e">
        <f t="shared" si="5"/>
        <v>#N/A</v>
      </c>
      <c r="M13" t="e">
        <f t="shared" si="5"/>
        <v>#N/A</v>
      </c>
    </row>
    <row r="14" spans="1:15" x14ac:dyDescent="0.25">
      <c r="A14" s="8">
        <f t="shared" si="6"/>
        <v>0.41990740740740734</v>
      </c>
      <c r="B14" s="4">
        <f t="shared" si="7"/>
        <v>1553300280</v>
      </c>
      <c r="D14" t="e">
        <f t="shared" si="1"/>
        <v>#N/A</v>
      </c>
      <c r="E14" t="e">
        <f t="shared" si="1"/>
        <v>#N/A</v>
      </c>
      <c r="F14">
        <f t="shared" si="1"/>
        <v>8229.6</v>
      </c>
      <c r="G14" s="13" t="e">
        <f t="shared" si="2"/>
        <v>#N/A</v>
      </c>
      <c r="H14" s="13" t="e">
        <f t="shared" si="2"/>
        <v>#N/A</v>
      </c>
      <c r="I14" s="13">
        <f t="shared" si="2"/>
        <v>0</v>
      </c>
      <c r="J14" s="13" t="e">
        <f t="shared" si="3"/>
        <v>#N/A</v>
      </c>
      <c r="K14" s="13" t="e">
        <f t="shared" si="4"/>
        <v>#N/A</v>
      </c>
      <c r="L14" t="e">
        <f t="shared" si="5"/>
        <v>#N/A</v>
      </c>
      <c r="M14" t="e">
        <f t="shared" si="5"/>
        <v>#N/A</v>
      </c>
    </row>
    <row r="15" spans="1:15" x14ac:dyDescent="0.25">
      <c r="A15" s="8">
        <f t="shared" si="6"/>
        <v>0.4199652777777777</v>
      </c>
      <c r="B15" s="4">
        <f t="shared" si="7"/>
        <v>1553300285</v>
      </c>
      <c r="D15" t="e">
        <f t="shared" si="1"/>
        <v>#N/A</v>
      </c>
      <c r="E15" t="e">
        <f t="shared" si="1"/>
        <v>#N/A</v>
      </c>
      <c r="F15">
        <f t="shared" si="1"/>
        <v>8229.6</v>
      </c>
      <c r="G15" s="13" t="e">
        <f t="shared" si="2"/>
        <v>#N/A</v>
      </c>
      <c r="H15" s="13" t="e">
        <f t="shared" si="2"/>
        <v>#N/A</v>
      </c>
      <c r="I15" s="13">
        <f t="shared" si="2"/>
        <v>0</v>
      </c>
      <c r="J15" s="13" t="e">
        <f t="shared" si="3"/>
        <v>#N/A</v>
      </c>
      <c r="K15" s="13" t="e">
        <f t="shared" si="4"/>
        <v>#N/A</v>
      </c>
      <c r="L15" t="e">
        <f t="shared" si="5"/>
        <v>#N/A</v>
      </c>
      <c r="M15" t="e">
        <f t="shared" si="5"/>
        <v>#N/A</v>
      </c>
    </row>
    <row r="16" spans="1:15" x14ac:dyDescent="0.25">
      <c r="A16" s="8">
        <f t="shared" si="6"/>
        <v>0.42002314814814806</v>
      </c>
      <c r="B16" s="4">
        <f t="shared" si="7"/>
        <v>1553300290</v>
      </c>
      <c r="D16" t="e">
        <f t="shared" si="1"/>
        <v>#N/A</v>
      </c>
      <c r="E16" t="e">
        <f t="shared" si="1"/>
        <v>#N/A</v>
      </c>
      <c r="F16">
        <f t="shared" si="1"/>
        <v>8229.6</v>
      </c>
      <c r="G16" s="13" t="e">
        <f t="shared" si="2"/>
        <v>#N/A</v>
      </c>
      <c r="H16" s="13" t="e">
        <f t="shared" si="2"/>
        <v>#N/A</v>
      </c>
      <c r="I16" s="13">
        <f t="shared" si="2"/>
        <v>0</v>
      </c>
      <c r="J16" s="13" t="e">
        <f t="shared" si="3"/>
        <v>#N/A</v>
      </c>
      <c r="K16" s="13" t="e">
        <f t="shared" si="4"/>
        <v>#N/A</v>
      </c>
      <c r="L16" t="e">
        <f t="shared" si="5"/>
        <v>#N/A</v>
      </c>
      <c r="M16" t="e">
        <f t="shared" si="5"/>
        <v>#N/A</v>
      </c>
    </row>
    <row r="17" spans="1:13" x14ac:dyDescent="0.25">
      <c r="A17" s="8">
        <f t="shared" si="6"/>
        <v>0.42008101851851842</v>
      </c>
      <c r="B17" s="4">
        <f t="shared" si="7"/>
        <v>1553300295</v>
      </c>
      <c r="D17" t="e">
        <f t="shared" si="1"/>
        <v>#N/A</v>
      </c>
      <c r="E17" t="e">
        <f t="shared" si="1"/>
        <v>#N/A</v>
      </c>
      <c r="F17">
        <f t="shared" si="1"/>
        <v>8229.6</v>
      </c>
      <c r="G17" s="13" t="e">
        <f t="shared" si="2"/>
        <v>#N/A</v>
      </c>
      <c r="H17" s="13" t="e">
        <f t="shared" si="2"/>
        <v>#N/A</v>
      </c>
      <c r="I17" s="13">
        <f t="shared" si="2"/>
        <v>0</v>
      </c>
      <c r="J17" s="13" t="e">
        <f t="shared" si="3"/>
        <v>#N/A</v>
      </c>
      <c r="K17" s="13" t="e">
        <f t="shared" si="4"/>
        <v>#N/A</v>
      </c>
      <c r="L17" t="e">
        <f t="shared" si="5"/>
        <v>#N/A</v>
      </c>
      <c r="M17" t="e">
        <f t="shared" si="5"/>
        <v>#N/A</v>
      </c>
    </row>
    <row r="18" spans="1:13" x14ac:dyDescent="0.25">
      <c r="A18" s="8">
        <f t="shared" si="6"/>
        <v>0.42013888888888878</v>
      </c>
      <c r="B18" s="4">
        <f t="shared" si="7"/>
        <v>1553300300</v>
      </c>
      <c r="D18" t="e">
        <f t="shared" si="1"/>
        <v>#N/A</v>
      </c>
      <c r="E18" t="e">
        <f t="shared" si="1"/>
        <v>#N/A</v>
      </c>
      <c r="F18">
        <f t="shared" si="1"/>
        <v>8229.6</v>
      </c>
      <c r="G18" s="13" t="e">
        <f t="shared" si="2"/>
        <v>#N/A</v>
      </c>
      <c r="H18" s="13" t="e">
        <f t="shared" si="2"/>
        <v>#N/A</v>
      </c>
      <c r="I18" s="13">
        <f t="shared" si="2"/>
        <v>0</v>
      </c>
      <c r="J18" s="13" t="e">
        <f t="shared" si="3"/>
        <v>#N/A</v>
      </c>
      <c r="K18" s="13" t="e">
        <f t="shared" si="4"/>
        <v>#N/A</v>
      </c>
      <c r="L18" t="e">
        <f t="shared" si="5"/>
        <v>#N/A</v>
      </c>
      <c r="M18" t="e">
        <f t="shared" si="5"/>
        <v>#N/A</v>
      </c>
    </row>
    <row r="19" spans="1:13" x14ac:dyDescent="0.25">
      <c r="A19" s="8">
        <f t="shared" si="6"/>
        <v>0.42019675925925914</v>
      </c>
      <c r="B19" s="4">
        <f t="shared" si="7"/>
        <v>1553300305</v>
      </c>
      <c r="D19" t="e">
        <f t="shared" si="1"/>
        <v>#N/A</v>
      </c>
      <c r="E19" t="e">
        <f t="shared" si="1"/>
        <v>#N/A</v>
      </c>
      <c r="F19">
        <f t="shared" si="1"/>
        <v>8229.6</v>
      </c>
      <c r="G19" s="13" t="e">
        <f t="shared" si="2"/>
        <v>#N/A</v>
      </c>
      <c r="H19" s="13" t="e">
        <f t="shared" si="2"/>
        <v>#N/A</v>
      </c>
      <c r="I19" s="13">
        <f t="shared" si="2"/>
        <v>0</v>
      </c>
      <c r="J19" s="13" t="e">
        <f t="shared" si="3"/>
        <v>#N/A</v>
      </c>
      <c r="K19" s="13" t="e">
        <f t="shared" si="4"/>
        <v>#N/A</v>
      </c>
      <c r="L19" t="e">
        <f t="shared" si="5"/>
        <v>#N/A</v>
      </c>
      <c r="M19" t="e">
        <f t="shared" si="5"/>
        <v>#N/A</v>
      </c>
    </row>
    <row r="20" spans="1:13" x14ac:dyDescent="0.25">
      <c r="A20" s="8">
        <f t="shared" si="6"/>
        <v>0.42025462962962951</v>
      </c>
      <c r="B20" s="4">
        <f t="shared" si="7"/>
        <v>1553300310</v>
      </c>
      <c r="D20" t="e">
        <f t="shared" si="1"/>
        <v>#N/A</v>
      </c>
      <c r="E20" t="e">
        <f t="shared" si="1"/>
        <v>#N/A</v>
      </c>
      <c r="F20">
        <f t="shared" si="1"/>
        <v>8229.6</v>
      </c>
      <c r="G20" s="13" t="e">
        <f t="shared" si="2"/>
        <v>#N/A</v>
      </c>
      <c r="H20" s="13" t="e">
        <f t="shared" si="2"/>
        <v>#N/A</v>
      </c>
      <c r="I20" s="13">
        <f t="shared" si="2"/>
        <v>0</v>
      </c>
      <c r="J20" s="13" t="e">
        <f t="shared" si="3"/>
        <v>#N/A</v>
      </c>
      <c r="K20" s="13" t="e">
        <f t="shared" si="4"/>
        <v>#N/A</v>
      </c>
      <c r="L20" t="e">
        <f t="shared" si="5"/>
        <v>#N/A</v>
      </c>
      <c r="M20" t="e">
        <f t="shared" si="5"/>
        <v>#N/A</v>
      </c>
    </row>
    <row r="21" spans="1:13" x14ac:dyDescent="0.25">
      <c r="A21" s="8">
        <f t="shared" si="6"/>
        <v>0.42031249999999987</v>
      </c>
      <c r="B21" s="4">
        <f t="shared" si="7"/>
        <v>1553300315</v>
      </c>
      <c r="D21" t="e">
        <f t="shared" si="1"/>
        <v>#N/A</v>
      </c>
      <c r="E21" t="e">
        <f t="shared" si="1"/>
        <v>#N/A</v>
      </c>
      <c r="F21">
        <f t="shared" si="1"/>
        <v>8229.6</v>
      </c>
      <c r="G21" s="13" t="e">
        <f t="shared" si="2"/>
        <v>#N/A</v>
      </c>
      <c r="H21" s="13" t="e">
        <f t="shared" si="2"/>
        <v>#N/A</v>
      </c>
      <c r="I21" s="13">
        <f t="shared" si="2"/>
        <v>0</v>
      </c>
      <c r="J21" s="13" t="e">
        <f t="shared" si="3"/>
        <v>#N/A</v>
      </c>
      <c r="K21" s="13" t="e">
        <f t="shared" si="4"/>
        <v>#N/A</v>
      </c>
      <c r="L21" t="e">
        <f t="shared" si="5"/>
        <v>#N/A</v>
      </c>
      <c r="M21" t="e">
        <f t="shared" si="5"/>
        <v>#N/A</v>
      </c>
    </row>
    <row r="22" spans="1:13" x14ac:dyDescent="0.25">
      <c r="A22" s="8">
        <f t="shared" si="6"/>
        <v>0.42037037037037023</v>
      </c>
      <c r="B22" s="4">
        <f t="shared" si="7"/>
        <v>1553300320</v>
      </c>
      <c r="D22" t="e">
        <f t="shared" si="1"/>
        <v>#N/A</v>
      </c>
      <c r="E22" t="e">
        <f t="shared" si="1"/>
        <v>#N/A</v>
      </c>
      <c r="F22">
        <f t="shared" si="1"/>
        <v>8229.6</v>
      </c>
      <c r="G22" s="13" t="e">
        <f t="shared" si="2"/>
        <v>#N/A</v>
      </c>
      <c r="H22" s="13" t="e">
        <f t="shared" si="2"/>
        <v>#N/A</v>
      </c>
      <c r="I22" s="13">
        <f t="shared" si="2"/>
        <v>0</v>
      </c>
      <c r="J22" s="13" t="e">
        <f t="shared" si="3"/>
        <v>#N/A</v>
      </c>
      <c r="K22" s="13" t="e">
        <f t="shared" si="4"/>
        <v>#N/A</v>
      </c>
      <c r="L22" t="e">
        <f t="shared" si="5"/>
        <v>#N/A</v>
      </c>
      <c r="M22" t="e">
        <f t="shared" si="5"/>
        <v>#N/A</v>
      </c>
    </row>
    <row r="23" spans="1:13" x14ac:dyDescent="0.25">
      <c r="A23" s="8">
        <f t="shared" si="6"/>
        <v>0.42042824074074059</v>
      </c>
      <c r="B23" s="4">
        <f t="shared" si="7"/>
        <v>1553300325</v>
      </c>
      <c r="D23" t="e">
        <f t="shared" ref="D23:F53" si="8">D$2+G$2*($B23-$B$6)</f>
        <v>#N/A</v>
      </c>
      <c r="E23" t="e">
        <f t="shared" si="8"/>
        <v>#N/A</v>
      </c>
      <c r="F23">
        <f t="shared" si="8"/>
        <v>8229.6</v>
      </c>
      <c r="G23" s="13" t="e">
        <f t="shared" si="2"/>
        <v>#N/A</v>
      </c>
      <c r="H23" s="13" t="e">
        <f t="shared" si="2"/>
        <v>#N/A</v>
      </c>
      <c r="I23" s="13">
        <f t="shared" si="2"/>
        <v>0</v>
      </c>
      <c r="J23" s="13" t="e">
        <f t="shared" si="3"/>
        <v>#N/A</v>
      </c>
      <c r="K23" s="13" t="e">
        <f t="shared" si="4"/>
        <v>#N/A</v>
      </c>
      <c r="L23" t="e">
        <f t="shared" si="5"/>
        <v>#N/A</v>
      </c>
      <c r="M23" t="e">
        <f t="shared" si="5"/>
        <v>#N/A</v>
      </c>
    </row>
    <row r="24" spans="1:13" x14ac:dyDescent="0.25">
      <c r="A24" s="8">
        <f t="shared" si="6"/>
        <v>0.42048611111111095</v>
      </c>
      <c r="B24" s="4">
        <f t="shared" si="7"/>
        <v>1553300330</v>
      </c>
      <c r="D24" t="e">
        <f t="shared" si="8"/>
        <v>#N/A</v>
      </c>
      <c r="E24" t="e">
        <f t="shared" si="8"/>
        <v>#N/A</v>
      </c>
      <c r="F24">
        <f t="shared" si="8"/>
        <v>8229.6</v>
      </c>
      <c r="G24" s="13" t="e">
        <f t="shared" si="2"/>
        <v>#N/A</v>
      </c>
      <c r="H24" s="13" t="e">
        <f t="shared" si="2"/>
        <v>#N/A</v>
      </c>
      <c r="I24" s="13">
        <f t="shared" si="2"/>
        <v>0</v>
      </c>
      <c r="J24" s="13" t="e">
        <f t="shared" si="3"/>
        <v>#N/A</v>
      </c>
      <c r="K24" s="13" t="e">
        <f t="shared" si="4"/>
        <v>#N/A</v>
      </c>
      <c r="L24" t="e">
        <f t="shared" si="5"/>
        <v>#N/A</v>
      </c>
      <c r="M24" t="e">
        <f t="shared" si="5"/>
        <v>#N/A</v>
      </c>
    </row>
    <row r="25" spans="1:13" x14ac:dyDescent="0.25">
      <c r="A25" s="8">
        <f t="shared" si="6"/>
        <v>0.42054398148148131</v>
      </c>
      <c r="B25" s="4">
        <f t="shared" si="7"/>
        <v>1553300335</v>
      </c>
      <c r="D25" t="e">
        <f t="shared" si="8"/>
        <v>#N/A</v>
      </c>
      <c r="E25" t="e">
        <f t="shared" si="8"/>
        <v>#N/A</v>
      </c>
      <c r="F25">
        <f t="shared" si="8"/>
        <v>8229.6</v>
      </c>
      <c r="G25" s="13" t="e">
        <f t="shared" si="2"/>
        <v>#N/A</v>
      </c>
      <c r="H25" s="13" t="e">
        <f t="shared" si="2"/>
        <v>#N/A</v>
      </c>
      <c r="I25" s="13">
        <f t="shared" si="2"/>
        <v>0</v>
      </c>
      <c r="J25" s="13" t="e">
        <f t="shared" si="3"/>
        <v>#N/A</v>
      </c>
      <c r="K25" s="13" t="e">
        <f t="shared" si="4"/>
        <v>#N/A</v>
      </c>
      <c r="L25" t="e">
        <f t="shared" si="5"/>
        <v>#N/A</v>
      </c>
      <c r="M25" t="e">
        <f t="shared" si="5"/>
        <v>#N/A</v>
      </c>
    </row>
    <row r="26" spans="1:13" x14ac:dyDescent="0.25">
      <c r="A26" s="8">
        <f t="shared" si="6"/>
        <v>0.42060185185185167</v>
      </c>
      <c r="B26" s="4">
        <f t="shared" si="7"/>
        <v>1553300340</v>
      </c>
      <c r="D26" t="e">
        <f t="shared" si="8"/>
        <v>#N/A</v>
      </c>
      <c r="E26" t="e">
        <f t="shared" si="8"/>
        <v>#N/A</v>
      </c>
      <c r="F26">
        <f t="shared" si="8"/>
        <v>8229.6</v>
      </c>
      <c r="G26" s="13" t="e">
        <f t="shared" si="2"/>
        <v>#N/A</v>
      </c>
      <c r="H26" s="13" t="e">
        <f t="shared" si="2"/>
        <v>#N/A</v>
      </c>
      <c r="I26" s="13">
        <f t="shared" si="2"/>
        <v>0</v>
      </c>
      <c r="J26" s="13" t="e">
        <f t="shared" si="3"/>
        <v>#N/A</v>
      </c>
      <c r="K26" s="13" t="e">
        <f t="shared" si="4"/>
        <v>#N/A</v>
      </c>
      <c r="L26" t="e">
        <f t="shared" si="5"/>
        <v>#N/A</v>
      </c>
      <c r="M26" t="e">
        <f t="shared" si="5"/>
        <v>#N/A</v>
      </c>
    </row>
    <row r="27" spans="1:13" x14ac:dyDescent="0.25">
      <c r="A27" s="8">
        <f t="shared" si="6"/>
        <v>0.42065972222222203</v>
      </c>
      <c r="B27" s="4">
        <f t="shared" si="7"/>
        <v>1553300345</v>
      </c>
      <c r="D27" t="e">
        <f t="shared" si="8"/>
        <v>#N/A</v>
      </c>
      <c r="E27" t="e">
        <f t="shared" si="8"/>
        <v>#N/A</v>
      </c>
      <c r="F27">
        <f t="shared" si="8"/>
        <v>8229.6</v>
      </c>
      <c r="G27" s="13" t="e">
        <f t="shared" si="2"/>
        <v>#N/A</v>
      </c>
      <c r="H27" s="13" t="e">
        <f t="shared" si="2"/>
        <v>#N/A</v>
      </c>
      <c r="I27" s="13">
        <f t="shared" si="2"/>
        <v>0</v>
      </c>
      <c r="J27" s="13" t="e">
        <f t="shared" si="3"/>
        <v>#N/A</v>
      </c>
      <c r="K27" s="13" t="e">
        <f t="shared" si="4"/>
        <v>#N/A</v>
      </c>
      <c r="L27" t="e">
        <f t="shared" si="5"/>
        <v>#N/A</v>
      </c>
      <c r="M27" t="e">
        <f t="shared" si="5"/>
        <v>#N/A</v>
      </c>
    </row>
    <row r="28" spans="1:13" x14ac:dyDescent="0.25">
      <c r="A28" s="8">
        <f t="shared" si="6"/>
        <v>0.42071759259259239</v>
      </c>
      <c r="B28" s="4">
        <f t="shared" si="7"/>
        <v>1553300350</v>
      </c>
      <c r="D28" t="e">
        <f t="shared" si="8"/>
        <v>#N/A</v>
      </c>
      <c r="E28" t="e">
        <f t="shared" si="8"/>
        <v>#N/A</v>
      </c>
      <c r="F28">
        <f t="shared" si="8"/>
        <v>8229.6</v>
      </c>
      <c r="G28" s="13" t="e">
        <f t="shared" si="2"/>
        <v>#N/A</v>
      </c>
      <c r="H28" s="13" t="e">
        <f t="shared" si="2"/>
        <v>#N/A</v>
      </c>
      <c r="I28" s="13">
        <f t="shared" si="2"/>
        <v>0</v>
      </c>
      <c r="J28" s="13" t="e">
        <f t="shared" si="3"/>
        <v>#N/A</v>
      </c>
      <c r="K28" s="13" t="e">
        <f t="shared" si="4"/>
        <v>#N/A</v>
      </c>
      <c r="L28" t="e">
        <f t="shared" si="5"/>
        <v>#N/A</v>
      </c>
      <c r="M28" t="e">
        <f t="shared" si="5"/>
        <v>#N/A</v>
      </c>
    </row>
    <row r="29" spans="1:13" x14ac:dyDescent="0.25">
      <c r="A29" s="8">
        <f t="shared" si="6"/>
        <v>0.42077546296296275</v>
      </c>
      <c r="B29" s="4">
        <f t="shared" si="7"/>
        <v>1553300355</v>
      </c>
      <c r="D29" t="e">
        <f t="shared" si="8"/>
        <v>#N/A</v>
      </c>
      <c r="E29" t="e">
        <f t="shared" si="8"/>
        <v>#N/A</v>
      </c>
      <c r="F29">
        <f t="shared" si="8"/>
        <v>8229.6</v>
      </c>
      <c r="G29" s="13" t="e">
        <f t="shared" si="2"/>
        <v>#N/A</v>
      </c>
      <c r="H29" s="13" t="e">
        <f t="shared" si="2"/>
        <v>#N/A</v>
      </c>
      <c r="I29" s="13">
        <f t="shared" si="2"/>
        <v>0</v>
      </c>
      <c r="J29" s="13" t="e">
        <f t="shared" si="3"/>
        <v>#N/A</v>
      </c>
      <c r="K29" s="13" t="e">
        <f t="shared" si="4"/>
        <v>#N/A</v>
      </c>
      <c r="L29" t="e">
        <f t="shared" si="5"/>
        <v>#N/A</v>
      </c>
      <c r="M29" t="e">
        <f t="shared" si="5"/>
        <v>#N/A</v>
      </c>
    </row>
    <row r="30" spans="1:13" x14ac:dyDescent="0.25">
      <c r="A30" s="8">
        <f t="shared" si="6"/>
        <v>0.42083333333333311</v>
      </c>
      <c r="B30" s="4">
        <f t="shared" si="7"/>
        <v>1553300360</v>
      </c>
      <c r="D30" t="e">
        <f t="shared" si="8"/>
        <v>#N/A</v>
      </c>
      <c r="E30" t="e">
        <f t="shared" si="8"/>
        <v>#N/A</v>
      </c>
      <c r="F30">
        <f t="shared" si="8"/>
        <v>8229.6</v>
      </c>
      <c r="G30" s="13" t="e">
        <f t="shared" si="2"/>
        <v>#N/A</v>
      </c>
      <c r="H30" s="13" t="e">
        <f t="shared" si="2"/>
        <v>#N/A</v>
      </c>
      <c r="I30" s="13">
        <f t="shared" si="2"/>
        <v>0</v>
      </c>
      <c r="J30" s="13" t="e">
        <f t="shared" si="3"/>
        <v>#N/A</v>
      </c>
      <c r="K30" s="13" t="e">
        <f t="shared" si="4"/>
        <v>#N/A</v>
      </c>
      <c r="L30" t="e">
        <f t="shared" si="5"/>
        <v>#N/A</v>
      </c>
      <c r="M30" t="e">
        <f t="shared" si="5"/>
        <v>#N/A</v>
      </c>
    </row>
    <row r="31" spans="1:13" x14ac:dyDescent="0.25">
      <c r="A31" s="8">
        <f t="shared" si="6"/>
        <v>0.42089120370370348</v>
      </c>
      <c r="B31" s="4">
        <f t="shared" si="7"/>
        <v>1553300365</v>
      </c>
      <c r="D31" t="e">
        <f t="shared" si="8"/>
        <v>#N/A</v>
      </c>
      <c r="E31" t="e">
        <f t="shared" si="8"/>
        <v>#N/A</v>
      </c>
      <c r="F31">
        <f t="shared" si="8"/>
        <v>8229.6</v>
      </c>
      <c r="G31" s="13" t="e">
        <f t="shared" si="2"/>
        <v>#N/A</v>
      </c>
      <c r="H31" s="13" t="e">
        <f t="shared" si="2"/>
        <v>#N/A</v>
      </c>
      <c r="I31" s="13">
        <f t="shared" si="2"/>
        <v>0</v>
      </c>
      <c r="J31" s="13" t="e">
        <f t="shared" si="3"/>
        <v>#N/A</v>
      </c>
      <c r="K31" s="13" t="e">
        <f t="shared" si="4"/>
        <v>#N/A</v>
      </c>
      <c r="L31" t="e">
        <f t="shared" si="5"/>
        <v>#N/A</v>
      </c>
      <c r="M31" t="e">
        <f t="shared" si="5"/>
        <v>#N/A</v>
      </c>
    </row>
    <row r="32" spans="1:13" x14ac:dyDescent="0.25">
      <c r="A32" s="8">
        <f t="shared" si="6"/>
        <v>0.42094907407407384</v>
      </c>
      <c r="B32" s="4">
        <f t="shared" si="7"/>
        <v>1553300370</v>
      </c>
      <c r="D32" t="e">
        <f t="shared" si="8"/>
        <v>#N/A</v>
      </c>
      <c r="E32" t="e">
        <f t="shared" si="8"/>
        <v>#N/A</v>
      </c>
      <c r="F32">
        <f t="shared" si="8"/>
        <v>8229.6</v>
      </c>
      <c r="G32" s="13" t="e">
        <f t="shared" si="2"/>
        <v>#N/A</v>
      </c>
      <c r="H32" s="13" t="e">
        <f t="shared" si="2"/>
        <v>#N/A</v>
      </c>
      <c r="I32" s="13">
        <f t="shared" si="2"/>
        <v>0</v>
      </c>
      <c r="J32" s="13" t="e">
        <f t="shared" si="3"/>
        <v>#N/A</v>
      </c>
      <c r="K32" s="13" t="e">
        <f t="shared" si="4"/>
        <v>#N/A</v>
      </c>
      <c r="L32" t="e">
        <f t="shared" si="5"/>
        <v>#N/A</v>
      </c>
      <c r="M32" t="e">
        <f t="shared" si="5"/>
        <v>#N/A</v>
      </c>
    </row>
    <row r="33" spans="1:13" x14ac:dyDescent="0.25">
      <c r="A33" s="8">
        <f>A32+5/24/3600</f>
        <v>0.4210069444444442</v>
      </c>
      <c r="B33" s="4">
        <f t="shared" si="7"/>
        <v>1553300375</v>
      </c>
      <c r="D33" t="e">
        <f t="shared" si="8"/>
        <v>#N/A</v>
      </c>
      <c r="E33" t="e">
        <f t="shared" si="8"/>
        <v>#N/A</v>
      </c>
      <c r="F33">
        <f t="shared" si="8"/>
        <v>8229.6</v>
      </c>
      <c r="G33" s="13" t="e">
        <f t="shared" si="2"/>
        <v>#N/A</v>
      </c>
      <c r="H33" s="13" t="e">
        <f t="shared" si="2"/>
        <v>#N/A</v>
      </c>
      <c r="I33" s="13">
        <f t="shared" si="2"/>
        <v>0</v>
      </c>
      <c r="J33" s="13" t="e">
        <f t="shared" si="3"/>
        <v>#N/A</v>
      </c>
      <c r="K33" s="13" t="e">
        <f t="shared" si="4"/>
        <v>#N/A</v>
      </c>
      <c r="L33" t="e">
        <f t="shared" si="5"/>
        <v>#N/A</v>
      </c>
      <c r="M33" t="e">
        <f t="shared" si="5"/>
        <v>#N/A</v>
      </c>
    </row>
    <row r="34" spans="1:13" x14ac:dyDescent="0.25">
      <c r="A34" s="8">
        <f t="shared" si="6"/>
        <v>0.42106481481481456</v>
      </c>
      <c r="B34" s="4">
        <f t="shared" si="7"/>
        <v>1553300380</v>
      </c>
      <c r="D34" t="e">
        <f t="shared" si="8"/>
        <v>#N/A</v>
      </c>
      <c r="E34" t="e">
        <f t="shared" si="8"/>
        <v>#N/A</v>
      </c>
      <c r="F34">
        <f t="shared" si="8"/>
        <v>8229.6</v>
      </c>
      <c r="G34" s="13" t="e">
        <f t="shared" si="2"/>
        <v>#N/A</v>
      </c>
      <c r="H34" s="13" t="e">
        <f t="shared" si="2"/>
        <v>#N/A</v>
      </c>
      <c r="I34" s="13">
        <f t="shared" si="2"/>
        <v>0</v>
      </c>
      <c r="J34" s="13" t="e">
        <f t="shared" si="3"/>
        <v>#N/A</v>
      </c>
      <c r="K34" s="13" t="e">
        <f t="shared" si="4"/>
        <v>#N/A</v>
      </c>
      <c r="L34" t="e">
        <f t="shared" si="5"/>
        <v>#N/A</v>
      </c>
      <c r="M34" t="e">
        <f t="shared" si="5"/>
        <v>#N/A</v>
      </c>
    </row>
    <row r="35" spans="1:13" x14ac:dyDescent="0.25">
      <c r="A35" s="8">
        <f t="shared" si="6"/>
        <v>0.42112268518518492</v>
      </c>
      <c r="B35" s="4">
        <f t="shared" si="7"/>
        <v>1553300385</v>
      </c>
      <c r="D35" t="e">
        <f t="shared" si="8"/>
        <v>#N/A</v>
      </c>
      <c r="E35" t="e">
        <f t="shared" si="8"/>
        <v>#N/A</v>
      </c>
      <c r="F35">
        <f t="shared" si="8"/>
        <v>8229.6</v>
      </c>
      <c r="G35" s="13" t="e">
        <f t="shared" si="2"/>
        <v>#N/A</v>
      </c>
      <c r="H35" s="13" t="e">
        <f t="shared" si="2"/>
        <v>#N/A</v>
      </c>
      <c r="I35" s="13">
        <f t="shared" si="2"/>
        <v>0</v>
      </c>
      <c r="J35" s="13" t="e">
        <f t="shared" si="3"/>
        <v>#N/A</v>
      </c>
      <c r="K35" s="13" t="e">
        <f t="shared" si="4"/>
        <v>#N/A</v>
      </c>
      <c r="L35" t="e">
        <f t="shared" si="5"/>
        <v>#N/A</v>
      </c>
      <c r="M35" t="e">
        <f t="shared" si="5"/>
        <v>#N/A</v>
      </c>
    </row>
    <row r="36" spans="1:13" x14ac:dyDescent="0.25">
      <c r="A36" s="8">
        <f t="shared" si="6"/>
        <v>0.42118055555555528</v>
      </c>
      <c r="B36" s="4">
        <f t="shared" si="7"/>
        <v>1553300390</v>
      </c>
      <c r="D36" t="e">
        <f t="shared" si="8"/>
        <v>#N/A</v>
      </c>
      <c r="E36" t="e">
        <f t="shared" si="8"/>
        <v>#N/A</v>
      </c>
      <c r="F36">
        <f t="shared" si="8"/>
        <v>8229.6</v>
      </c>
      <c r="G36" s="13" t="e">
        <f t="shared" si="2"/>
        <v>#N/A</v>
      </c>
      <c r="H36" s="13" t="e">
        <f t="shared" si="2"/>
        <v>#N/A</v>
      </c>
      <c r="I36" s="13">
        <f t="shared" si="2"/>
        <v>0</v>
      </c>
      <c r="J36" s="13" t="e">
        <f t="shared" si="3"/>
        <v>#N/A</v>
      </c>
      <c r="K36" s="13" t="e">
        <f t="shared" si="4"/>
        <v>#N/A</v>
      </c>
      <c r="L36" t="e">
        <f t="shared" si="5"/>
        <v>#N/A</v>
      </c>
      <c r="M36" t="e">
        <f t="shared" si="5"/>
        <v>#N/A</v>
      </c>
    </row>
    <row r="37" spans="1:13" x14ac:dyDescent="0.25">
      <c r="A37" s="8">
        <f t="shared" si="6"/>
        <v>0.42123842592592564</v>
      </c>
      <c r="B37" s="4">
        <f t="shared" si="7"/>
        <v>1553300395</v>
      </c>
      <c r="D37" t="e">
        <f t="shared" si="8"/>
        <v>#N/A</v>
      </c>
      <c r="E37" t="e">
        <f t="shared" si="8"/>
        <v>#N/A</v>
      </c>
      <c r="F37">
        <f t="shared" si="8"/>
        <v>8229.6</v>
      </c>
      <c r="G37" s="13" t="e">
        <f t="shared" si="2"/>
        <v>#N/A</v>
      </c>
      <c r="H37" s="13" t="e">
        <f t="shared" si="2"/>
        <v>#N/A</v>
      </c>
      <c r="I37" s="13">
        <f t="shared" si="2"/>
        <v>0</v>
      </c>
      <c r="J37" s="13" t="e">
        <f t="shared" si="3"/>
        <v>#N/A</v>
      </c>
      <c r="K37" s="13" t="e">
        <f t="shared" si="4"/>
        <v>#N/A</v>
      </c>
      <c r="L37" t="e">
        <f t="shared" si="5"/>
        <v>#N/A</v>
      </c>
      <c r="M37" t="e">
        <f t="shared" si="5"/>
        <v>#N/A</v>
      </c>
    </row>
    <row r="38" spans="1:13" x14ac:dyDescent="0.25">
      <c r="A38" s="8">
        <f t="shared" si="6"/>
        <v>0.421296296296296</v>
      </c>
      <c r="B38" s="4">
        <f t="shared" si="7"/>
        <v>1553300400</v>
      </c>
      <c r="D38" t="e">
        <f t="shared" si="8"/>
        <v>#N/A</v>
      </c>
      <c r="E38" t="e">
        <f t="shared" si="8"/>
        <v>#N/A</v>
      </c>
      <c r="F38">
        <f t="shared" si="8"/>
        <v>8229.6</v>
      </c>
      <c r="G38" s="13" t="e">
        <f t="shared" si="2"/>
        <v>#N/A</v>
      </c>
      <c r="H38" s="13" t="e">
        <f t="shared" si="2"/>
        <v>#N/A</v>
      </c>
      <c r="I38" s="13">
        <f t="shared" si="2"/>
        <v>0</v>
      </c>
      <c r="J38" s="13" t="e">
        <f t="shared" si="3"/>
        <v>#N/A</v>
      </c>
      <c r="K38" s="13" t="e">
        <f t="shared" si="4"/>
        <v>#N/A</v>
      </c>
      <c r="L38" t="e">
        <f t="shared" si="5"/>
        <v>#N/A</v>
      </c>
      <c r="M38" t="e">
        <f t="shared" si="5"/>
        <v>#N/A</v>
      </c>
    </row>
    <row r="39" spans="1:13" x14ac:dyDescent="0.25">
      <c r="A39" s="8">
        <f t="shared" si="6"/>
        <v>0.42135416666666636</v>
      </c>
      <c r="B39" s="4">
        <f t="shared" si="7"/>
        <v>1553300405</v>
      </c>
      <c r="D39" t="e">
        <f t="shared" si="8"/>
        <v>#N/A</v>
      </c>
      <c r="E39" t="e">
        <f t="shared" si="8"/>
        <v>#N/A</v>
      </c>
      <c r="F39">
        <f t="shared" si="8"/>
        <v>8229.6</v>
      </c>
      <c r="G39" s="13" t="e">
        <f t="shared" si="2"/>
        <v>#N/A</v>
      </c>
      <c r="H39" s="13" t="e">
        <f t="shared" si="2"/>
        <v>#N/A</v>
      </c>
      <c r="I39" s="13">
        <f t="shared" si="2"/>
        <v>0</v>
      </c>
      <c r="J39" s="13" t="e">
        <f t="shared" si="3"/>
        <v>#N/A</v>
      </c>
      <c r="K39" s="13" t="e">
        <f t="shared" si="4"/>
        <v>#N/A</v>
      </c>
      <c r="L39" t="e">
        <f t="shared" si="5"/>
        <v>#N/A</v>
      </c>
      <c r="M39" t="e">
        <f t="shared" si="5"/>
        <v>#N/A</v>
      </c>
    </row>
    <row r="40" spans="1:13" x14ac:dyDescent="0.25">
      <c r="A40" s="8">
        <f t="shared" si="6"/>
        <v>0.42141203703703672</v>
      </c>
      <c r="B40" s="4">
        <f t="shared" si="7"/>
        <v>1553300410</v>
      </c>
      <c r="D40" t="e">
        <f t="shared" si="8"/>
        <v>#N/A</v>
      </c>
      <c r="E40" t="e">
        <f t="shared" si="8"/>
        <v>#N/A</v>
      </c>
      <c r="F40">
        <f t="shared" si="8"/>
        <v>8229.6</v>
      </c>
      <c r="G40" s="13" t="e">
        <f t="shared" si="2"/>
        <v>#N/A</v>
      </c>
      <c r="H40" s="13" t="e">
        <f t="shared" si="2"/>
        <v>#N/A</v>
      </c>
      <c r="I40" s="13">
        <f t="shared" si="2"/>
        <v>0</v>
      </c>
      <c r="J40" s="13" t="e">
        <f t="shared" si="3"/>
        <v>#N/A</v>
      </c>
      <c r="K40" s="13" t="e">
        <f t="shared" si="4"/>
        <v>#N/A</v>
      </c>
      <c r="L40" t="e">
        <f t="shared" si="5"/>
        <v>#N/A</v>
      </c>
      <c r="M40" t="e">
        <f t="shared" si="5"/>
        <v>#N/A</v>
      </c>
    </row>
    <row r="41" spans="1:13" x14ac:dyDescent="0.25">
      <c r="A41" s="8">
        <f t="shared" si="6"/>
        <v>0.42146990740740709</v>
      </c>
      <c r="B41" s="4">
        <f t="shared" si="7"/>
        <v>1553300415</v>
      </c>
      <c r="D41" t="e">
        <f t="shared" si="8"/>
        <v>#N/A</v>
      </c>
      <c r="E41" t="e">
        <f t="shared" si="8"/>
        <v>#N/A</v>
      </c>
      <c r="F41">
        <f t="shared" si="8"/>
        <v>8229.6</v>
      </c>
      <c r="G41" s="13" t="e">
        <f t="shared" si="2"/>
        <v>#N/A</v>
      </c>
      <c r="H41" s="13" t="e">
        <f t="shared" si="2"/>
        <v>#N/A</v>
      </c>
      <c r="I41" s="13">
        <f t="shared" si="2"/>
        <v>0</v>
      </c>
      <c r="J41" s="13" t="e">
        <f t="shared" si="3"/>
        <v>#N/A</v>
      </c>
      <c r="K41" s="13" t="e">
        <f t="shared" si="4"/>
        <v>#N/A</v>
      </c>
      <c r="L41" t="e">
        <f t="shared" si="5"/>
        <v>#N/A</v>
      </c>
      <c r="M41" t="e">
        <f t="shared" si="5"/>
        <v>#N/A</v>
      </c>
    </row>
    <row r="42" spans="1:13" x14ac:dyDescent="0.25">
      <c r="A42" s="8">
        <f t="shared" si="6"/>
        <v>0.42152777777777745</v>
      </c>
      <c r="B42" s="4">
        <f t="shared" si="7"/>
        <v>1553300420</v>
      </c>
      <c r="D42" t="e">
        <f t="shared" si="8"/>
        <v>#N/A</v>
      </c>
      <c r="E42" t="e">
        <f t="shared" si="8"/>
        <v>#N/A</v>
      </c>
      <c r="F42">
        <f t="shared" si="8"/>
        <v>8229.6</v>
      </c>
      <c r="G42" s="13" t="e">
        <f t="shared" si="2"/>
        <v>#N/A</v>
      </c>
      <c r="H42" s="13" t="e">
        <f t="shared" si="2"/>
        <v>#N/A</v>
      </c>
      <c r="I42" s="13">
        <f t="shared" si="2"/>
        <v>0</v>
      </c>
      <c r="J42" s="13" t="e">
        <f t="shared" si="3"/>
        <v>#N/A</v>
      </c>
      <c r="K42" s="13" t="e">
        <f t="shared" si="4"/>
        <v>#N/A</v>
      </c>
      <c r="L42" t="e">
        <f t="shared" si="5"/>
        <v>#N/A</v>
      </c>
      <c r="M42" t="e">
        <f t="shared" si="5"/>
        <v>#N/A</v>
      </c>
    </row>
    <row r="43" spans="1:13" x14ac:dyDescent="0.25">
      <c r="A43" s="8">
        <f t="shared" si="6"/>
        <v>0.42158564814814781</v>
      </c>
      <c r="B43" s="4">
        <f t="shared" si="7"/>
        <v>1553300425</v>
      </c>
      <c r="D43" t="e">
        <f t="shared" si="8"/>
        <v>#N/A</v>
      </c>
      <c r="E43" t="e">
        <f t="shared" si="8"/>
        <v>#N/A</v>
      </c>
      <c r="F43">
        <f t="shared" si="8"/>
        <v>8229.6</v>
      </c>
      <c r="G43" s="13" t="e">
        <f t="shared" si="2"/>
        <v>#N/A</v>
      </c>
      <c r="H43" s="13" t="e">
        <f t="shared" si="2"/>
        <v>#N/A</v>
      </c>
      <c r="I43" s="13">
        <f t="shared" si="2"/>
        <v>0</v>
      </c>
      <c r="J43" s="13" t="e">
        <f t="shared" si="3"/>
        <v>#N/A</v>
      </c>
      <c r="K43" s="13" t="e">
        <f t="shared" si="4"/>
        <v>#N/A</v>
      </c>
      <c r="L43" t="e">
        <f t="shared" si="5"/>
        <v>#N/A</v>
      </c>
      <c r="M43" t="e">
        <f t="shared" si="5"/>
        <v>#N/A</v>
      </c>
    </row>
    <row r="44" spans="1:13" x14ac:dyDescent="0.25">
      <c r="A44" s="8">
        <f t="shared" si="6"/>
        <v>0.42164351851851817</v>
      </c>
      <c r="B44" s="4">
        <f t="shared" si="7"/>
        <v>1553300430</v>
      </c>
      <c r="D44" t="e">
        <f t="shared" si="8"/>
        <v>#N/A</v>
      </c>
      <c r="E44" t="e">
        <f t="shared" si="8"/>
        <v>#N/A</v>
      </c>
      <c r="F44">
        <f t="shared" si="8"/>
        <v>8229.6</v>
      </c>
      <c r="G44" s="13" t="e">
        <f t="shared" si="2"/>
        <v>#N/A</v>
      </c>
      <c r="H44" s="13" t="e">
        <f t="shared" si="2"/>
        <v>#N/A</v>
      </c>
      <c r="I44" s="13">
        <f t="shared" si="2"/>
        <v>0</v>
      </c>
      <c r="J44" s="13" t="e">
        <f t="shared" si="3"/>
        <v>#N/A</v>
      </c>
      <c r="K44" s="13" t="e">
        <f t="shared" si="4"/>
        <v>#N/A</v>
      </c>
      <c r="L44" t="e">
        <f t="shared" si="5"/>
        <v>#N/A</v>
      </c>
      <c r="M44" t="e">
        <f t="shared" si="5"/>
        <v>#N/A</v>
      </c>
    </row>
    <row r="45" spans="1:13" x14ac:dyDescent="0.25">
      <c r="A45" s="8">
        <f t="shared" si="6"/>
        <v>0.42170138888888853</v>
      </c>
      <c r="B45" s="4">
        <f t="shared" si="7"/>
        <v>1553300435</v>
      </c>
      <c r="D45" t="e">
        <f t="shared" si="8"/>
        <v>#N/A</v>
      </c>
      <c r="E45" t="e">
        <f t="shared" si="8"/>
        <v>#N/A</v>
      </c>
      <c r="F45">
        <f t="shared" si="8"/>
        <v>8229.6</v>
      </c>
      <c r="G45" s="13" t="e">
        <f t="shared" si="2"/>
        <v>#N/A</v>
      </c>
      <c r="H45" s="13" t="e">
        <f t="shared" si="2"/>
        <v>#N/A</v>
      </c>
      <c r="I45" s="13">
        <f t="shared" si="2"/>
        <v>0</v>
      </c>
      <c r="J45" s="13" t="e">
        <f t="shared" si="3"/>
        <v>#N/A</v>
      </c>
      <c r="K45" s="13" t="e">
        <f t="shared" si="4"/>
        <v>#N/A</v>
      </c>
      <c r="L45" t="e">
        <f t="shared" si="5"/>
        <v>#N/A</v>
      </c>
      <c r="M45" t="e">
        <f t="shared" si="5"/>
        <v>#N/A</v>
      </c>
    </row>
    <row r="46" spans="1:13" x14ac:dyDescent="0.25">
      <c r="A46" s="8">
        <f t="shared" si="6"/>
        <v>0.42175925925925889</v>
      </c>
      <c r="B46" s="4">
        <f t="shared" si="7"/>
        <v>1553300440</v>
      </c>
      <c r="D46" t="e">
        <f t="shared" si="8"/>
        <v>#N/A</v>
      </c>
      <c r="E46" t="e">
        <f t="shared" si="8"/>
        <v>#N/A</v>
      </c>
      <c r="F46">
        <f t="shared" si="8"/>
        <v>8229.6</v>
      </c>
      <c r="G46" s="13" t="e">
        <f t="shared" si="2"/>
        <v>#N/A</v>
      </c>
      <c r="H46" s="13" t="e">
        <f t="shared" si="2"/>
        <v>#N/A</v>
      </c>
      <c r="I46" s="13">
        <f t="shared" si="2"/>
        <v>0</v>
      </c>
      <c r="J46" s="13" t="e">
        <f t="shared" si="3"/>
        <v>#N/A</v>
      </c>
      <c r="K46" s="13" t="e">
        <f t="shared" si="4"/>
        <v>#N/A</v>
      </c>
      <c r="L46" t="e">
        <f t="shared" si="5"/>
        <v>#N/A</v>
      </c>
      <c r="M46" t="e">
        <f t="shared" si="5"/>
        <v>#N/A</v>
      </c>
    </row>
    <row r="47" spans="1:13" x14ac:dyDescent="0.25">
      <c r="A47" s="8">
        <f t="shared" si="6"/>
        <v>0.42181712962962925</v>
      </c>
      <c r="B47" s="4">
        <f t="shared" si="7"/>
        <v>1553300445</v>
      </c>
      <c r="D47" t="e">
        <f t="shared" si="8"/>
        <v>#N/A</v>
      </c>
      <c r="E47" t="e">
        <f t="shared" si="8"/>
        <v>#N/A</v>
      </c>
      <c r="F47">
        <f t="shared" si="8"/>
        <v>8229.6</v>
      </c>
      <c r="G47" s="13" t="e">
        <f t="shared" si="2"/>
        <v>#N/A</v>
      </c>
      <c r="H47" s="13" t="e">
        <f t="shared" si="2"/>
        <v>#N/A</v>
      </c>
      <c r="I47" s="13">
        <f t="shared" si="2"/>
        <v>0</v>
      </c>
      <c r="J47" s="13" t="e">
        <f t="shared" si="3"/>
        <v>#N/A</v>
      </c>
      <c r="K47" s="13" t="e">
        <f t="shared" si="4"/>
        <v>#N/A</v>
      </c>
      <c r="L47" t="e">
        <f t="shared" si="5"/>
        <v>#N/A</v>
      </c>
      <c r="M47" t="e">
        <f t="shared" si="5"/>
        <v>#N/A</v>
      </c>
    </row>
    <row r="48" spans="1:13" x14ac:dyDescent="0.25">
      <c r="A48" s="8">
        <f t="shared" si="6"/>
        <v>0.42187499999999961</v>
      </c>
      <c r="B48" s="4">
        <f t="shared" si="7"/>
        <v>1553300450</v>
      </c>
      <c r="D48" t="e">
        <f t="shared" si="8"/>
        <v>#N/A</v>
      </c>
      <c r="E48" t="e">
        <f t="shared" si="8"/>
        <v>#N/A</v>
      </c>
      <c r="F48">
        <f t="shared" si="8"/>
        <v>8229.6</v>
      </c>
      <c r="G48" s="13" t="e">
        <f t="shared" si="2"/>
        <v>#N/A</v>
      </c>
      <c r="H48" s="13" t="e">
        <f t="shared" si="2"/>
        <v>#N/A</v>
      </c>
      <c r="I48" s="13">
        <f t="shared" si="2"/>
        <v>0</v>
      </c>
      <c r="J48" s="13" t="e">
        <f t="shared" si="3"/>
        <v>#N/A</v>
      </c>
      <c r="K48" s="13" t="e">
        <f t="shared" si="4"/>
        <v>#N/A</v>
      </c>
      <c r="L48" t="e">
        <f t="shared" si="5"/>
        <v>#N/A</v>
      </c>
      <c r="M48" t="e">
        <f t="shared" si="5"/>
        <v>#N/A</v>
      </c>
    </row>
    <row r="49" spans="1:18" x14ac:dyDescent="0.25">
      <c r="A49" s="8">
        <f t="shared" si="6"/>
        <v>0.42193287037036997</v>
      </c>
      <c r="B49" s="4">
        <f t="shared" si="7"/>
        <v>1553300455</v>
      </c>
      <c r="D49" t="e">
        <f t="shared" si="8"/>
        <v>#N/A</v>
      </c>
      <c r="E49" t="e">
        <f t="shared" si="8"/>
        <v>#N/A</v>
      </c>
      <c r="F49">
        <f t="shared" si="8"/>
        <v>8229.6</v>
      </c>
      <c r="G49" s="13" t="e">
        <f t="shared" si="2"/>
        <v>#N/A</v>
      </c>
      <c r="H49" s="13" t="e">
        <f t="shared" si="2"/>
        <v>#N/A</v>
      </c>
      <c r="I49" s="13">
        <f t="shared" si="2"/>
        <v>0</v>
      </c>
      <c r="J49" s="13" t="e">
        <f t="shared" si="3"/>
        <v>#N/A</v>
      </c>
      <c r="K49" s="13" t="e">
        <f t="shared" si="4"/>
        <v>#N/A</v>
      </c>
      <c r="L49" t="e">
        <f t="shared" si="5"/>
        <v>#N/A</v>
      </c>
      <c r="M49" t="e">
        <f t="shared" si="5"/>
        <v>#N/A</v>
      </c>
    </row>
    <row r="50" spans="1:18" x14ac:dyDescent="0.25">
      <c r="A50" s="8">
        <f t="shared" si="6"/>
        <v>0.42199074074074033</v>
      </c>
      <c r="B50" s="4">
        <f t="shared" si="7"/>
        <v>1553300460</v>
      </c>
      <c r="D50" t="e">
        <f t="shared" si="8"/>
        <v>#N/A</v>
      </c>
      <c r="E50" t="e">
        <f t="shared" si="8"/>
        <v>#N/A</v>
      </c>
      <c r="F50">
        <f t="shared" si="8"/>
        <v>8229.6</v>
      </c>
      <c r="G50" s="13" t="e">
        <f t="shared" si="2"/>
        <v>#N/A</v>
      </c>
      <c r="H50" s="13" t="e">
        <f t="shared" si="2"/>
        <v>#N/A</v>
      </c>
      <c r="I50" s="13">
        <f t="shared" si="2"/>
        <v>0</v>
      </c>
      <c r="J50" s="13" t="e">
        <f t="shared" si="3"/>
        <v>#N/A</v>
      </c>
      <c r="K50" s="13" t="e">
        <f t="shared" si="4"/>
        <v>#N/A</v>
      </c>
      <c r="L50" t="e">
        <f t="shared" si="5"/>
        <v>#N/A</v>
      </c>
      <c r="M50" t="e">
        <f t="shared" si="5"/>
        <v>#N/A</v>
      </c>
    </row>
    <row r="51" spans="1:18" x14ac:dyDescent="0.25">
      <c r="A51" s="8">
        <f t="shared" si="6"/>
        <v>0.42204861111111069</v>
      </c>
      <c r="B51" s="4">
        <f t="shared" si="7"/>
        <v>1553300465</v>
      </c>
      <c r="D51" t="e">
        <f t="shared" si="8"/>
        <v>#N/A</v>
      </c>
      <c r="E51" t="e">
        <f t="shared" si="8"/>
        <v>#N/A</v>
      </c>
      <c r="F51">
        <f t="shared" si="8"/>
        <v>8229.6</v>
      </c>
      <c r="G51" s="13" t="e">
        <f t="shared" si="2"/>
        <v>#N/A</v>
      </c>
      <c r="H51" s="13" t="e">
        <f t="shared" si="2"/>
        <v>#N/A</v>
      </c>
      <c r="I51" s="13">
        <f t="shared" si="2"/>
        <v>0</v>
      </c>
      <c r="J51" s="13" t="e">
        <f t="shared" si="3"/>
        <v>#N/A</v>
      </c>
      <c r="K51" s="13" t="e">
        <f t="shared" si="4"/>
        <v>#N/A</v>
      </c>
      <c r="L51" t="e">
        <f t="shared" si="5"/>
        <v>#N/A</v>
      </c>
      <c r="M51" t="e">
        <f t="shared" si="5"/>
        <v>#N/A</v>
      </c>
      <c r="O51" t="s">
        <v>21</v>
      </c>
      <c r="P51" t="s">
        <v>30</v>
      </c>
      <c r="Q51" t="s">
        <v>50</v>
      </c>
      <c r="R51" t="s">
        <v>51</v>
      </c>
    </row>
    <row r="52" spans="1:18" x14ac:dyDescent="0.25">
      <c r="A52" s="8">
        <f>A51+5/24/3600</f>
        <v>0.42210648148148106</v>
      </c>
      <c r="B52" s="4">
        <f t="shared" si="7"/>
        <v>1553300470</v>
      </c>
      <c r="D52" t="e">
        <f t="shared" si="8"/>
        <v>#N/A</v>
      </c>
      <c r="E52" t="e">
        <f t="shared" si="8"/>
        <v>#N/A</v>
      </c>
      <c r="F52">
        <f t="shared" si="8"/>
        <v>8229.6</v>
      </c>
      <c r="G52" s="13" t="e">
        <f t="shared" si="2"/>
        <v>#N/A</v>
      </c>
      <c r="H52" s="13" t="e">
        <f t="shared" si="2"/>
        <v>#N/A</v>
      </c>
      <c r="I52" s="13">
        <f t="shared" si="2"/>
        <v>0</v>
      </c>
      <c r="J52" s="13" t="e">
        <f t="shared" si="3"/>
        <v>#N/A</v>
      </c>
      <c r="K52" s="13" t="e">
        <f t="shared" si="4"/>
        <v>#N/A</v>
      </c>
      <c r="L52" t="e">
        <f t="shared" si="5"/>
        <v>#N/A</v>
      </c>
      <c r="M52" t="e">
        <f t="shared" si="5"/>
        <v>#N/A</v>
      </c>
      <c r="N52">
        <f>(B52-B$52)/(B$56-B$52)</f>
        <v>0</v>
      </c>
      <c r="O52" t="e">
        <f t="shared" ref="O52:P56" si="9">(1-$N52)*(1-$N52)*D$52+2*$N52*(1-$N52)*D$3+$N52*$N52*D$56</f>
        <v>#N/A</v>
      </c>
      <c r="P52" t="e">
        <f t="shared" si="9"/>
        <v>#N/A</v>
      </c>
      <c r="Q52" t="e">
        <f>(1-$N52)*(1-$N52)*L$52+2*$N52*(1-$N52)*L$3+$N52*$N52*L$56</f>
        <v>#N/A</v>
      </c>
      <c r="R52" t="e">
        <f>(1-$N52)*(1-$N52)*M$52+2*$N52*(1-$N52)*M$3+$N52*$N52*M$56</f>
        <v>#N/A</v>
      </c>
    </row>
    <row r="53" spans="1:18" x14ac:dyDescent="0.25">
      <c r="A53" s="8">
        <f t="shared" si="6"/>
        <v>0.42216435185185142</v>
      </c>
      <c r="B53" s="4">
        <f t="shared" si="7"/>
        <v>1553300475</v>
      </c>
      <c r="D53" t="e">
        <f t="shared" ref="D53:E55" si="10">O53</f>
        <v>#N/A</v>
      </c>
      <c r="E53" t="e">
        <f t="shared" si="10"/>
        <v>#N/A</v>
      </c>
      <c r="F53">
        <f t="shared" si="8"/>
        <v>8229.6</v>
      </c>
      <c r="G53" s="13" t="e">
        <f t="shared" si="2"/>
        <v>#N/A</v>
      </c>
      <c r="H53" s="13" t="e">
        <f t="shared" si="2"/>
        <v>#N/A</v>
      </c>
      <c r="I53" s="13">
        <f t="shared" si="2"/>
        <v>0</v>
      </c>
      <c r="J53" s="13" t="e">
        <f t="shared" si="3"/>
        <v>#N/A</v>
      </c>
      <c r="K53" s="13" t="e">
        <f t="shared" si="4"/>
        <v>#N/A</v>
      </c>
      <c r="L53" t="e">
        <f>Q53</f>
        <v>#N/A</v>
      </c>
      <c r="M53" t="e">
        <f>R53</f>
        <v>#N/A</v>
      </c>
      <c r="N53">
        <f>(B53-B$52)/(B$56-B$52)</f>
        <v>0.25</v>
      </c>
      <c r="O53" t="e">
        <f t="shared" si="9"/>
        <v>#N/A</v>
      </c>
      <c r="P53" t="e">
        <f t="shared" si="9"/>
        <v>#N/A</v>
      </c>
      <c r="Q53" t="e">
        <f t="shared" ref="Q53:R56" si="11">(1-$N53)*(1-$N53)*L$52+2*$N53*(1-$N53)*L$3+$N53*$N53*L$56</f>
        <v>#N/A</v>
      </c>
      <c r="R53" t="e">
        <f t="shared" si="11"/>
        <v>#N/A</v>
      </c>
    </row>
    <row r="54" spans="1:18" x14ac:dyDescent="0.25">
      <c r="A54" s="9">
        <f t="shared" si="6"/>
        <v>0.42222222222222178</v>
      </c>
      <c r="B54" s="4">
        <f t="shared" si="7"/>
        <v>1553300480</v>
      </c>
      <c r="D54" t="e">
        <f t="shared" si="10"/>
        <v>#N/A</v>
      </c>
      <c r="E54" t="e">
        <f t="shared" si="10"/>
        <v>#N/A</v>
      </c>
      <c r="F54">
        <f>F$3+I$3*($B54-$B$54)</f>
        <v>8229.6</v>
      </c>
      <c r="G54" s="13" t="e">
        <f t="shared" si="2"/>
        <v>#N/A</v>
      </c>
      <c r="H54" s="13" t="e">
        <f t="shared" si="2"/>
        <v>#N/A</v>
      </c>
      <c r="I54" s="13">
        <f t="shared" si="2"/>
        <v>-2.177142857142826</v>
      </c>
      <c r="J54" s="13" t="e">
        <f t="shared" si="3"/>
        <v>#N/A</v>
      </c>
      <c r="K54" s="13" t="e">
        <f t="shared" si="4"/>
        <v>#N/A</v>
      </c>
      <c r="L54" t="e">
        <f t="shared" ref="L54:M55" si="12">Q54</f>
        <v>#N/A</v>
      </c>
      <c r="M54" t="e">
        <f t="shared" si="12"/>
        <v>#N/A</v>
      </c>
      <c r="N54">
        <f>(B54-B$52)/(B$56-B$52)</f>
        <v>0.5</v>
      </c>
      <c r="O54" t="e">
        <f t="shared" si="9"/>
        <v>#N/A</v>
      </c>
      <c r="P54" t="e">
        <f t="shared" si="9"/>
        <v>#N/A</v>
      </c>
      <c r="Q54" t="e">
        <f t="shared" si="11"/>
        <v>#N/A</v>
      </c>
      <c r="R54" t="e">
        <f t="shared" si="11"/>
        <v>#N/A</v>
      </c>
    </row>
    <row r="55" spans="1:18" x14ac:dyDescent="0.25">
      <c r="A55" s="8">
        <f t="shared" si="6"/>
        <v>0.42228009259259214</v>
      </c>
      <c r="B55" s="4">
        <f t="shared" si="7"/>
        <v>1553300485</v>
      </c>
      <c r="D55" t="e">
        <f t="shared" si="10"/>
        <v>#N/A</v>
      </c>
      <c r="E55" t="e">
        <f t="shared" si="10"/>
        <v>#N/A</v>
      </c>
      <c r="F55">
        <f t="shared" ref="F55:F118" si="13">F$3+I$3*($B55-$B$54)</f>
        <v>8218.7142857142862</v>
      </c>
      <c r="G55" s="13" t="e">
        <f t="shared" si="2"/>
        <v>#N/A</v>
      </c>
      <c r="H55" s="13" t="e">
        <f t="shared" si="2"/>
        <v>#N/A</v>
      </c>
      <c r="I55" s="13">
        <f t="shared" si="2"/>
        <v>-2.177142857142826</v>
      </c>
      <c r="J55" s="13" t="e">
        <f t="shared" si="3"/>
        <v>#N/A</v>
      </c>
      <c r="K55" s="13" t="e">
        <f t="shared" si="4"/>
        <v>#N/A</v>
      </c>
      <c r="L55" t="e">
        <f t="shared" si="12"/>
        <v>#N/A</v>
      </c>
      <c r="M55" t="e">
        <f t="shared" si="12"/>
        <v>#N/A</v>
      </c>
      <c r="N55">
        <f>(B55-B$52)/(B$56-B$52)</f>
        <v>0.75</v>
      </c>
      <c r="O55" t="e">
        <f t="shared" si="9"/>
        <v>#N/A</v>
      </c>
      <c r="P55" t="e">
        <f t="shared" si="9"/>
        <v>#N/A</v>
      </c>
      <c r="Q55" t="e">
        <f t="shared" si="11"/>
        <v>#N/A</v>
      </c>
      <c r="R55" t="e">
        <f t="shared" si="11"/>
        <v>#N/A</v>
      </c>
    </row>
    <row r="56" spans="1:18" x14ac:dyDescent="0.25">
      <c r="A56" s="8">
        <f t="shared" si="6"/>
        <v>0.4223379629629625</v>
      </c>
      <c r="B56" s="4">
        <f t="shared" si="7"/>
        <v>1553300490</v>
      </c>
      <c r="D56" t="e">
        <f t="shared" ref="D56:E83" si="14">D$3+G$3*($B56-$B$54)</f>
        <v>#N/A</v>
      </c>
      <c r="E56" t="e">
        <f t="shared" si="14"/>
        <v>#N/A</v>
      </c>
      <c r="F56">
        <f t="shared" si="13"/>
        <v>8207.8285714285721</v>
      </c>
      <c r="G56" s="13" t="e">
        <f t="shared" si="2"/>
        <v>#N/A</v>
      </c>
      <c r="H56" s="13" t="e">
        <f t="shared" si="2"/>
        <v>#N/A</v>
      </c>
      <c r="I56" s="13">
        <f t="shared" si="2"/>
        <v>-2.177142857142826</v>
      </c>
      <c r="J56" s="13" t="e">
        <f t="shared" si="3"/>
        <v>#N/A</v>
      </c>
      <c r="K56" s="13" t="e">
        <f t="shared" si="4"/>
        <v>#N/A</v>
      </c>
      <c r="L56" t="e">
        <f t="shared" ref="L56:M119" si="15">L$3+N$3*($B56-$B$54)</f>
        <v>#N/A</v>
      </c>
      <c r="M56" t="e">
        <f t="shared" si="15"/>
        <v>#N/A</v>
      </c>
      <c r="N56">
        <f>(B56-B$52)/(B$56-B$52)</f>
        <v>1</v>
      </c>
      <c r="O56" t="e">
        <f t="shared" si="9"/>
        <v>#N/A</v>
      </c>
      <c r="P56" t="e">
        <f t="shared" si="9"/>
        <v>#N/A</v>
      </c>
      <c r="Q56" t="e">
        <f t="shared" si="11"/>
        <v>#N/A</v>
      </c>
      <c r="R56" t="e">
        <f t="shared" si="11"/>
        <v>#N/A</v>
      </c>
    </row>
    <row r="57" spans="1:18" x14ac:dyDescent="0.25">
      <c r="A57" s="8">
        <f t="shared" si="6"/>
        <v>0.42239583333333286</v>
      </c>
      <c r="B57" s="4">
        <f t="shared" si="7"/>
        <v>1553300495</v>
      </c>
      <c r="D57" t="e">
        <f t="shared" si="14"/>
        <v>#N/A</v>
      </c>
      <c r="E57" t="e">
        <f t="shared" si="14"/>
        <v>#N/A</v>
      </c>
      <c r="F57">
        <f t="shared" si="13"/>
        <v>8196.942857142858</v>
      </c>
      <c r="G57" s="13" t="e">
        <f t="shared" si="2"/>
        <v>#N/A</v>
      </c>
      <c r="H57" s="13" t="e">
        <f t="shared" si="2"/>
        <v>#N/A</v>
      </c>
      <c r="I57" s="13">
        <f t="shared" si="2"/>
        <v>-2.177142857143008</v>
      </c>
      <c r="J57" s="13" t="e">
        <f t="shared" si="3"/>
        <v>#N/A</v>
      </c>
      <c r="K57" s="13" t="e">
        <f t="shared" si="4"/>
        <v>#N/A</v>
      </c>
      <c r="L57" t="e">
        <f t="shared" si="15"/>
        <v>#N/A</v>
      </c>
      <c r="M57" t="e">
        <f t="shared" si="15"/>
        <v>#N/A</v>
      </c>
    </row>
    <row r="58" spans="1:18" x14ac:dyDescent="0.25">
      <c r="A58" s="8">
        <f t="shared" si="6"/>
        <v>0.42245370370370322</v>
      </c>
      <c r="B58" s="4">
        <f t="shared" si="7"/>
        <v>1553300500</v>
      </c>
      <c r="D58" t="e">
        <f t="shared" si="14"/>
        <v>#N/A</v>
      </c>
      <c r="E58" t="e">
        <f t="shared" si="14"/>
        <v>#N/A</v>
      </c>
      <c r="F58">
        <f t="shared" si="13"/>
        <v>8186.0571428571429</v>
      </c>
      <c r="G58" s="13" t="e">
        <f t="shared" si="2"/>
        <v>#N/A</v>
      </c>
      <c r="H58" s="13" t="e">
        <f t="shared" si="2"/>
        <v>#N/A</v>
      </c>
      <c r="I58" s="13">
        <f t="shared" si="2"/>
        <v>-2.177142857142826</v>
      </c>
      <c r="J58" s="13" t="e">
        <f t="shared" si="3"/>
        <v>#N/A</v>
      </c>
      <c r="K58" s="13" t="e">
        <f t="shared" si="4"/>
        <v>#N/A</v>
      </c>
      <c r="L58" t="e">
        <f t="shared" si="15"/>
        <v>#N/A</v>
      </c>
      <c r="M58" t="e">
        <f t="shared" si="15"/>
        <v>#N/A</v>
      </c>
    </row>
    <row r="59" spans="1:18" x14ac:dyDescent="0.25">
      <c r="A59" s="8">
        <f t="shared" si="6"/>
        <v>0.42251157407407358</v>
      </c>
      <c r="B59" s="4">
        <f t="shared" si="7"/>
        <v>1553300505</v>
      </c>
      <c r="D59" t="e">
        <f t="shared" si="14"/>
        <v>#N/A</v>
      </c>
      <c r="E59" t="e">
        <f t="shared" si="14"/>
        <v>#N/A</v>
      </c>
      <c r="F59">
        <f t="shared" si="13"/>
        <v>8175.1714285714288</v>
      </c>
      <c r="G59" s="13" t="e">
        <f t="shared" si="2"/>
        <v>#N/A</v>
      </c>
      <c r="H59" s="13" t="e">
        <f t="shared" si="2"/>
        <v>#N/A</v>
      </c>
      <c r="I59" s="13">
        <f t="shared" si="2"/>
        <v>-2.177142857142826</v>
      </c>
      <c r="J59" s="13" t="e">
        <f t="shared" si="3"/>
        <v>#N/A</v>
      </c>
      <c r="K59" s="13" t="e">
        <f t="shared" si="4"/>
        <v>#N/A</v>
      </c>
      <c r="L59" t="e">
        <f t="shared" si="15"/>
        <v>#N/A</v>
      </c>
      <c r="M59" t="e">
        <f t="shared" si="15"/>
        <v>#N/A</v>
      </c>
    </row>
    <row r="60" spans="1:18" x14ac:dyDescent="0.25">
      <c r="A60" s="8">
        <f t="shared" si="6"/>
        <v>0.42256944444444394</v>
      </c>
      <c r="B60" s="4">
        <f t="shared" si="7"/>
        <v>1553300510</v>
      </c>
      <c r="D60" t="e">
        <f t="shared" si="14"/>
        <v>#N/A</v>
      </c>
      <c r="E60" t="e">
        <f t="shared" si="14"/>
        <v>#N/A</v>
      </c>
      <c r="F60">
        <f t="shared" si="13"/>
        <v>8164.2857142857147</v>
      </c>
      <c r="G60" s="13" t="e">
        <f t="shared" si="2"/>
        <v>#N/A</v>
      </c>
      <c r="H60" s="13" t="e">
        <f t="shared" si="2"/>
        <v>#N/A</v>
      </c>
      <c r="I60" s="13">
        <f t="shared" si="2"/>
        <v>-2.177142857142826</v>
      </c>
      <c r="J60" s="13" t="e">
        <f t="shared" si="3"/>
        <v>#N/A</v>
      </c>
      <c r="K60" s="13" t="e">
        <f t="shared" si="4"/>
        <v>#N/A</v>
      </c>
      <c r="L60" t="e">
        <f t="shared" si="15"/>
        <v>#N/A</v>
      </c>
      <c r="M60" t="e">
        <f t="shared" si="15"/>
        <v>#N/A</v>
      </c>
    </row>
    <row r="61" spans="1:18" x14ac:dyDescent="0.25">
      <c r="A61" s="8">
        <f t="shared" si="6"/>
        <v>0.4226273148148143</v>
      </c>
      <c r="B61" s="4">
        <f t="shared" si="7"/>
        <v>1553300515</v>
      </c>
      <c r="D61" t="e">
        <f t="shared" si="14"/>
        <v>#N/A</v>
      </c>
      <c r="E61" t="e">
        <f t="shared" si="14"/>
        <v>#N/A</v>
      </c>
      <c r="F61">
        <f t="shared" si="13"/>
        <v>8153.4000000000005</v>
      </c>
      <c r="G61" s="13" t="e">
        <f t="shared" si="2"/>
        <v>#N/A</v>
      </c>
      <c r="H61" s="13" t="e">
        <f t="shared" si="2"/>
        <v>#N/A</v>
      </c>
      <c r="I61" s="13">
        <f t="shared" si="2"/>
        <v>-2.177142857142826</v>
      </c>
      <c r="J61" s="13" t="e">
        <f t="shared" si="3"/>
        <v>#N/A</v>
      </c>
      <c r="K61" s="13" t="e">
        <f t="shared" si="4"/>
        <v>#N/A</v>
      </c>
      <c r="L61" t="e">
        <f t="shared" si="15"/>
        <v>#N/A</v>
      </c>
      <c r="M61" t="e">
        <f t="shared" si="15"/>
        <v>#N/A</v>
      </c>
    </row>
    <row r="62" spans="1:18" x14ac:dyDescent="0.25">
      <c r="A62" s="8">
        <f t="shared" si="6"/>
        <v>0.42268518518518466</v>
      </c>
      <c r="B62" s="4">
        <f t="shared" si="7"/>
        <v>1553300520</v>
      </c>
      <c r="D62" t="e">
        <f t="shared" si="14"/>
        <v>#N/A</v>
      </c>
      <c r="E62" t="e">
        <f t="shared" si="14"/>
        <v>#N/A</v>
      </c>
      <c r="F62">
        <f t="shared" si="13"/>
        <v>8142.5142857142864</v>
      </c>
      <c r="G62" s="13" t="e">
        <f t="shared" si="2"/>
        <v>#N/A</v>
      </c>
      <c r="H62" s="13" t="e">
        <f t="shared" si="2"/>
        <v>#N/A</v>
      </c>
      <c r="I62" s="13">
        <f t="shared" si="2"/>
        <v>-2.177142857143008</v>
      </c>
      <c r="J62" s="13" t="e">
        <f t="shared" si="3"/>
        <v>#N/A</v>
      </c>
      <c r="K62" s="13" t="e">
        <f t="shared" si="4"/>
        <v>#N/A</v>
      </c>
      <c r="L62" t="e">
        <f t="shared" si="15"/>
        <v>#N/A</v>
      </c>
      <c r="M62" t="e">
        <f t="shared" si="15"/>
        <v>#N/A</v>
      </c>
    </row>
    <row r="63" spans="1:18" x14ac:dyDescent="0.25">
      <c r="A63" s="8">
        <f t="shared" si="6"/>
        <v>0.42274305555555503</v>
      </c>
      <c r="B63" s="4">
        <f t="shared" si="7"/>
        <v>1553300525</v>
      </c>
      <c r="D63" t="e">
        <f t="shared" si="14"/>
        <v>#N/A</v>
      </c>
      <c r="E63" t="e">
        <f t="shared" si="14"/>
        <v>#N/A</v>
      </c>
      <c r="F63">
        <f t="shared" si="13"/>
        <v>8131.6285714285714</v>
      </c>
      <c r="G63" s="13" t="e">
        <f t="shared" si="2"/>
        <v>#N/A</v>
      </c>
      <c r="H63" s="13" t="e">
        <f t="shared" si="2"/>
        <v>#N/A</v>
      </c>
      <c r="I63" s="13">
        <f t="shared" si="2"/>
        <v>-2.177142857142826</v>
      </c>
      <c r="J63" s="13" t="e">
        <f t="shared" si="3"/>
        <v>#N/A</v>
      </c>
      <c r="K63" s="13" t="e">
        <f t="shared" si="4"/>
        <v>#N/A</v>
      </c>
      <c r="L63" t="e">
        <f t="shared" si="15"/>
        <v>#N/A</v>
      </c>
      <c r="M63" t="e">
        <f t="shared" si="15"/>
        <v>#N/A</v>
      </c>
    </row>
    <row r="64" spans="1:18" x14ac:dyDescent="0.25">
      <c r="A64" s="8">
        <f t="shared" si="6"/>
        <v>0.42280092592592539</v>
      </c>
      <c r="B64" s="4">
        <f t="shared" si="7"/>
        <v>1553300530</v>
      </c>
      <c r="D64" t="e">
        <f t="shared" si="14"/>
        <v>#N/A</v>
      </c>
      <c r="E64" t="e">
        <f t="shared" si="14"/>
        <v>#N/A</v>
      </c>
      <c r="F64">
        <f t="shared" si="13"/>
        <v>8120.7428571428572</v>
      </c>
      <c r="G64" s="13" t="e">
        <f t="shared" si="2"/>
        <v>#N/A</v>
      </c>
      <c r="H64" s="13" t="e">
        <f t="shared" si="2"/>
        <v>#N/A</v>
      </c>
      <c r="I64" s="13">
        <f t="shared" si="2"/>
        <v>-2.177142857142826</v>
      </c>
      <c r="J64" s="13" t="e">
        <f t="shared" si="3"/>
        <v>#N/A</v>
      </c>
      <c r="K64" s="13" t="e">
        <f t="shared" si="4"/>
        <v>#N/A</v>
      </c>
      <c r="L64" t="e">
        <f t="shared" si="15"/>
        <v>#N/A</v>
      </c>
      <c r="M64" t="e">
        <f t="shared" si="15"/>
        <v>#N/A</v>
      </c>
    </row>
    <row r="65" spans="1:13" x14ac:dyDescent="0.25">
      <c r="A65" s="8">
        <f t="shared" si="6"/>
        <v>0.42285879629629575</v>
      </c>
      <c r="B65" s="4">
        <f t="shared" si="7"/>
        <v>1553300535</v>
      </c>
      <c r="D65" t="e">
        <f t="shared" si="14"/>
        <v>#N/A</v>
      </c>
      <c r="E65" t="e">
        <f t="shared" si="14"/>
        <v>#N/A</v>
      </c>
      <c r="F65">
        <f t="shared" si="13"/>
        <v>8109.8571428571431</v>
      </c>
      <c r="G65" s="13" t="e">
        <f t="shared" si="2"/>
        <v>#N/A</v>
      </c>
      <c r="H65" s="13" t="e">
        <f t="shared" si="2"/>
        <v>#N/A</v>
      </c>
      <c r="I65" s="13">
        <f t="shared" si="2"/>
        <v>-2.177142857142826</v>
      </c>
      <c r="J65" s="13" t="e">
        <f t="shared" si="3"/>
        <v>#N/A</v>
      </c>
      <c r="K65" s="13" t="e">
        <f t="shared" si="4"/>
        <v>#N/A</v>
      </c>
      <c r="L65" t="e">
        <f t="shared" si="15"/>
        <v>#N/A</v>
      </c>
      <c r="M65" t="e">
        <f t="shared" si="15"/>
        <v>#N/A</v>
      </c>
    </row>
    <row r="66" spans="1:13" x14ac:dyDescent="0.25">
      <c r="A66" s="8">
        <f t="shared" si="6"/>
        <v>0.42291666666666611</v>
      </c>
      <c r="B66" s="4">
        <f t="shared" si="7"/>
        <v>1553300540</v>
      </c>
      <c r="D66" t="e">
        <f t="shared" si="14"/>
        <v>#N/A</v>
      </c>
      <c r="E66" t="e">
        <f t="shared" si="14"/>
        <v>#N/A</v>
      </c>
      <c r="F66">
        <f t="shared" si="13"/>
        <v>8098.971428571429</v>
      </c>
      <c r="G66" s="13" t="e">
        <f t="shared" si="2"/>
        <v>#N/A</v>
      </c>
      <c r="H66" s="13" t="e">
        <f t="shared" si="2"/>
        <v>#N/A</v>
      </c>
      <c r="I66" s="13">
        <f t="shared" si="2"/>
        <v>-2.177142857142826</v>
      </c>
      <c r="J66" s="13" t="e">
        <f t="shared" si="3"/>
        <v>#N/A</v>
      </c>
      <c r="K66" s="13" t="e">
        <f t="shared" si="4"/>
        <v>#N/A</v>
      </c>
      <c r="L66" t="e">
        <f t="shared" si="15"/>
        <v>#N/A</v>
      </c>
      <c r="M66" t="e">
        <f t="shared" si="15"/>
        <v>#N/A</v>
      </c>
    </row>
    <row r="67" spans="1:13" x14ac:dyDescent="0.25">
      <c r="A67" s="8">
        <f t="shared" si="6"/>
        <v>0.42297453703703647</v>
      </c>
      <c r="B67" s="4">
        <f t="shared" si="7"/>
        <v>1553300545</v>
      </c>
      <c r="D67" t="e">
        <f t="shared" si="14"/>
        <v>#N/A</v>
      </c>
      <c r="E67" t="e">
        <f t="shared" si="14"/>
        <v>#N/A</v>
      </c>
      <c r="F67">
        <f t="shared" si="13"/>
        <v>8088.0857142857149</v>
      </c>
      <c r="G67" s="13" t="e">
        <f t="shared" si="2"/>
        <v>#N/A</v>
      </c>
      <c r="H67" s="13" t="e">
        <f t="shared" si="2"/>
        <v>#N/A</v>
      </c>
      <c r="I67" s="13">
        <f t="shared" si="2"/>
        <v>-2.177142857142826</v>
      </c>
      <c r="J67" s="13" t="e">
        <f t="shared" si="3"/>
        <v>#N/A</v>
      </c>
      <c r="K67" s="13" t="e">
        <f t="shared" si="4"/>
        <v>#N/A</v>
      </c>
      <c r="L67" t="e">
        <f t="shared" si="15"/>
        <v>#N/A</v>
      </c>
      <c r="M67" t="e">
        <f t="shared" si="15"/>
        <v>#N/A</v>
      </c>
    </row>
    <row r="68" spans="1:13" x14ac:dyDescent="0.25">
      <c r="A68" s="8">
        <f t="shared" si="6"/>
        <v>0.42303240740740683</v>
      </c>
      <c r="B68" s="4">
        <f t="shared" si="7"/>
        <v>1553300550</v>
      </c>
      <c r="D68" t="e">
        <f t="shared" si="14"/>
        <v>#N/A</v>
      </c>
      <c r="E68" t="e">
        <f t="shared" si="14"/>
        <v>#N/A</v>
      </c>
      <c r="F68">
        <f t="shared" si="13"/>
        <v>8077.2000000000007</v>
      </c>
      <c r="G68" s="13" t="e">
        <f t="shared" si="2"/>
        <v>#N/A</v>
      </c>
      <c r="H68" s="13" t="e">
        <f t="shared" si="2"/>
        <v>#N/A</v>
      </c>
      <c r="I68" s="13">
        <f t="shared" si="2"/>
        <v>-2.177142857143008</v>
      </c>
      <c r="J68" s="13" t="e">
        <f t="shared" si="3"/>
        <v>#N/A</v>
      </c>
      <c r="K68" s="13" t="e">
        <f t="shared" si="4"/>
        <v>#N/A</v>
      </c>
      <c r="L68" t="e">
        <f t="shared" si="15"/>
        <v>#N/A</v>
      </c>
      <c r="M68" t="e">
        <f t="shared" si="15"/>
        <v>#N/A</v>
      </c>
    </row>
    <row r="69" spans="1:13" x14ac:dyDescent="0.25">
      <c r="A69" s="8">
        <f t="shared" si="6"/>
        <v>0.42309027777777719</v>
      </c>
      <c r="B69" s="4">
        <f t="shared" si="7"/>
        <v>1553300555</v>
      </c>
      <c r="D69" t="e">
        <f t="shared" si="14"/>
        <v>#N/A</v>
      </c>
      <c r="E69" t="e">
        <f t="shared" si="14"/>
        <v>#N/A</v>
      </c>
      <c r="F69">
        <f t="shared" si="13"/>
        <v>8066.3142857142857</v>
      </c>
      <c r="G69" s="13" t="e">
        <f t="shared" si="2"/>
        <v>#N/A</v>
      </c>
      <c r="H69" s="13" t="e">
        <f t="shared" si="2"/>
        <v>#N/A</v>
      </c>
      <c r="I69" s="13">
        <f t="shared" si="2"/>
        <v>-2.177142857142826</v>
      </c>
      <c r="J69" s="13" t="e">
        <f t="shared" si="3"/>
        <v>#N/A</v>
      </c>
      <c r="K69" s="13" t="e">
        <f t="shared" si="4"/>
        <v>#N/A</v>
      </c>
      <c r="L69" t="e">
        <f t="shared" si="15"/>
        <v>#N/A</v>
      </c>
      <c r="M69" t="e">
        <f t="shared" si="15"/>
        <v>#N/A</v>
      </c>
    </row>
    <row r="70" spans="1:13" x14ac:dyDescent="0.25">
      <c r="A70" s="8">
        <f>A69+5/24/3600</f>
        <v>0.42314814814814755</v>
      </c>
      <c r="B70" s="4">
        <f t="shared" si="7"/>
        <v>1553300560</v>
      </c>
      <c r="D70" t="e">
        <f t="shared" si="14"/>
        <v>#N/A</v>
      </c>
      <c r="E70" t="e">
        <f t="shared" si="14"/>
        <v>#N/A</v>
      </c>
      <c r="F70">
        <f t="shared" si="13"/>
        <v>8055.4285714285716</v>
      </c>
      <c r="G70" s="13" t="e">
        <f t="shared" si="2"/>
        <v>#N/A</v>
      </c>
      <c r="H70" s="13" t="e">
        <f t="shared" si="2"/>
        <v>#N/A</v>
      </c>
      <c r="I70" s="13">
        <f t="shared" si="2"/>
        <v>-2.177142857142826</v>
      </c>
      <c r="J70" s="13" t="e">
        <f t="shared" si="3"/>
        <v>#N/A</v>
      </c>
      <c r="K70" s="13" t="e">
        <f t="shared" si="4"/>
        <v>#N/A</v>
      </c>
      <c r="L70" t="e">
        <f t="shared" si="15"/>
        <v>#N/A</v>
      </c>
      <c r="M70" t="e">
        <f t="shared" si="15"/>
        <v>#N/A</v>
      </c>
    </row>
    <row r="71" spans="1:13" x14ac:dyDescent="0.25">
      <c r="A71" s="8">
        <f t="shared" si="6"/>
        <v>0.42320601851851791</v>
      </c>
      <c r="B71" s="4">
        <f t="shared" si="7"/>
        <v>1553300565</v>
      </c>
      <c r="D71" t="e">
        <f t="shared" si="14"/>
        <v>#N/A</v>
      </c>
      <c r="E71" t="e">
        <f t="shared" si="14"/>
        <v>#N/A</v>
      </c>
      <c r="F71">
        <f t="shared" si="13"/>
        <v>8044.5428571428574</v>
      </c>
      <c r="G71" s="13" t="e">
        <f t="shared" ref="G71:I134" si="16">(D72-D71)/($B72-$B71)</f>
        <v>#N/A</v>
      </c>
      <c r="H71" s="13" t="e">
        <f t="shared" si="16"/>
        <v>#N/A</v>
      </c>
      <c r="I71" s="13">
        <f t="shared" si="16"/>
        <v>-2.177142857142826</v>
      </c>
      <c r="J71" s="13" t="e">
        <f t="shared" ref="J71:J134" si="17">SQRT(G71*G71+H71*H71)</f>
        <v>#N/A</v>
      </c>
      <c r="K71" s="13" t="e">
        <f t="shared" ref="K71:K134" si="18">DEGREES(ATAN2(H71,G71))</f>
        <v>#N/A</v>
      </c>
      <c r="L71" t="e">
        <f t="shared" si="15"/>
        <v>#N/A</v>
      </c>
      <c r="M71" t="e">
        <f t="shared" si="15"/>
        <v>#N/A</v>
      </c>
    </row>
    <row r="72" spans="1:13" x14ac:dyDescent="0.25">
      <c r="A72" s="8">
        <f t="shared" si="6"/>
        <v>0.42326388888888827</v>
      </c>
      <c r="B72" s="4">
        <f t="shared" si="7"/>
        <v>1553300570</v>
      </c>
      <c r="D72" t="e">
        <f t="shared" si="14"/>
        <v>#N/A</v>
      </c>
      <c r="E72" t="e">
        <f t="shared" si="14"/>
        <v>#N/A</v>
      </c>
      <c r="F72">
        <f t="shared" si="13"/>
        <v>8033.6571428571433</v>
      </c>
      <c r="G72" s="13" t="e">
        <f t="shared" si="16"/>
        <v>#N/A</v>
      </c>
      <c r="H72" s="13" t="e">
        <f t="shared" si="16"/>
        <v>#N/A</v>
      </c>
      <c r="I72" s="13">
        <f t="shared" si="16"/>
        <v>-2.177142857142826</v>
      </c>
      <c r="J72" s="13" t="e">
        <f t="shared" si="17"/>
        <v>#N/A</v>
      </c>
      <c r="K72" s="13" t="e">
        <f t="shared" si="18"/>
        <v>#N/A</v>
      </c>
      <c r="L72" t="e">
        <f t="shared" si="15"/>
        <v>#N/A</v>
      </c>
      <c r="M72" t="e">
        <f t="shared" si="15"/>
        <v>#N/A</v>
      </c>
    </row>
    <row r="73" spans="1:13" x14ac:dyDescent="0.25">
      <c r="A73" s="8">
        <f t="shared" ref="A73:A102" si="19">A72+5/24/3600</f>
        <v>0.42332175925925863</v>
      </c>
      <c r="B73" s="4">
        <f t="shared" ref="B73:B136" si="20">B72+SECOND(A73-A72)</f>
        <v>1553300575</v>
      </c>
      <c r="D73" t="e">
        <f t="shared" si="14"/>
        <v>#N/A</v>
      </c>
      <c r="E73" t="e">
        <f t="shared" si="14"/>
        <v>#N/A</v>
      </c>
      <c r="F73">
        <f t="shared" si="13"/>
        <v>8022.7714285714292</v>
      </c>
      <c r="G73" s="13" t="e">
        <f t="shared" si="16"/>
        <v>#N/A</v>
      </c>
      <c r="H73" s="13" t="e">
        <f t="shared" si="16"/>
        <v>#N/A</v>
      </c>
      <c r="I73" s="13">
        <f t="shared" si="16"/>
        <v>-2.177142857143008</v>
      </c>
      <c r="J73" s="13" t="e">
        <f t="shared" si="17"/>
        <v>#N/A</v>
      </c>
      <c r="K73" s="13" t="e">
        <f t="shared" si="18"/>
        <v>#N/A</v>
      </c>
      <c r="L73" t="e">
        <f t="shared" si="15"/>
        <v>#N/A</v>
      </c>
      <c r="M73" t="e">
        <f t="shared" si="15"/>
        <v>#N/A</v>
      </c>
    </row>
    <row r="74" spans="1:13" x14ac:dyDescent="0.25">
      <c r="A74" s="8">
        <f t="shared" si="19"/>
        <v>0.423379629629629</v>
      </c>
      <c r="B74" s="4">
        <f t="shared" si="20"/>
        <v>1553300580</v>
      </c>
      <c r="D74" t="e">
        <f t="shared" si="14"/>
        <v>#N/A</v>
      </c>
      <c r="E74" t="e">
        <f t="shared" si="14"/>
        <v>#N/A</v>
      </c>
      <c r="F74">
        <f t="shared" si="13"/>
        <v>8011.8857142857141</v>
      </c>
      <c r="G74" s="13" t="e">
        <f t="shared" si="16"/>
        <v>#N/A</v>
      </c>
      <c r="H74" s="13" t="e">
        <f t="shared" si="16"/>
        <v>#N/A</v>
      </c>
      <c r="I74" s="13">
        <f t="shared" si="16"/>
        <v>-2.177142857142826</v>
      </c>
      <c r="J74" s="13" t="e">
        <f t="shared" si="17"/>
        <v>#N/A</v>
      </c>
      <c r="K74" s="13" t="e">
        <f t="shared" si="18"/>
        <v>#N/A</v>
      </c>
      <c r="L74" t="e">
        <f t="shared" si="15"/>
        <v>#N/A</v>
      </c>
      <c r="M74" t="e">
        <f t="shared" si="15"/>
        <v>#N/A</v>
      </c>
    </row>
    <row r="75" spans="1:13" x14ac:dyDescent="0.25">
      <c r="A75" s="8">
        <f t="shared" si="19"/>
        <v>0.42343749999999936</v>
      </c>
      <c r="B75" s="4">
        <f t="shared" si="20"/>
        <v>1553300585</v>
      </c>
      <c r="D75" t="e">
        <f t="shared" si="14"/>
        <v>#N/A</v>
      </c>
      <c r="E75" t="e">
        <f t="shared" si="14"/>
        <v>#N/A</v>
      </c>
      <c r="F75">
        <f t="shared" si="13"/>
        <v>8001</v>
      </c>
      <c r="G75" s="13" t="e">
        <f t="shared" si="16"/>
        <v>#N/A</v>
      </c>
      <c r="H75" s="13" t="e">
        <f t="shared" si="16"/>
        <v>#N/A</v>
      </c>
      <c r="I75" s="13">
        <f t="shared" si="16"/>
        <v>-2.177142857142826</v>
      </c>
      <c r="J75" s="13" t="e">
        <f t="shared" si="17"/>
        <v>#N/A</v>
      </c>
      <c r="K75" s="13" t="e">
        <f t="shared" si="18"/>
        <v>#N/A</v>
      </c>
      <c r="L75" t="e">
        <f t="shared" si="15"/>
        <v>#N/A</v>
      </c>
      <c r="M75" t="e">
        <f t="shared" si="15"/>
        <v>#N/A</v>
      </c>
    </row>
    <row r="76" spans="1:13" x14ac:dyDescent="0.25">
      <c r="A76" s="8">
        <f t="shared" si="19"/>
        <v>0.42349537037036972</v>
      </c>
      <c r="B76" s="4">
        <f t="shared" si="20"/>
        <v>1553300590</v>
      </c>
      <c r="D76" t="e">
        <f t="shared" si="14"/>
        <v>#N/A</v>
      </c>
      <c r="E76" t="e">
        <f t="shared" si="14"/>
        <v>#N/A</v>
      </c>
      <c r="F76">
        <f t="shared" si="13"/>
        <v>7990.1142857142859</v>
      </c>
      <c r="G76" s="13" t="e">
        <f t="shared" si="16"/>
        <v>#N/A</v>
      </c>
      <c r="H76" s="13" t="e">
        <f t="shared" si="16"/>
        <v>#N/A</v>
      </c>
      <c r="I76" s="13">
        <f t="shared" si="16"/>
        <v>-2.177142857142826</v>
      </c>
      <c r="J76" s="13" t="e">
        <f t="shared" si="17"/>
        <v>#N/A</v>
      </c>
      <c r="K76" s="13" t="e">
        <f t="shared" si="18"/>
        <v>#N/A</v>
      </c>
      <c r="L76" t="e">
        <f t="shared" si="15"/>
        <v>#N/A</v>
      </c>
      <c r="M76" t="e">
        <f t="shared" si="15"/>
        <v>#N/A</v>
      </c>
    </row>
    <row r="77" spans="1:13" x14ac:dyDescent="0.25">
      <c r="A77" s="8">
        <f t="shared" si="19"/>
        <v>0.42355324074074008</v>
      </c>
      <c r="B77" s="4">
        <f t="shared" si="20"/>
        <v>1553300595</v>
      </c>
      <c r="D77" t="e">
        <f t="shared" si="14"/>
        <v>#N/A</v>
      </c>
      <c r="E77" t="e">
        <f t="shared" si="14"/>
        <v>#N/A</v>
      </c>
      <c r="F77">
        <f t="shared" si="13"/>
        <v>7979.2285714285717</v>
      </c>
      <c r="G77" s="13" t="e">
        <f t="shared" si="16"/>
        <v>#N/A</v>
      </c>
      <c r="H77" s="13" t="e">
        <f t="shared" si="16"/>
        <v>#N/A</v>
      </c>
      <c r="I77" s="13">
        <f t="shared" si="16"/>
        <v>-2.177142857142826</v>
      </c>
      <c r="J77" s="13" t="e">
        <f t="shared" si="17"/>
        <v>#N/A</v>
      </c>
      <c r="K77" s="13" t="e">
        <f t="shared" si="18"/>
        <v>#N/A</v>
      </c>
      <c r="L77" t="e">
        <f t="shared" si="15"/>
        <v>#N/A</v>
      </c>
      <c r="M77" t="e">
        <f t="shared" si="15"/>
        <v>#N/A</v>
      </c>
    </row>
    <row r="78" spans="1:13" x14ac:dyDescent="0.25">
      <c r="A78" s="8">
        <f t="shared" si="19"/>
        <v>0.42361111111111044</v>
      </c>
      <c r="B78" s="4">
        <f t="shared" si="20"/>
        <v>1553300600</v>
      </c>
      <c r="D78" t="e">
        <f t="shared" si="14"/>
        <v>#N/A</v>
      </c>
      <c r="E78" t="e">
        <f t="shared" si="14"/>
        <v>#N/A</v>
      </c>
      <c r="F78">
        <f t="shared" si="13"/>
        <v>7968.3428571428576</v>
      </c>
      <c r="G78" s="13" t="e">
        <f t="shared" si="16"/>
        <v>#N/A</v>
      </c>
      <c r="H78" s="13" t="e">
        <f t="shared" si="16"/>
        <v>#N/A</v>
      </c>
      <c r="I78" s="13">
        <f t="shared" si="16"/>
        <v>-2.177142857142826</v>
      </c>
      <c r="J78" s="13" t="e">
        <f t="shared" si="17"/>
        <v>#N/A</v>
      </c>
      <c r="K78" s="13" t="e">
        <f t="shared" si="18"/>
        <v>#N/A</v>
      </c>
      <c r="L78" t="e">
        <f t="shared" si="15"/>
        <v>#N/A</v>
      </c>
      <c r="M78" t="e">
        <f t="shared" si="15"/>
        <v>#N/A</v>
      </c>
    </row>
    <row r="79" spans="1:13" x14ac:dyDescent="0.25">
      <c r="A79" s="8">
        <f t="shared" si="19"/>
        <v>0.4236689814814808</v>
      </c>
      <c r="B79" s="4">
        <f t="shared" si="20"/>
        <v>1553300605</v>
      </c>
      <c r="D79" t="e">
        <f t="shared" si="14"/>
        <v>#N/A</v>
      </c>
      <c r="E79" t="e">
        <f t="shared" si="14"/>
        <v>#N/A</v>
      </c>
      <c r="F79">
        <f t="shared" si="13"/>
        <v>7957.4571428571435</v>
      </c>
      <c r="G79" s="13" t="e">
        <f t="shared" si="16"/>
        <v>#N/A</v>
      </c>
      <c r="H79" s="13" t="e">
        <f t="shared" si="16"/>
        <v>#N/A</v>
      </c>
      <c r="I79" s="13">
        <f t="shared" si="16"/>
        <v>-2.177142857143008</v>
      </c>
      <c r="J79" s="13" t="e">
        <f t="shared" si="17"/>
        <v>#N/A</v>
      </c>
      <c r="K79" s="13" t="e">
        <f t="shared" si="18"/>
        <v>#N/A</v>
      </c>
      <c r="L79" t="e">
        <f t="shared" si="15"/>
        <v>#N/A</v>
      </c>
      <c r="M79" t="e">
        <f t="shared" si="15"/>
        <v>#N/A</v>
      </c>
    </row>
    <row r="80" spans="1:13" x14ac:dyDescent="0.25">
      <c r="A80" s="8">
        <f t="shared" si="19"/>
        <v>0.42372685185185116</v>
      </c>
      <c r="B80" s="4">
        <f t="shared" si="20"/>
        <v>1553300610</v>
      </c>
      <c r="D80" t="e">
        <f t="shared" si="14"/>
        <v>#N/A</v>
      </c>
      <c r="E80" t="e">
        <f t="shared" si="14"/>
        <v>#N/A</v>
      </c>
      <c r="F80">
        <f t="shared" si="13"/>
        <v>7946.5714285714284</v>
      </c>
      <c r="G80" s="13" t="e">
        <f t="shared" si="16"/>
        <v>#N/A</v>
      </c>
      <c r="H80" s="13" t="e">
        <f t="shared" si="16"/>
        <v>#N/A</v>
      </c>
      <c r="I80" s="13">
        <f t="shared" si="16"/>
        <v>-2.177142857142826</v>
      </c>
      <c r="J80" s="13" t="e">
        <f t="shared" si="17"/>
        <v>#N/A</v>
      </c>
      <c r="K80" s="13" t="e">
        <f t="shared" si="18"/>
        <v>#N/A</v>
      </c>
      <c r="L80" t="e">
        <f t="shared" si="15"/>
        <v>#N/A</v>
      </c>
      <c r="M80" t="e">
        <f t="shared" si="15"/>
        <v>#N/A</v>
      </c>
    </row>
    <row r="81" spans="1:13" x14ac:dyDescent="0.25">
      <c r="A81" s="8">
        <f t="shared" si="19"/>
        <v>0.42378472222222152</v>
      </c>
      <c r="B81" s="4">
        <f t="shared" si="20"/>
        <v>1553300615</v>
      </c>
      <c r="D81" t="e">
        <f t="shared" si="14"/>
        <v>#N/A</v>
      </c>
      <c r="E81" t="e">
        <f t="shared" si="14"/>
        <v>#N/A</v>
      </c>
      <c r="F81">
        <f t="shared" si="13"/>
        <v>7935.6857142857143</v>
      </c>
      <c r="G81" s="13" t="e">
        <f t="shared" si="16"/>
        <v>#N/A</v>
      </c>
      <c r="H81" s="13" t="e">
        <f t="shared" si="16"/>
        <v>#N/A</v>
      </c>
      <c r="I81" s="13">
        <f t="shared" si="16"/>
        <v>-2.177142857142826</v>
      </c>
      <c r="J81" s="13" t="e">
        <f t="shared" si="17"/>
        <v>#N/A</v>
      </c>
      <c r="K81" s="13" t="e">
        <f t="shared" si="18"/>
        <v>#N/A</v>
      </c>
      <c r="L81" t="e">
        <f t="shared" si="15"/>
        <v>#N/A</v>
      </c>
      <c r="M81" t="e">
        <f t="shared" si="15"/>
        <v>#N/A</v>
      </c>
    </row>
    <row r="82" spans="1:13" x14ac:dyDescent="0.25">
      <c r="A82" s="8">
        <f t="shared" si="19"/>
        <v>0.42384259259259188</v>
      </c>
      <c r="B82" s="4">
        <f t="shared" si="20"/>
        <v>1553300620</v>
      </c>
      <c r="D82" t="e">
        <f t="shared" si="14"/>
        <v>#N/A</v>
      </c>
      <c r="E82" t="e">
        <f t="shared" si="14"/>
        <v>#N/A</v>
      </c>
      <c r="F82">
        <f t="shared" si="13"/>
        <v>7924.8</v>
      </c>
      <c r="G82" s="13" t="e">
        <f t="shared" si="16"/>
        <v>#N/A</v>
      </c>
      <c r="H82" s="13" t="e">
        <f t="shared" si="16"/>
        <v>#N/A</v>
      </c>
      <c r="I82" s="13">
        <f t="shared" si="16"/>
        <v>-2.177142857142826</v>
      </c>
      <c r="J82" s="13" t="e">
        <f t="shared" si="17"/>
        <v>#N/A</v>
      </c>
      <c r="K82" s="13" t="e">
        <f t="shared" si="18"/>
        <v>#N/A</v>
      </c>
      <c r="L82" t="e">
        <f t="shared" si="15"/>
        <v>#N/A</v>
      </c>
      <c r="M82" t="e">
        <f t="shared" si="15"/>
        <v>#N/A</v>
      </c>
    </row>
    <row r="83" spans="1:13" x14ac:dyDescent="0.25">
      <c r="A83" s="8">
        <f t="shared" si="19"/>
        <v>0.42390046296296224</v>
      </c>
      <c r="B83" s="4">
        <f t="shared" si="20"/>
        <v>1553300625</v>
      </c>
      <c r="D83" t="e">
        <f t="shared" si="14"/>
        <v>#N/A</v>
      </c>
      <c r="E83" t="e">
        <f t="shared" si="14"/>
        <v>#N/A</v>
      </c>
      <c r="F83">
        <f t="shared" si="13"/>
        <v>7913.9142857142861</v>
      </c>
      <c r="G83" s="13" t="e">
        <f t="shared" si="16"/>
        <v>#N/A</v>
      </c>
      <c r="H83" s="13" t="e">
        <f t="shared" si="16"/>
        <v>#N/A</v>
      </c>
      <c r="I83" s="13">
        <f t="shared" si="16"/>
        <v>-2.177142857142826</v>
      </c>
      <c r="J83" s="13" t="e">
        <f t="shared" si="17"/>
        <v>#N/A</v>
      </c>
      <c r="K83" s="13" t="e">
        <f t="shared" si="18"/>
        <v>#N/A</v>
      </c>
      <c r="L83" t="e">
        <f t="shared" si="15"/>
        <v>#N/A</v>
      </c>
      <c r="M83" t="e">
        <f t="shared" si="15"/>
        <v>#N/A</v>
      </c>
    </row>
    <row r="84" spans="1:13" x14ac:dyDescent="0.25">
      <c r="A84" s="8">
        <f t="shared" si="19"/>
        <v>0.4239583333333326</v>
      </c>
      <c r="B84" s="4">
        <f t="shared" si="20"/>
        <v>1553300630</v>
      </c>
      <c r="D84" t="e">
        <f>D$3+G$3*($B84-$B$54)</f>
        <v>#N/A</v>
      </c>
      <c r="E84" t="e">
        <f>E$3+H$3*($B84-$B$54)</f>
        <v>#N/A</v>
      </c>
      <c r="F84">
        <f t="shared" si="13"/>
        <v>7903.0285714285719</v>
      </c>
      <c r="G84" s="13" t="e">
        <f t="shared" si="16"/>
        <v>#N/A</v>
      </c>
      <c r="H84" s="13" t="e">
        <f t="shared" si="16"/>
        <v>#N/A</v>
      </c>
      <c r="I84" s="13">
        <f t="shared" si="16"/>
        <v>-2.177142857143008</v>
      </c>
      <c r="J84" s="13" t="e">
        <f t="shared" si="17"/>
        <v>#N/A</v>
      </c>
      <c r="K84" s="13" t="e">
        <f t="shared" si="18"/>
        <v>#N/A</v>
      </c>
      <c r="L84" t="e">
        <f t="shared" si="15"/>
        <v>#N/A</v>
      </c>
      <c r="M84" t="e">
        <f t="shared" si="15"/>
        <v>#N/A</v>
      </c>
    </row>
    <row r="85" spans="1:13" x14ac:dyDescent="0.25">
      <c r="A85" s="8">
        <f t="shared" si="19"/>
        <v>0.42401620370370297</v>
      </c>
      <c r="B85" s="4">
        <f t="shared" si="20"/>
        <v>1553300635</v>
      </c>
      <c r="D85" t="e">
        <f t="shared" ref="D85:E110" si="21">D$3+G$3*($B85-$B$54)</f>
        <v>#N/A</v>
      </c>
      <c r="E85" t="e">
        <f t="shared" si="21"/>
        <v>#N/A</v>
      </c>
      <c r="F85">
        <f t="shared" si="13"/>
        <v>7892.1428571428569</v>
      </c>
      <c r="G85" s="13" t="e">
        <f t="shared" si="16"/>
        <v>#N/A</v>
      </c>
      <c r="H85" s="13" t="e">
        <f t="shared" si="16"/>
        <v>#N/A</v>
      </c>
      <c r="I85" s="13">
        <f t="shared" si="16"/>
        <v>-2.177142857142826</v>
      </c>
      <c r="J85" s="13" t="e">
        <f t="shared" si="17"/>
        <v>#N/A</v>
      </c>
      <c r="K85" s="13" t="e">
        <f t="shared" si="18"/>
        <v>#N/A</v>
      </c>
      <c r="L85" t="e">
        <f t="shared" si="15"/>
        <v>#N/A</v>
      </c>
      <c r="M85" t="e">
        <f t="shared" si="15"/>
        <v>#N/A</v>
      </c>
    </row>
    <row r="86" spans="1:13" x14ac:dyDescent="0.25">
      <c r="A86" s="8">
        <f t="shared" si="19"/>
        <v>0.42407407407407333</v>
      </c>
      <c r="B86" s="4">
        <f t="shared" si="20"/>
        <v>1553300640</v>
      </c>
      <c r="D86" t="e">
        <f t="shared" si="21"/>
        <v>#N/A</v>
      </c>
      <c r="E86" t="e">
        <f t="shared" si="21"/>
        <v>#N/A</v>
      </c>
      <c r="F86">
        <f t="shared" si="13"/>
        <v>7881.2571428571428</v>
      </c>
      <c r="G86" s="13" t="e">
        <f t="shared" si="16"/>
        <v>#N/A</v>
      </c>
      <c r="H86" s="13" t="e">
        <f t="shared" si="16"/>
        <v>#N/A</v>
      </c>
      <c r="I86" s="13">
        <f t="shared" si="16"/>
        <v>-2.177142857142826</v>
      </c>
      <c r="J86" s="13" t="e">
        <f t="shared" si="17"/>
        <v>#N/A</v>
      </c>
      <c r="K86" s="13" t="e">
        <f t="shared" si="18"/>
        <v>#N/A</v>
      </c>
      <c r="L86" t="e">
        <f t="shared" si="15"/>
        <v>#N/A</v>
      </c>
      <c r="M86" t="e">
        <f t="shared" si="15"/>
        <v>#N/A</v>
      </c>
    </row>
    <row r="87" spans="1:13" x14ac:dyDescent="0.25">
      <c r="A87" s="8">
        <f t="shared" si="19"/>
        <v>0.42413194444444369</v>
      </c>
      <c r="B87" s="4">
        <f t="shared" si="20"/>
        <v>1553300645</v>
      </c>
      <c r="D87" t="e">
        <f t="shared" si="21"/>
        <v>#N/A</v>
      </c>
      <c r="E87" t="e">
        <f t="shared" si="21"/>
        <v>#N/A</v>
      </c>
      <c r="F87">
        <f t="shared" si="13"/>
        <v>7870.3714285714286</v>
      </c>
      <c r="G87" s="13" t="e">
        <f t="shared" si="16"/>
        <v>#N/A</v>
      </c>
      <c r="H87" s="13" t="e">
        <f t="shared" si="16"/>
        <v>#N/A</v>
      </c>
      <c r="I87" s="13">
        <f t="shared" si="16"/>
        <v>-2.177142857142826</v>
      </c>
      <c r="J87" s="13" t="e">
        <f t="shared" si="17"/>
        <v>#N/A</v>
      </c>
      <c r="K87" s="13" t="e">
        <f t="shared" si="18"/>
        <v>#N/A</v>
      </c>
      <c r="L87" t="e">
        <f t="shared" si="15"/>
        <v>#N/A</v>
      </c>
      <c r="M87" t="e">
        <f t="shared" si="15"/>
        <v>#N/A</v>
      </c>
    </row>
    <row r="88" spans="1:13" x14ac:dyDescent="0.25">
      <c r="A88" s="8">
        <f t="shared" si="19"/>
        <v>0.42418981481481405</v>
      </c>
      <c r="B88" s="4">
        <f t="shared" si="20"/>
        <v>1553300650</v>
      </c>
      <c r="D88" t="e">
        <f t="shared" si="21"/>
        <v>#N/A</v>
      </c>
      <c r="E88" t="e">
        <f t="shared" si="21"/>
        <v>#N/A</v>
      </c>
      <c r="F88">
        <f t="shared" si="13"/>
        <v>7859.4857142857145</v>
      </c>
      <c r="G88" s="13" t="e">
        <f t="shared" si="16"/>
        <v>#N/A</v>
      </c>
      <c r="H88" s="13" t="e">
        <f t="shared" si="16"/>
        <v>#N/A</v>
      </c>
      <c r="I88" s="13">
        <f t="shared" si="16"/>
        <v>-2.177142857142826</v>
      </c>
      <c r="J88" s="13" t="e">
        <f t="shared" si="17"/>
        <v>#N/A</v>
      </c>
      <c r="K88" s="13" t="e">
        <f t="shared" si="18"/>
        <v>#N/A</v>
      </c>
      <c r="L88" t="e">
        <f t="shared" si="15"/>
        <v>#N/A</v>
      </c>
      <c r="M88" t="e">
        <f t="shared" si="15"/>
        <v>#N/A</v>
      </c>
    </row>
    <row r="89" spans="1:13" x14ac:dyDescent="0.25">
      <c r="A89" s="8">
        <f t="shared" si="19"/>
        <v>0.42424768518518441</v>
      </c>
      <c r="B89" s="4">
        <f t="shared" si="20"/>
        <v>1553300655</v>
      </c>
      <c r="D89" t="e">
        <f t="shared" si="21"/>
        <v>#N/A</v>
      </c>
      <c r="E89" t="e">
        <f t="shared" si="21"/>
        <v>#N/A</v>
      </c>
      <c r="F89">
        <f t="shared" si="13"/>
        <v>7848.6</v>
      </c>
      <c r="G89" s="13" t="e">
        <f t="shared" si="16"/>
        <v>#N/A</v>
      </c>
      <c r="H89" s="13" t="e">
        <f t="shared" si="16"/>
        <v>#N/A</v>
      </c>
      <c r="I89" s="13">
        <f t="shared" si="16"/>
        <v>-2.177142857142826</v>
      </c>
      <c r="J89" s="13" t="e">
        <f t="shared" si="17"/>
        <v>#N/A</v>
      </c>
      <c r="K89" s="13" t="e">
        <f t="shared" si="18"/>
        <v>#N/A</v>
      </c>
      <c r="L89" t="e">
        <f t="shared" si="15"/>
        <v>#N/A</v>
      </c>
      <c r="M89" t="e">
        <f t="shared" si="15"/>
        <v>#N/A</v>
      </c>
    </row>
    <row r="90" spans="1:13" x14ac:dyDescent="0.25">
      <c r="A90" s="8">
        <f t="shared" si="19"/>
        <v>0.42430555555555477</v>
      </c>
      <c r="B90" s="4">
        <f t="shared" si="20"/>
        <v>1553300660</v>
      </c>
      <c r="D90" t="e">
        <f t="shared" si="21"/>
        <v>#N/A</v>
      </c>
      <c r="E90" t="e">
        <f t="shared" si="21"/>
        <v>#N/A</v>
      </c>
      <c r="F90">
        <f t="shared" si="13"/>
        <v>7837.7142857142862</v>
      </c>
      <c r="G90" s="13" t="e">
        <f t="shared" si="16"/>
        <v>#N/A</v>
      </c>
      <c r="H90" s="13" t="e">
        <f t="shared" si="16"/>
        <v>#N/A</v>
      </c>
      <c r="I90" s="13">
        <f t="shared" si="16"/>
        <v>-2.177142857143008</v>
      </c>
      <c r="J90" s="13" t="e">
        <f t="shared" si="17"/>
        <v>#N/A</v>
      </c>
      <c r="K90" s="13" t="e">
        <f t="shared" si="18"/>
        <v>#N/A</v>
      </c>
      <c r="L90" t="e">
        <f t="shared" si="15"/>
        <v>#N/A</v>
      </c>
      <c r="M90" t="e">
        <f t="shared" si="15"/>
        <v>#N/A</v>
      </c>
    </row>
    <row r="91" spans="1:13" x14ac:dyDescent="0.25">
      <c r="A91" s="8">
        <f t="shared" si="19"/>
        <v>0.42436342592592513</v>
      </c>
      <c r="B91" s="4">
        <f t="shared" si="20"/>
        <v>1553300665</v>
      </c>
      <c r="D91" t="e">
        <f t="shared" si="21"/>
        <v>#N/A</v>
      </c>
      <c r="E91" t="e">
        <f t="shared" si="21"/>
        <v>#N/A</v>
      </c>
      <c r="F91">
        <f t="shared" si="13"/>
        <v>7826.8285714285712</v>
      </c>
      <c r="G91" s="13" t="e">
        <f t="shared" si="16"/>
        <v>#N/A</v>
      </c>
      <c r="H91" s="13" t="e">
        <f t="shared" si="16"/>
        <v>#N/A</v>
      </c>
      <c r="I91" s="13">
        <f t="shared" si="16"/>
        <v>-2.177142857142826</v>
      </c>
      <c r="J91" s="13" t="e">
        <f t="shared" si="17"/>
        <v>#N/A</v>
      </c>
      <c r="K91" s="13" t="e">
        <f t="shared" si="18"/>
        <v>#N/A</v>
      </c>
      <c r="L91" t="e">
        <f t="shared" si="15"/>
        <v>#N/A</v>
      </c>
      <c r="M91" t="e">
        <f t="shared" si="15"/>
        <v>#N/A</v>
      </c>
    </row>
    <row r="92" spans="1:13" x14ac:dyDescent="0.25">
      <c r="A92" s="8">
        <f t="shared" si="19"/>
        <v>0.42442129629629549</v>
      </c>
      <c r="B92" s="4">
        <f t="shared" si="20"/>
        <v>1553300670</v>
      </c>
      <c r="D92" t="e">
        <f t="shared" si="21"/>
        <v>#N/A</v>
      </c>
      <c r="E92" t="e">
        <f t="shared" si="21"/>
        <v>#N/A</v>
      </c>
      <c r="F92">
        <f t="shared" si="13"/>
        <v>7815.9428571428571</v>
      </c>
      <c r="G92" s="13" t="e">
        <f t="shared" si="16"/>
        <v>#N/A</v>
      </c>
      <c r="H92" s="13" t="e">
        <f t="shared" si="16"/>
        <v>#N/A</v>
      </c>
      <c r="I92" s="13">
        <f t="shared" si="16"/>
        <v>-2.177142857142826</v>
      </c>
      <c r="J92" s="13" t="e">
        <f t="shared" si="17"/>
        <v>#N/A</v>
      </c>
      <c r="K92" s="13" t="e">
        <f t="shared" si="18"/>
        <v>#N/A</v>
      </c>
      <c r="L92" t="e">
        <f t="shared" si="15"/>
        <v>#N/A</v>
      </c>
      <c r="M92" t="e">
        <f t="shared" si="15"/>
        <v>#N/A</v>
      </c>
    </row>
    <row r="93" spans="1:13" x14ac:dyDescent="0.25">
      <c r="A93" s="8">
        <f t="shared" si="19"/>
        <v>0.42447916666666585</v>
      </c>
      <c r="B93" s="4">
        <f t="shared" si="20"/>
        <v>1553300675</v>
      </c>
      <c r="D93" t="e">
        <f t="shared" si="21"/>
        <v>#N/A</v>
      </c>
      <c r="E93" t="e">
        <f t="shared" si="21"/>
        <v>#N/A</v>
      </c>
      <c r="F93">
        <f t="shared" si="13"/>
        <v>7805.0571428571429</v>
      </c>
      <c r="G93" s="13" t="e">
        <f t="shared" si="16"/>
        <v>#N/A</v>
      </c>
      <c r="H93" s="13" t="e">
        <f t="shared" si="16"/>
        <v>#N/A</v>
      </c>
      <c r="I93" s="13">
        <f t="shared" si="16"/>
        <v>-2.177142857142826</v>
      </c>
      <c r="J93" s="13" t="e">
        <f t="shared" si="17"/>
        <v>#N/A</v>
      </c>
      <c r="K93" s="13" t="e">
        <f t="shared" si="18"/>
        <v>#N/A</v>
      </c>
      <c r="L93" t="e">
        <f t="shared" si="15"/>
        <v>#N/A</v>
      </c>
      <c r="M93" t="e">
        <f t="shared" si="15"/>
        <v>#N/A</v>
      </c>
    </row>
    <row r="94" spans="1:13" x14ac:dyDescent="0.25">
      <c r="A94" s="8">
        <f t="shared" si="19"/>
        <v>0.42453703703703621</v>
      </c>
      <c r="B94" s="4">
        <f t="shared" si="20"/>
        <v>1553300680</v>
      </c>
      <c r="D94" t="e">
        <f t="shared" si="21"/>
        <v>#N/A</v>
      </c>
      <c r="E94" t="e">
        <f t="shared" si="21"/>
        <v>#N/A</v>
      </c>
      <c r="F94">
        <f t="shared" si="13"/>
        <v>7794.1714285714288</v>
      </c>
      <c r="G94" s="13" t="e">
        <f t="shared" si="16"/>
        <v>#N/A</v>
      </c>
      <c r="H94" s="13" t="e">
        <f t="shared" si="16"/>
        <v>#N/A</v>
      </c>
      <c r="I94" s="13">
        <f t="shared" si="16"/>
        <v>-2.177142857142826</v>
      </c>
      <c r="J94" s="13" t="e">
        <f t="shared" si="17"/>
        <v>#N/A</v>
      </c>
      <c r="K94" s="13" t="e">
        <f t="shared" si="18"/>
        <v>#N/A</v>
      </c>
      <c r="L94" t="e">
        <f t="shared" si="15"/>
        <v>#N/A</v>
      </c>
      <c r="M94" t="e">
        <f t="shared" si="15"/>
        <v>#N/A</v>
      </c>
    </row>
    <row r="95" spans="1:13" x14ac:dyDescent="0.25">
      <c r="A95" s="8">
        <f>A94+5/24/3600</f>
        <v>0.42459490740740657</v>
      </c>
      <c r="B95" s="4">
        <f t="shared" si="20"/>
        <v>1553300685</v>
      </c>
      <c r="D95" t="e">
        <f t="shared" si="21"/>
        <v>#N/A</v>
      </c>
      <c r="E95" t="e">
        <f t="shared" si="21"/>
        <v>#N/A</v>
      </c>
      <c r="F95">
        <f t="shared" si="13"/>
        <v>7783.2857142857147</v>
      </c>
      <c r="G95" s="13" t="e">
        <f t="shared" si="16"/>
        <v>#N/A</v>
      </c>
      <c r="H95" s="13" t="e">
        <f t="shared" si="16"/>
        <v>#N/A</v>
      </c>
      <c r="I95" s="13">
        <f t="shared" si="16"/>
        <v>-2.177142857143008</v>
      </c>
      <c r="J95" s="13" t="e">
        <f t="shared" si="17"/>
        <v>#N/A</v>
      </c>
      <c r="K95" s="13" t="e">
        <f t="shared" si="18"/>
        <v>#N/A</v>
      </c>
      <c r="L95" t="e">
        <f t="shared" si="15"/>
        <v>#N/A</v>
      </c>
      <c r="M95" t="e">
        <f t="shared" si="15"/>
        <v>#N/A</v>
      </c>
    </row>
    <row r="96" spans="1:13" x14ac:dyDescent="0.25">
      <c r="A96" s="8">
        <f t="shared" si="19"/>
        <v>0.42465277777777694</v>
      </c>
      <c r="B96" s="4">
        <f t="shared" si="20"/>
        <v>1553300690</v>
      </c>
      <c r="D96" t="e">
        <f t="shared" si="21"/>
        <v>#N/A</v>
      </c>
      <c r="E96" t="e">
        <f t="shared" si="21"/>
        <v>#N/A</v>
      </c>
      <c r="F96">
        <f t="shared" si="13"/>
        <v>7772.4</v>
      </c>
      <c r="G96" s="13" t="e">
        <f t="shared" si="16"/>
        <v>#N/A</v>
      </c>
      <c r="H96" s="13" t="e">
        <f t="shared" si="16"/>
        <v>#N/A</v>
      </c>
      <c r="I96" s="13">
        <f t="shared" si="16"/>
        <v>-2.177142857142826</v>
      </c>
      <c r="J96" s="13" t="e">
        <f t="shared" si="17"/>
        <v>#N/A</v>
      </c>
      <c r="K96" s="13" t="e">
        <f t="shared" si="18"/>
        <v>#N/A</v>
      </c>
      <c r="L96" t="e">
        <f t="shared" si="15"/>
        <v>#N/A</v>
      </c>
      <c r="M96" t="e">
        <f t="shared" si="15"/>
        <v>#N/A</v>
      </c>
    </row>
    <row r="97" spans="1:13" x14ac:dyDescent="0.25">
      <c r="A97" s="8">
        <f t="shared" si="19"/>
        <v>0.4247106481481473</v>
      </c>
      <c r="B97" s="4">
        <f t="shared" si="20"/>
        <v>1553300695</v>
      </c>
      <c r="D97" t="e">
        <f t="shared" si="21"/>
        <v>#N/A</v>
      </c>
      <c r="E97" t="e">
        <f t="shared" si="21"/>
        <v>#N/A</v>
      </c>
      <c r="F97">
        <f t="shared" si="13"/>
        <v>7761.5142857142855</v>
      </c>
      <c r="G97" s="13" t="e">
        <f t="shared" si="16"/>
        <v>#N/A</v>
      </c>
      <c r="H97" s="13" t="e">
        <f t="shared" si="16"/>
        <v>#N/A</v>
      </c>
      <c r="I97" s="13">
        <f t="shared" si="16"/>
        <v>-2.177142857142826</v>
      </c>
      <c r="J97" s="13" t="e">
        <f t="shared" si="17"/>
        <v>#N/A</v>
      </c>
      <c r="K97" s="13" t="e">
        <f t="shared" si="18"/>
        <v>#N/A</v>
      </c>
      <c r="L97" t="e">
        <f t="shared" si="15"/>
        <v>#N/A</v>
      </c>
      <c r="M97" t="e">
        <f t="shared" si="15"/>
        <v>#N/A</v>
      </c>
    </row>
    <row r="98" spans="1:13" x14ac:dyDescent="0.25">
      <c r="A98" s="8">
        <f t="shared" si="19"/>
        <v>0.42476851851851766</v>
      </c>
      <c r="B98" s="4">
        <f t="shared" si="20"/>
        <v>1553300700</v>
      </c>
      <c r="D98" t="e">
        <f t="shared" si="21"/>
        <v>#N/A</v>
      </c>
      <c r="E98" t="e">
        <f t="shared" si="21"/>
        <v>#N/A</v>
      </c>
      <c r="F98">
        <f t="shared" si="13"/>
        <v>7750.6285714285714</v>
      </c>
      <c r="G98" s="13" t="e">
        <f t="shared" si="16"/>
        <v>#N/A</v>
      </c>
      <c r="H98" s="13" t="e">
        <f t="shared" si="16"/>
        <v>#N/A</v>
      </c>
      <c r="I98" s="13">
        <f t="shared" si="16"/>
        <v>-2.177142857142826</v>
      </c>
      <c r="J98" s="13" t="e">
        <f t="shared" si="17"/>
        <v>#N/A</v>
      </c>
      <c r="K98" s="13" t="e">
        <f t="shared" si="18"/>
        <v>#N/A</v>
      </c>
      <c r="L98" t="e">
        <f t="shared" si="15"/>
        <v>#N/A</v>
      </c>
      <c r="M98" t="e">
        <f t="shared" si="15"/>
        <v>#N/A</v>
      </c>
    </row>
    <row r="99" spans="1:13" x14ac:dyDescent="0.25">
      <c r="A99" s="8">
        <f t="shared" si="19"/>
        <v>0.42482638888888802</v>
      </c>
      <c r="B99" s="4">
        <f t="shared" si="20"/>
        <v>1553300705</v>
      </c>
      <c r="D99" t="e">
        <f t="shared" si="21"/>
        <v>#N/A</v>
      </c>
      <c r="E99" t="e">
        <f t="shared" si="21"/>
        <v>#N/A</v>
      </c>
      <c r="F99">
        <f t="shared" si="13"/>
        <v>7739.7428571428572</v>
      </c>
      <c r="G99" s="13" t="e">
        <f t="shared" si="16"/>
        <v>#N/A</v>
      </c>
      <c r="H99" s="13" t="e">
        <f t="shared" si="16"/>
        <v>#N/A</v>
      </c>
      <c r="I99" s="13">
        <f t="shared" si="16"/>
        <v>-2.177142857142826</v>
      </c>
      <c r="J99" s="13" t="e">
        <f t="shared" si="17"/>
        <v>#N/A</v>
      </c>
      <c r="K99" s="13" t="e">
        <f t="shared" si="18"/>
        <v>#N/A</v>
      </c>
      <c r="L99" t="e">
        <f t="shared" si="15"/>
        <v>#N/A</v>
      </c>
      <c r="M99" t="e">
        <f t="shared" si="15"/>
        <v>#N/A</v>
      </c>
    </row>
    <row r="100" spans="1:13" x14ac:dyDescent="0.25">
      <c r="A100" s="8">
        <f t="shared" si="19"/>
        <v>0.42488425925925838</v>
      </c>
      <c r="B100" s="4">
        <f t="shared" si="20"/>
        <v>1553300710</v>
      </c>
      <c r="D100" t="e">
        <f t="shared" si="21"/>
        <v>#N/A</v>
      </c>
      <c r="E100" t="e">
        <f t="shared" si="21"/>
        <v>#N/A</v>
      </c>
      <c r="F100">
        <f t="shared" si="13"/>
        <v>7728.8571428571431</v>
      </c>
      <c r="G100" s="13" t="e">
        <f t="shared" si="16"/>
        <v>#N/A</v>
      </c>
      <c r="H100" s="13" t="e">
        <f t="shared" si="16"/>
        <v>#N/A</v>
      </c>
      <c r="I100" s="13">
        <f t="shared" si="16"/>
        <v>-2.177142857142826</v>
      </c>
      <c r="J100" s="13" t="e">
        <f t="shared" si="17"/>
        <v>#N/A</v>
      </c>
      <c r="K100" s="13" t="e">
        <f t="shared" si="18"/>
        <v>#N/A</v>
      </c>
      <c r="L100" t="e">
        <f t="shared" si="15"/>
        <v>#N/A</v>
      </c>
      <c r="M100" t="e">
        <f t="shared" si="15"/>
        <v>#N/A</v>
      </c>
    </row>
    <row r="101" spans="1:13" x14ac:dyDescent="0.25">
      <c r="A101" s="8">
        <f t="shared" si="19"/>
        <v>0.42494212962962874</v>
      </c>
      <c r="B101" s="4">
        <f t="shared" si="20"/>
        <v>1553300715</v>
      </c>
      <c r="D101" t="e">
        <f t="shared" si="21"/>
        <v>#N/A</v>
      </c>
      <c r="E101" t="e">
        <f t="shared" si="21"/>
        <v>#N/A</v>
      </c>
      <c r="F101">
        <f t="shared" si="13"/>
        <v>7717.971428571429</v>
      </c>
      <c r="G101" s="13" t="e">
        <f t="shared" si="16"/>
        <v>#N/A</v>
      </c>
      <c r="H101" s="13" t="e">
        <f t="shared" si="16"/>
        <v>#N/A</v>
      </c>
      <c r="I101" s="13">
        <f t="shared" si="16"/>
        <v>-2.177142857142826</v>
      </c>
      <c r="J101" s="13" t="e">
        <f t="shared" si="17"/>
        <v>#N/A</v>
      </c>
      <c r="K101" s="13" t="e">
        <f t="shared" si="18"/>
        <v>#N/A</v>
      </c>
      <c r="L101" t="e">
        <f t="shared" si="15"/>
        <v>#N/A</v>
      </c>
      <c r="M101" t="e">
        <f t="shared" si="15"/>
        <v>#N/A</v>
      </c>
    </row>
    <row r="102" spans="1:13" x14ac:dyDescent="0.25">
      <c r="A102" s="8">
        <f t="shared" si="19"/>
        <v>0.4249999999999991</v>
      </c>
      <c r="B102" s="4">
        <f t="shared" si="20"/>
        <v>1553300720</v>
      </c>
      <c r="D102" t="e">
        <f t="shared" si="21"/>
        <v>#N/A</v>
      </c>
      <c r="E102" t="e">
        <f t="shared" si="21"/>
        <v>#N/A</v>
      </c>
      <c r="F102">
        <f t="shared" si="13"/>
        <v>7707.0857142857149</v>
      </c>
      <c r="G102" s="13" t="e">
        <f t="shared" si="16"/>
        <v>#N/A</v>
      </c>
      <c r="H102" s="13" t="e">
        <f t="shared" si="16"/>
        <v>#N/A</v>
      </c>
      <c r="I102" s="13">
        <f t="shared" si="16"/>
        <v>-2.177142857143008</v>
      </c>
      <c r="J102" s="13" t="e">
        <f t="shared" si="17"/>
        <v>#N/A</v>
      </c>
      <c r="K102" s="13" t="e">
        <f t="shared" si="18"/>
        <v>#N/A</v>
      </c>
      <c r="L102" t="e">
        <f t="shared" si="15"/>
        <v>#N/A</v>
      </c>
      <c r="M102" t="e">
        <f t="shared" si="15"/>
        <v>#N/A</v>
      </c>
    </row>
    <row r="103" spans="1:13" x14ac:dyDescent="0.25">
      <c r="A103" s="8">
        <f>A102+5/24/3600</f>
        <v>0.42505787037036946</v>
      </c>
      <c r="B103" s="4">
        <f t="shared" si="20"/>
        <v>1553300725</v>
      </c>
      <c r="D103" t="e">
        <f t="shared" si="21"/>
        <v>#N/A</v>
      </c>
      <c r="E103" t="e">
        <f t="shared" si="21"/>
        <v>#N/A</v>
      </c>
      <c r="F103">
        <f t="shared" si="13"/>
        <v>7696.2</v>
      </c>
      <c r="G103" s="13" t="e">
        <f t="shared" si="16"/>
        <v>#N/A</v>
      </c>
      <c r="H103" s="13" t="e">
        <f t="shared" si="16"/>
        <v>#N/A</v>
      </c>
      <c r="I103" s="13">
        <f t="shared" si="16"/>
        <v>-2.177142857142826</v>
      </c>
      <c r="J103" s="13" t="e">
        <f t="shared" si="17"/>
        <v>#N/A</v>
      </c>
      <c r="K103" s="13" t="e">
        <f t="shared" si="18"/>
        <v>#N/A</v>
      </c>
      <c r="L103" t="e">
        <f t="shared" si="15"/>
        <v>#N/A</v>
      </c>
      <c r="M103" t="e">
        <f t="shared" si="15"/>
        <v>#N/A</v>
      </c>
    </row>
    <row r="104" spans="1:13" x14ac:dyDescent="0.25">
      <c r="A104" s="8">
        <f t="shared" ref="A104:A120" si="22">A103+5/24/3600</f>
        <v>0.42511574074073982</v>
      </c>
      <c r="B104" s="4">
        <f t="shared" si="20"/>
        <v>1553300730</v>
      </c>
      <c r="D104" t="e">
        <f t="shared" si="21"/>
        <v>#N/A</v>
      </c>
      <c r="E104" t="e">
        <f t="shared" si="21"/>
        <v>#N/A</v>
      </c>
      <c r="F104">
        <f t="shared" si="13"/>
        <v>7685.3142857142857</v>
      </c>
      <c r="G104" s="13" t="e">
        <f t="shared" si="16"/>
        <v>#N/A</v>
      </c>
      <c r="H104" s="13" t="e">
        <f t="shared" si="16"/>
        <v>#N/A</v>
      </c>
      <c r="I104" s="13">
        <f t="shared" si="16"/>
        <v>-2.177142857142826</v>
      </c>
      <c r="J104" s="13" t="e">
        <f t="shared" si="17"/>
        <v>#N/A</v>
      </c>
      <c r="K104" s="13" t="e">
        <f t="shared" si="18"/>
        <v>#N/A</v>
      </c>
      <c r="L104" t="e">
        <f t="shared" si="15"/>
        <v>#N/A</v>
      </c>
      <c r="M104" t="e">
        <f t="shared" si="15"/>
        <v>#N/A</v>
      </c>
    </row>
    <row r="105" spans="1:13" x14ac:dyDescent="0.25">
      <c r="A105" s="8">
        <f t="shared" si="22"/>
        <v>0.42517361111111018</v>
      </c>
      <c r="B105" s="4">
        <f t="shared" si="20"/>
        <v>1553300735</v>
      </c>
      <c r="D105" t="e">
        <f t="shared" si="21"/>
        <v>#N/A</v>
      </c>
      <c r="E105" t="e">
        <f t="shared" si="21"/>
        <v>#N/A</v>
      </c>
      <c r="F105">
        <f t="shared" si="13"/>
        <v>7674.4285714285716</v>
      </c>
      <c r="G105" s="13" t="e">
        <f t="shared" si="16"/>
        <v>#N/A</v>
      </c>
      <c r="H105" s="13" t="e">
        <f t="shared" si="16"/>
        <v>#N/A</v>
      </c>
      <c r="I105" s="13">
        <f t="shared" si="16"/>
        <v>-2.177142857142826</v>
      </c>
      <c r="J105" s="13" t="e">
        <f t="shared" si="17"/>
        <v>#N/A</v>
      </c>
      <c r="K105" s="13" t="e">
        <f t="shared" si="18"/>
        <v>#N/A</v>
      </c>
      <c r="L105" t="e">
        <f t="shared" si="15"/>
        <v>#N/A</v>
      </c>
      <c r="M105" t="e">
        <f t="shared" si="15"/>
        <v>#N/A</v>
      </c>
    </row>
    <row r="106" spans="1:13" x14ac:dyDescent="0.25">
      <c r="A106" s="8">
        <f t="shared" si="22"/>
        <v>0.42523148148148054</v>
      </c>
      <c r="B106" s="4">
        <f t="shared" si="20"/>
        <v>1553300740</v>
      </c>
      <c r="D106" t="e">
        <f t="shared" si="21"/>
        <v>#N/A</v>
      </c>
      <c r="E106" t="e">
        <f t="shared" si="21"/>
        <v>#N/A</v>
      </c>
      <c r="F106">
        <f t="shared" si="13"/>
        <v>7663.5428571428574</v>
      </c>
      <c r="G106" s="13" t="e">
        <f t="shared" si="16"/>
        <v>#N/A</v>
      </c>
      <c r="H106" s="13" t="e">
        <f t="shared" si="16"/>
        <v>#N/A</v>
      </c>
      <c r="I106" s="13">
        <f t="shared" si="16"/>
        <v>-2.177142857143008</v>
      </c>
      <c r="J106" s="13" t="e">
        <f t="shared" si="17"/>
        <v>#N/A</v>
      </c>
      <c r="K106" s="13" t="e">
        <f t="shared" si="18"/>
        <v>#N/A</v>
      </c>
      <c r="L106" t="e">
        <f t="shared" si="15"/>
        <v>#N/A</v>
      </c>
      <c r="M106" t="e">
        <f t="shared" si="15"/>
        <v>#N/A</v>
      </c>
    </row>
    <row r="107" spans="1:13" x14ac:dyDescent="0.25">
      <c r="A107" s="8">
        <f t="shared" si="22"/>
        <v>0.42528935185185091</v>
      </c>
      <c r="B107" s="4">
        <f t="shared" si="20"/>
        <v>1553300745</v>
      </c>
      <c r="D107" t="e">
        <f t="shared" si="21"/>
        <v>#N/A</v>
      </c>
      <c r="E107" t="e">
        <f t="shared" si="21"/>
        <v>#N/A</v>
      </c>
      <c r="F107">
        <f t="shared" si="13"/>
        <v>7652.6571428571424</v>
      </c>
      <c r="G107" s="13" t="e">
        <f t="shared" si="16"/>
        <v>#N/A</v>
      </c>
      <c r="H107" s="13" t="e">
        <f t="shared" si="16"/>
        <v>#N/A</v>
      </c>
      <c r="I107" s="13">
        <f t="shared" si="16"/>
        <v>-2.177142857142826</v>
      </c>
      <c r="J107" s="13" t="e">
        <f t="shared" si="17"/>
        <v>#N/A</v>
      </c>
      <c r="K107" s="13" t="e">
        <f t="shared" si="18"/>
        <v>#N/A</v>
      </c>
      <c r="L107" t="e">
        <f t="shared" si="15"/>
        <v>#N/A</v>
      </c>
      <c r="M107" t="e">
        <f t="shared" si="15"/>
        <v>#N/A</v>
      </c>
    </row>
    <row r="108" spans="1:13" x14ac:dyDescent="0.25">
      <c r="A108" s="8">
        <f t="shared" si="22"/>
        <v>0.42534722222222127</v>
      </c>
      <c r="B108" s="4">
        <f t="shared" si="20"/>
        <v>1553300750</v>
      </c>
      <c r="D108" t="e">
        <f t="shared" si="21"/>
        <v>#N/A</v>
      </c>
      <c r="E108" t="e">
        <f t="shared" si="21"/>
        <v>#N/A</v>
      </c>
      <c r="F108">
        <f t="shared" si="13"/>
        <v>7641.7714285714283</v>
      </c>
      <c r="G108" s="13" t="e">
        <f t="shared" si="16"/>
        <v>#N/A</v>
      </c>
      <c r="H108" s="13" t="e">
        <f t="shared" si="16"/>
        <v>#N/A</v>
      </c>
      <c r="I108" s="13">
        <f t="shared" si="16"/>
        <v>-2.177142857142826</v>
      </c>
      <c r="J108" s="13" t="e">
        <f t="shared" si="17"/>
        <v>#N/A</v>
      </c>
      <c r="K108" s="13" t="e">
        <f t="shared" si="18"/>
        <v>#N/A</v>
      </c>
      <c r="L108" t="e">
        <f t="shared" si="15"/>
        <v>#N/A</v>
      </c>
      <c r="M108" t="e">
        <f t="shared" si="15"/>
        <v>#N/A</v>
      </c>
    </row>
    <row r="109" spans="1:13" x14ac:dyDescent="0.25">
      <c r="A109" s="8">
        <f t="shared" si="22"/>
        <v>0.42540509259259163</v>
      </c>
      <c r="B109" s="4">
        <f t="shared" si="20"/>
        <v>1553300755</v>
      </c>
      <c r="D109" t="e">
        <f t="shared" si="21"/>
        <v>#N/A</v>
      </c>
      <c r="E109" t="e">
        <f t="shared" si="21"/>
        <v>#N/A</v>
      </c>
      <c r="F109">
        <f t="shared" si="13"/>
        <v>7630.8857142857141</v>
      </c>
      <c r="G109" s="13" t="e">
        <f t="shared" si="16"/>
        <v>#N/A</v>
      </c>
      <c r="H109" s="13" t="e">
        <f t="shared" si="16"/>
        <v>#N/A</v>
      </c>
      <c r="I109" s="13">
        <f t="shared" si="16"/>
        <v>-2.177142857142826</v>
      </c>
      <c r="J109" s="13" t="e">
        <f t="shared" si="17"/>
        <v>#N/A</v>
      </c>
      <c r="K109" s="13" t="e">
        <f t="shared" si="18"/>
        <v>#N/A</v>
      </c>
      <c r="L109" t="e">
        <f t="shared" si="15"/>
        <v>#N/A</v>
      </c>
      <c r="M109" t="e">
        <f t="shared" si="15"/>
        <v>#N/A</v>
      </c>
    </row>
    <row r="110" spans="1:13" x14ac:dyDescent="0.25">
      <c r="A110" s="8">
        <f t="shared" si="22"/>
        <v>0.42546296296296199</v>
      </c>
      <c r="B110" s="4">
        <f t="shared" si="20"/>
        <v>1553300760</v>
      </c>
      <c r="D110" t="e">
        <f t="shared" si="21"/>
        <v>#N/A</v>
      </c>
      <c r="E110" t="e">
        <f t="shared" si="21"/>
        <v>#N/A</v>
      </c>
      <c r="F110">
        <f t="shared" si="13"/>
        <v>7620</v>
      </c>
      <c r="G110" s="13" t="e">
        <f t="shared" si="16"/>
        <v>#N/A</v>
      </c>
      <c r="H110" s="13" t="e">
        <f t="shared" si="16"/>
        <v>#N/A</v>
      </c>
      <c r="I110" s="13">
        <f t="shared" si="16"/>
        <v>-2.177142857142826</v>
      </c>
      <c r="J110" s="13" t="e">
        <f t="shared" si="17"/>
        <v>#N/A</v>
      </c>
      <c r="K110" s="13" t="e">
        <f t="shared" si="18"/>
        <v>#N/A</v>
      </c>
      <c r="L110" t="e">
        <f t="shared" si="15"/>
        <v>#N/A</v>
      </c>
      <c r="M110" t="e">
        <f t="shared" si="15"/>
        <v>#N/A</v>
      </c>
    </row>
    <row r="111" spans="1:13" x14ac:dyDescent="0.25">
      <c r="A111" s="8">
        <f t="shared" si="22"/>
        <v>0.42552083333333235</v>
      </c>
      <c r="B111" s="4">
        <f t="shared" si="20"/>
        <v>1553300765</v>
      </c>
      <c r="D111" t="e">
        <f>D$3+G$3*($B111-$B$54)</f>
        <v>#N/A</v>
      </c>
      <c r="E111" t="e">
        <f>E$3+H$3*($B111-$B$54)</f>
        <v>#N/A</v>
      </c>
      <c r="F111">
        <f t="shared" si="13"/>
        <v>7609.1142857142859</v>
      </c>
      <c r="G111" s="13" t="e">
        <f t="shared" si="16"/>
        <v>#N/A</v>
      </c>
      <c r="H111" s="13" t="e">
        <f t="shared" si="16"/>
        <v>#N/A</v>
      </c>
      <c r="I111" s="13">
        <f t="shared" si="16"/>
        <v>-2.177142857142826</v>
      </c>
      <c r="J111" s="13" t="e">
        <f t="shared" si="17"/>
        <v>#N/A</v>
      </c>
      <c r="K111" s="13" t="e">
        <f t="shared" si="18"/>
        <v>#N/A</v>
      </c>
      <c r="L111" t="e">
        <f t="shared" si="15"/>
        <v>#N/A</v>
      </c>
      <c r="M111" t="e">
        <f t="shared" si="15"/>
        <v>#N/A</v>
      </c>
    </row>
    <row r="112" spans="1:13" x14ac:dyDescent="0.25">
      <c r="A112" s="8">
        <f t="shared" si="22"/>
        <v>0.42557870370370271</v>
      </c>
      <c r="B112" s="4">
        <f t="shared" si="20"/>
        <v>1553300770</v>
      </c>
      <c r="D112" t="e">
        <f t="shared" ref="D112:F137" si="23">D$3+G$3*($B112-$B$54)</f>
        <v>#N/A</v>
      </c>
      <c r="E112" t="e">
        <f t="shared" si="23"/>
        <v>#N/A</v>
      </c>
      <c r="F112">
        <f t="shared" si="13"/>
        <v>7598.2285714285717</v>
      </c>
      <c r="G112" s="13" t="e">
        <f t="shared" si="16"/>
        <v>#N/A</v>
      </c>
      <c r="H112" s="13" t="e">
        <f t="shared" si="16"/>
        <v>#N/A</v>
      </c>
      <c r="I112" s="13">
        <f t="shared" si="16"/>
        <v>-2.177142857142826</v>
      </c>
      <c r="J112" s="13" t="e">
        <f t="shared" si="17"/>
        <v>#N/A</v>
      </c>
      <c r="K112" s="13" t="e">
        <f t="shared" si="18"/>
        <v>#N/A</v>
      </c>
      <c r="L112" t="e">
        <f t="shared" si="15"/>
        <v>#N/A</v>
      </c>
      <c r="M112" t="e">
        <f t="shared" si="15"/>
        <v>#N/A</v>
      </c>
    </row>
    <row r="113" spans="1:13" x14ac:dyDescent="0.25">
      <c r="A113" s="8">
        <f t="shared" si="22"/>
        <v>0.42563657407407307</v>
      </c>
      <c r="B113" s="4">
        <f t="shared" si="20"/>
        <v>1553300775</v>
      </c>
      <c r="D113" t="e">
        <f t="shared" si="23"/>
        <v>#N/A</v>
      </c>
      <c r="E113" t="e">
        <f t="shared" si="23"/>
        <v>#N/A</v>
      </c>
      <c r="F113">
        <f t="shared" si="13"/>
        <v>7587.3428571428576</v>
      </c>
      <c r="G113" s="13" t="e">
        <f t="shared" si="16"/>
        <v>#N/A</v>
      </c>
      <c r="H113" s="13" t="e">
        <f t="shared" si="16"/>
        <v>#N/A</v>
      </c>
      <c r="I113" s="13">
        <f t="shared" si="16"/>
        <v>-2.177142857143008</v>
      </c>
      <c r="J113" s="13" t="e">
        <f t="shared" si="17"/>
        <v>#N/A</v>
      </c>
      <c r="K113" s="13" t="e">
        <f t="shared" si="18"/>
        <v>#N/A</v>
      </c>
      <c r="L113" t="e">
        <f t="shared" si="15"/>
        <v>#N/A</v>
      </c>
      <c r="M113" t="e">
        <f t="shared" si="15"/>
        <v>#N/A</v>
      </c>
    </row>
    <row r="114" spans="1:13" x14ac:dyDescent="0.25">
      <c r="A114" s="8">
        <f t="shared" si="22"/>
        <v>0.42569444444444343</v>
      </c>
      <c r="B114" s="4">
        <f t="shared" si="20"/>
        <v>1553300780</v>
      </c>
      <c r="D114" t="e">
        <f t="shared" si="23"/>
        <v>#N/A</v>
      </c>
      <c r="E114" t="e">
        <f t="shared" si="23"/>
        <v>#N/A</v>
      </c>
      <c r="F114">
        <f t="shared" si="13"/>
        <v>7576.4571428571426</v>
      </c>
      <c r="G114" s="13" t="e">
        <f t="shared" si="16"/>
        <v>#N/A</v>
      </c>
      <c r="H114" s="13" t="e">
        <f t="shared" si="16"/>
        <v>#N/A</v>
      </c>
      <c r="I114" s="13">
        <f t="shared" si="16"/>
        <v>-2.177142857142826</v>
      </c>
      <c r="J114" s="13" t="e">
        <f t="shared" si="17"/>
        <v>#N/A</v>
      </c>
      <c r="K114" s="13" t="e">
        <f t="shared" si="18"/>
        <v>#N/A</v>
      </c>
      <c r="L114" t="e">
        <f t="shared" si="15"/>
        <v>#N/A</v>
      </c>
      <c r="M114" t="e">
        <f t="shared" si="15"/>
        <v>#N/A</v>
      </c>
    </row>
    <row r="115" spans="1:13" x14ac:dyDescent="0.25">
      <c r="A115" s="8">
        <f t="shared" si="22"/>
        <v>0.42575231481481379</v>
      </c>
      <c r="B115" s="4">
        <f t="shared" si="20"/>
        <v>1553300785</v>
      </c>
      <c r="D115" t="e">
        <f t="shared" si="23"/>
        <v>#N/A</v>
      </c>
      <c r="E115" t="e">
        <f t="shared" si="23"/>
        <v>#N/A</v>
      </c>
      <c r="F115">
        <f t="shared" si="13"/>
        <v>7565.5714285714284</v>
      </c>
      <c r="G115" s="13" t="e">
        <f t="shared" si="16"/>
        <v>#N/A</v>
      </c>
      <c r="H115" s="13" t="e">
        <f t="shared" si="16"/>
        <v>#N/A</v>
      </c>
      <c r="I115" s="13">
        <f t="shared" si="16"/>
        <v>-2.177142857142826</v>
      </c>
      <c r="J115" s="13" t="e">
        <f t="shared" si="17"/>
        <v>#N/A</v>
      </c>
      <c r="K115" s="13" t="e">
        <f t="shared" si="18"/>
        <v>#N/A</v>
      </c>
      <c r="L115" t="e">
        <f t="shared" si="15"/>
        <v>#N/A</v>
      </c>
      <c r="M115" t="e">
        <f t="shared" si="15"/>
        <v>#N/A</v>
      </c>
    </row>
    <row r="116" spans="1:13" x14ac:dyDescent="0.25">
      <c r="A116" s="8">
        <f t="shared" si="22"/>
        <v>0.42581018518518415</v>
      </c>
      <c r="B116" s="4">
        <f t="shared" si="20"/>
        <v>1553300790</v>
      </c>
      <c r="D116" t="e">
        <f t="shared" si="23"/>
        <v>#N/A</v>
      </c>
      <c r="E116" t="e">
        <f t="shared" si="23"/>
        <v>#N/A</v>
      </c>
      <c r="F116">
        <f t="shared" si="13"/>
        <v>7554.6857142857143</v>
      </c>
      <c r="G116" s="13" t="e">
        <f t="shared" si="16"/>
        <v>#N/A</v>
      </c>
      <c r="H116" s="13" t="e">
        <f t="shared" si="16"/>
        <v>#N/A</v>
      </c>
      <c r="I116" s="13">
        <f t="shared" si="16"/>
        <v>-2.177142857142826</v>
      </c>
      <c r="J116" s="13" t="e">
        <f t="shared" si="17"/>
        <v>#N/A</v>
      </c>
      <c r="K116" s="13" t="e">
        <f t="shared" si="18"/>
        <v>#N/A</v>
      </c>
      <c r="L116" t="e">
        <f t="shared" si="15"/>
        <v>#N/A</v>
      </c>
      <c r="M116" t="e">
        <f t="shared" si="15"/>
        <v>#N/A</v>
      </c>
    </row>
    <row r="117" spans="1:13" x14ac:dyDescent="0.25">
      <c r="A117" s="8">
        <f t="shared" si="22"/>
        <v>0.42586805555555451</v>
      </c>
      <c r="B117" s="4">
        <f t="shared" si="20"/>
        <v>1553300795</v>
      </c>
      <c r="D117" t="e">
        <f t="shared" si="23"/>
        <v>#N/A</v>
      </c>
      <c r="E117" t="e">
        <f t="shared" si="23"/>
        <v>#N/A</v>
      </c>
      <c r="F117">
        <f t="shared" si="13"/>
        <v>7543.8</v>
      </c>
      <c r="G117" s="13" t="e">
        <f t="shared" si="16"/>
        <v>#N/A</v>
      </c>
      <c r="H117" s="13" t="e">
        <f t="shared" si="16"/>
        <v>#N/A</v>
      </c>
      <c r="I117" s="13">
        <f t="shared" si="16"/>
        <v>-2.177142857142826</v>
      </c>
      <c r="J117" s="13" t="e">
        <f t="shared" si="17"/>
        <v>#N/A</v>
      </c>
      <c r="K117" s="13" t="e">
        <f t="shared" si="18"/>
        <v>#N/A</v>
      </c>
      <c r="L117" t="e">
        <f t="shared" si="15"/>
        <v>#N/A</v>
      </c>
      <c r="M117" t="e">
        <f t="shared" si="15"/>
        <v>#N/A</v>
      </c>
    </row>
    <row r="118" spans="1:13" x14ac:dyDescent="0.25">
      <c r="A118" s="8">
        <f t="shared" si="22"/>
        <v>0.42592592592592488</v>
      </c>
      <c r="B118" s="4">
        <f t="shared" si="20"/>
        <v>1553300800</v>
      </c>
      <c r="D118" t="e">
        <f t="shared" si="23"/>
        <v>#N/A</v>
      </c>
      <c r="E118" t="e">
        <f t="shared" si="23"/>
        <v>#N/A</v>
      </c>
      <c r="F118">
        <f t="shared" si="13"/>
        <v>7532.9142857142861</v>
      </c>
      <c r="G118" s="13" t="e">
        <f t="shared" si="16"/>
        <v>#N/A</v>
      </c>
      <c r="H118" s="13" t="e">
        <f t="shared" si="16"/>
        <v>#N/A</v>
      </c>
      <c r="I118" s="13">
        <f t="shared" si="16"/>
        <v>-2.177142857143008</v>
      </c>
      <c r="J118" s="13" t="e">
        <f t="shared" si="17"/>
        <v>#N/A</v>
      </c>
      <c r="K118" s="13" t="e">
        <f t="shared" si="18"/>
        <v>#N/A</v>
      </c>
      <c r="L118" t="e">
        <f t="shared" si="15"/>
        <v>#N/A</v>
      </c>
      <c r="M118" t="e">
        <f t="shared" si="15"/>
        <v>#N/A</v>
      </c>
    </row>
    <row r="119" spans="1:13" x14ac:dyDescent="0.25">
      <c r="A119" s="8">
        <f t="shared" si="22"/>
        <v>0.42598379629629524</v>
      </c>
      <c r="B119" s="4">
        <f t="shared" si="20"/>
        <v>1553300805</v>
      </c>
      <c r="D119" t="e">
        <f t="shared" si="23"/>
        <v>#N/A</v>
      </c>
      <c r="E119" t="e">
        <f t="shared" si="23"/>
        <v>#N/A</v>
      </c>
      <c r="F119">
        <f t="shared" si="23"/>
        <v>7522.028571428571</v>
      </c>
      <c r="G119" s="13" t="e">
        <f t="shared" si="16"/>
        <v>#N/A</v>
      </c>
      <c r="H119" s="13" t="e">
        <f t="shared" si="16"/>
        <v>#N/A</v>
      </c>
      <c r="I119" s="13">
        <f t="shared" si="16"/>
        <v>-2.177142857142826</v>
      </c>
      <c r="J119" s="13" t="e">
        <f t="shared" si="17"/>
        <v>#N/A</v>
      </c>
      <c r="K119" s="13" t="e">
        <f t="shared" si="18"/>
        <v>#N/A</v>
      </c>
      <c r="L119" t="e">
        <f t="shared" si="15"/>
        <v>#N/A</v>
      </c>
      <c r="M119" t="e">
        <f t="shared" si="15"/>
        <v>#N/A</v>
      </c>
    </row>
    <row r="120" spans="1:13" x14ac:dyDescent="0.25">
      <c r="A120" s="8">
        <f t="shared" si="22"/>
        <v>0.4260416666666656</v>
      </c>
      <c r="B120" s="4">
        <f t="shared" si="20"/>
        <v>1553300810</v>
      </c>
      <c r="D120" t="e">
        <f t="shared" si="23"/>
        <v>#N/A</v>
      </c>
      <c r="E120" t="e">
        <f t="shared" si="23"/>
        <v>#N/A</v>
      </c>
      <c r="F120">
        <f t="shared" si="23"/>
        <v>7511.1428571428569</v>
      </c>
      <c r="G120" s="13" t="e">
        <f t="shared" si="16"/>
        <v>#N/A</v>
      </c>
      <c r="H120" s="13" t="e">
        <f t="shared" si="16"/>
        <v>#N/A</v>
      </c>
      <c r="I120" s="13">
        <f t="shared" si="16"/>
        <v>-2.177142857142826</v>
      </c>
      <c r="J120" s="13" t="e">
        <f t="shared" si="17"/>
        <v>#N/A</v>
      </c>
      <c r="K120" s="13" t="e">
        <f t="shared" si="18"/>
        <v>#N/A</v>
      </c>
      <c r="L120" t="e">
        <f t="shared" ref="L120:M138" si="24">L$3+N$3*($B120-$B$54)</f>
        <v>#N/A</v>
      </c>
      <c r="M120" t="e">
        <f t="shared" si="24"/>
        <v>#N/A</v>
      </c>
    </row>
    <row r="121" spans="1:13" x14ac:dyDescent="0.25">
      <c r="A121" s="8">
        <f>A120+5/24/3600</f>
        <v>0.42609953703703596</v>
      </c>
      <c r="B121" s="4">
        <f t="shared" si="20"/>
        <v>1553300815</v>
      </c>
      <c r="D121" t="e">
        <f t="shared" si="23"/>
        <v>#N/A</v>
      </c>
      <c r="E121" t="e">
        <f t="shared" si="23"/>
        <v>#N/A</v>
      </c>
      <c r="F121">
        <f t="shared" si="23"/>
        <v>7500.2571428571428</v>
      </c>
      <c r="G121" s="13" t="e">
        <f t="shared" si="16"/>
        <v>#N/A</v>
      </c>
      <c r="H121" s="13" t="e">
        <f t="shared" si="16"/>
        <v>#N/A</v>
      </c>
      <c r="I121" s="13">
        <f t="shared" si="16"/>
        <v>-2.177142857142826</v>
      </c>
      <c r="J121" s="13" t="e">
        <f t="shared" si="17"/>
        <v>#N/A</v>
      </c>
      <c r="K121" s="13" t="e">
        <f t="shared" si="18"/>
        <v>#N/A</v>
      </c>
      <c r="L121" t="e">
        <f t="shared" si="24"/>
        <v>#N/A</v>
      </c>
      <c r="M121" t="e">
        <f t="shared" si="24"/>
        <v>#N/A</v>
      </c>
    </row>
    <row r="122" spans="1:13" x14ac:dyDescent="0.25">
      <c r="A122" s="8">
        <f t="shared" ref="A122:A138" si="25">A121+5/24/3600</f>
        <v>0.42615740740740632</v>
      </c>
      <c r="B122" s="4">
        <f t="shared" si="20"/>
        <v>1553300820</v>
      </c>
      <c r="D122" t="e">
        <f t="shared" si="23"/>
        <v>#N/A</v>
      </c>
      <c r="E122" t="e">
        <f t="shared" si="23"/>
        <v>#N/A</v>
      </c>
      <c r="F122">
        <f t="shared" si="23"/>
        <v>7489.3714285714286</v>
      </c>
      <c r="G122" s="13" t="e">
        <f t="shared" si="16"/>
        <v>#N/A</v>
      </c>
      <c r="H122" s="13" t="e">
        <f t="shared" si="16"/>
        <v>#N/A</v>
      </c>
      <c r="I122" s="13">
        <f t="shared" si="16"/>
        <v>-2.177142857142826</v>
      </c>
      <c r="J122" s="13" t="e">
        <f t="shared" si="17"/>
        <v>#N/A</v>
      </c>
      <c r="K122" s="13" t="e">
        <f t="shared" si="18"/>
        <v>#N/A</v>
      </c>
      <c r="L122" t="e">
        <f t="shared" si="24"/>
        <v>#N/A</v>
      </c>
      <c r="M122" t="e">
        <f t="shared" si="24"/>
        <v>#N/A</v>
      </c>
    </row>
    <row r="123" spans="1:13" x14ac:dyDescent="0.25">
      <c r="A123" s="8">
        <f t="shared" si="25"/>
        <v>0.42621527777777668</v>
      </c>
      <c r="B123" s="4">
        <f t="shared" si="20"/>
        <v>1553300825</v>
      </c>
      <c r="D123" t="e">
        <f t="shared" si="23"/>
        <v>#N/A</v>
      </c>
      <c r="E123" t="e">
        <f t="shared" si="23"/>
        <v>#N/A</v>
      </c>
      <c r="F123">
        <f t="shared" si="23"/>
        <v>7478.4857142857145</v>
      </c>
      <c r="G123" s="13" t="e">
        <f t="shared" si="16"/>
        <v>#N/A</v>
      </c>
      <c r="H123" s="13" t="e">
        <f t="shared" si="16"/>
        <v>#N/A</v>
      </c>
      <c r="I123" s="13">
        <f t="shared" si="16"/>
        <v>-2.177142857142826</v>
      </c>
      <c r="J123" s="13" t="e">
        <f t="shared" si="17"/>
        <v>#N/A</v>
      </c>
      <c r="K123" s="13" t="e">
        <f t="shared" si="18"/>
        <v>#N/A</v>
      </c>
      <c r="L123" t="e">
        <f t="shared" si="24"/>
        <v>#N/A</v>
      </c>
      <c r="M123" t="e">
        <f t="shared" si="24"/>
        <v>#N/A</v>
      </c>
    </row>
    <row r="124" spans="1:13" x14ac:dyDescent="0.25">
      <c r="A124" s="8">
        <f t="shared" si="25"/>
        <v>0.42627314814814704</v>
      </c>
      <c r="B124" s="4">
        <f t="shared" si="20"/>
        <v>1553300830</v>
      </c>
      <c r="D124" t="e">
        <f t="shared" si="23"/>
        <v>#N/A</v>
      </c>
      <c r="E124" t="e">
        <f t="shared" si="23"/>
        <v>#N/A</v>
      </c>
      <c r="F124">
        <f t="shared" si="23"/>
        <v>7467.6</v>
      </c>
      <c r="G124" s="13" t="e">
        <f t="shared" si="16"/>
        <v>#N/A</v>
      </c>
      <c r="H124" s="13" t="e">
        <f t="shared" si="16"/>
        <v>#N/A</v>
      </c>
      <c r="I124" s="13">
        <f t="shared" si="16"/>
        <v>-2.177142857143008</v>
      </c>
      <c r="J124" s="13" t="e">
        <f t="shared" si="17"/>
        <v>#N/A</v>
      </c>
      <c r="K124" s="13" t="e">
        <f t="shared" si="18"/>
        <v>#N/A</v>
      </c>
      <c r="L124" t="e">
        <f t="shared" si="24"/>
        <v>#N/A</v>
      </c>
      <c r="M124" t="e">
        <f t="shared" si="24"/>
        <v>#N/A</v>
      </c>
    </row>
    <row r="125" spans="1:13" x14ac:dyDescent="0.25">
      <c r="A125" s="8">
        <f t="shared" si="25"/>
        <v>0.4263310185185174</v>
      </c>
      <c r="B125" s="4">
        <f t="shared" si="20"/>
        <v>1553300835</v>
      </c>
      <c r="D125" t="e">
        <f t="shared" si="23"/>
        <v>#N/A</v>
      </c>
      <c r="E125" t="e">
        <f t="shared" si="23"/>
        <v>#N/A</v>
      </c>
      <c r="F125">
        <f t="shared" si="23"/>
        <v>7456.7142857142853</v>
      </c>
      <c r="G125" s="13" t="e">
        <f t="shared" si="16"/>
        <v>#N/A</v>
      </c>
      <c r="H125" s="13" t="e">
        <f t="shared" si="16"/>
        <v>#N/A</v>
      </c>
      <c r="I125" s="13">
        <f t="shared" si="16"/>
        <v>-2.177142857142826</v>
      </c>
      <c r="J125" s="13" t="e">
        <f t="shared" si="17"/>
        <v>#N/A</v>
      </c>
      <c r="K125" s="13" t="e">
        <f t="shared" si="18"/>
        <v>#N/A</v>
      </c>
      <c r="L125" t="e">
        <f t="shared" si="24"/>
        <v>#N/A</v>
      </c>
      <c r="M125" t="e">
        <f t="shared" si="24"/>
        <v>#N/A</v>
      </c>
    </row>
    <row r="126" spans="1:13" x14ac:dyDescent="0.25">
      <c r="A126" s="8">
        <f t="shared" si="25"/>
        <v>0.42638888888888776</v>
      </c>
      <c r="B126" s="4">
        <f t="shared" si="20"/>
        <v>1553300840</v>
      </c>
      <c r="D126" t="e">
        <f t="shared" si="23"/>
        <v>#N/A</v>
      </c>
      <c r="E126" t="e">
        <f t="shared" si="23"/>
        <v>#N/A</v>
      </c>
      <c r="F126">
        <f t="shared" si="23"/>
        <v>7445.8285714285712</v>
      </c>
      <c r="G126" s="13" t="e">
        <f t="shared" si="16"/>
        <v>#N/A</v>
      </c>
      <c r="H126" s="13" t="e">
        <f t="shared" si="16"/>
        <v>#N/A</v>
      </c>
      <c r="I126" s="13">
        <f t="shared" si="16"/>
        <v>-2.177142857142826</v>
      </c>
      <c r="J126" s="13" t="e">
        <f t="shared" si="17"/>
        <v>#N/A</v>
      </c>
      <c r="K126" s="13" t="e">
        <f t="shared" si="18"/>
        <v>#N/A</v>
      </c>
      <c r="L126" t="e">
        <f t="shared" si="24"/>
        <v>#N/A</v>
      </c>
      <c r="M126" t="e">
        <f t="shared" si="24"/>
        <v>#N/A</v>
      </c>
    </row>
    <row r="127" spans="1:13" x14ac:dyDescent="0.25">
      <c r="A127" s="8">
        <f t="shared" si="25"/>
        <v>0.42644675925925812</v>
      </c>
      <c r="B127" s="4">
        <f t="shared" si="20"/>
        <v>1553300845</v>
      </c>
      <c r="D127" t="e">
        <f t="shared" si="23"/>
        <v>#N/A</v>
      </c>
      <c r="E127" t="e">
        <f t="shared" si="23"/>
        <v>#N/A</v>
      </c>
      <c r="F127">
        <f t="shared" si="23"/>
        <v>7434.9428571428571</v>
      </c>
      <c r="G127" s="13" t="e">
        <f t="shared" si="16"/>
        <v>#N/A</v>
      </c>
      <c r="H127" s="13" t="e">
        <f t="shared" si="16"/>
        <v>#N/A</v>
      </c>
      <c r="I127" s="13">
        <f t="shared" si="16"/>
        <v>-2.177142857142826</v>
      </c>
      <c r="J127" s="13" t="e">
        <f t="shared" si="17"/>
        <v>#N/A</v>
      </c>
      <c r="K127" s="13" t="e">
        <f t="shared" si="18"/>
        <v>#N/A</v>
      </c>
      <c r="L127" t="e">
        <f t="shared" si="24"/>
        <v>#N/A</v>
      </c>
      <c r="M127" t="e">
        <f t="shared" si="24"/>
        <v>#N/A</v>
      </c>
    </row>
    <row r="128" spans="1:13" x14ac:dyDescent="0.25">
      <c r="A128" s="8">
        <f t="shared" si="25"/>
        <v>0.42650462962962848</v>
      </c>
      <c r="B128" s="4">
        <f t="shared" si="20"/>
        <v>1553300850</v>
      </c>
      <c r="D128" t="e">
        <f t="shared" si="23"/>
        <v>#N/A</v>
      </c>
      <c r="E128" t="e">
        <f t="shared" si="23"/>
        <v>#N/A</v>
      </c>
      <c r="F128">
        <f t="shared" si="23"/>
        <v>7424.0571428571429</v>
      </c>
      <c r="G128" s="13" t="e">
        <f t="shared" si="16"/>
        <v>#N/A</v>
      </c>
      <c r="H128" s="13" t="e">
        <f t="shared" si="16"/>
        <v>#N/A</v>
      </c>
      <c r="I128" s="13">
        <f t="shared" si="16"/>
        <v>-2.177142857142826</v>
      </c>
      <c r="J128" s="13" t="e">
        <f t="shared" si="17"/>
        <v>#N/A</v>
      </c>
      <c r="K128" s="13" t="e">
        <f t="shared" si="18"/>
        <v>#N/A</v>
      </c>
      <c r="L128" t="e">
        <f t="shared" si="24"/>
        <v>#N/A</v>
      </c>
      <c r="M128" t="e">
        <f t="shared" si="24"/>
        <v>#N/A</v>
      </c>
    </row>
    <row r="129" spans="1:13" x14ac:dyDescent="0.25">
      <c r="A129" s="8">
        <f t="shared" si="25"/>
        <v>0.42656249999999885</v>
      </c>
      <c r="B129" s="4">
        <f t="shared" si="20"/>
        <v>1553300855</v>
      </c>
      <c r="D129" t="e">
        <f t="shared" si="23"/>
        <v>#N/A</v>
      </c>
      <c r="E129" t="e">
        <f t="shared" si="23"/>
        <v>#N/A</v>
      </c>
      <c r="F129">
        <f t="shared" si="23"/>
        <v>7413.1714285714288</v>
      </c>
      <c r="G129" s="13" t="e">
        <f t="shared" si="16"/>
        <v>#N/A</v>
      </c>
      <c r="H129" s="13" t="e">
        <f t="shared" si="16"/>
        <v>#N/A</v>
      </c>
      <c r="I129" s="13">
        <f t="shared" si="16"/>
        <v>-2.177142857143008</v>
      </c>
      <c r="J129" s="13" t="e">
        <f t="shared" si="17"/>
        <v>#N/A</v>
      </c>
      <c r="K129" s="13" t="e">
        <f t="shared" si="18"/>
        <v>#N/A</v>
      </c>
      <c r="L129" t="e">
        <f t="shared" si="24"/>
        <v>#N/A</v>
      </c>
      <c r="M129" t="e">
        <f t="shared" si="24"/>
        <v>#N/A</v>
      </c>
    </row>
    <row r="130" spans="1:13" x14ac:dyDescent="0.25">
      <c r="A130" s="8">
        <f t="shared" si="25"/>
        <v>0.42662037037036921</v>
      </c>
      <c r="B130" s="4">
        <f t="shared" si="20"/>
        <v>1553300860</v>
      </c>
      <c r="D130" t="e">
        <f t="shared" si="23"/>
        <v>#N/A</v>
      </c>
      <c r="E130" t="e">
        <f t="shared" si="23"/>
        <v>#N/A</v>
      </c>
      <c r="F130">
        <f t="shared" si="23"/>
        <v>7402.2857142857138</v>
      </c>
      <c r="G130" s="13" t="e">
        <f t="shared" si="16"/>
        <v>#N/A</v>
      </c>
      <c r="H130" s="13" t="e">
        <f t="shared" si="16"/>
        <v>#N/A</v>
      </c>
      <c r="I130" s="13">
        <f t="shared" si="16"/>
        <v>-2.177142857142826</v>
      </c>
      <c r="J130" s="13" t="e">
        <f t="shared" si="17"/>
        <v>#N/A</v>
      </c>
      <c r="K130" s="13" t="e">
        <f t="shared" si="18"/>
        <v>#N/A</v>
      </c>
      <c r="L130" t="e">
        <f t="shared" si="24"/>
        <v>#N/A</v>
      </c>
      <c r="M130" t="e">
        <f t="shared" si="24"/>
        <v>#N/A</v>
      </c>
    </row>
    <row r="131" spans="1:13" x14ac:dyDescent="0.25">
      <c r="A131" s="8">
        <f t="shared" si="25"/>
        <v>0.42667824074073957</v>
      </c>
      <c r="B131" s="4">
        <f t="shared" si="20"/>
        <v>1553300865</v>
      </c>
      <c r="D131" t="e">
        <f t="shared" si="23"/>
        <v>#N/A</v>
      </c>
      <c r="E131" t="e">
        <f t="shared" si="23"/>
        <v>#N/A</v>
      </c>
      <c r="F131">
        <f t="shared" si="23"/>
        <v>7391.4</v>
      </c>
      <c r="G131" s="13" t="e">
        <f t="shared" si="16"/>
        <v>#N/A</v>
      </c>
      <c r="H131" s="13" t="e">
        <f t="shared" si="16"/>
        <v>#N/A</v>
      </c>
      <c r="I131" s="13">
        <f t="shared" si="16"/>
        <v>-2.177142857142826</v>
      </c>
      <c r="J131" s="13" t="e">
        <f t="shared" si="17"/>
        <v>#N/A</v>
      </c>
      <c r="K131" s="13" t="e">
        <f t="shared" si="18"/>
        <v>#N/A</v>
      </c>
      <c r="L131" t="e">
        <f t="shared" si="24"/>
        <v>#N/A</v>
      </c>
      <c r="M131" t="e">
        <f t="shared" si="24"/>
        <v>#N/A</v>
      </c>
    </row>
    <row r="132" spans="1:13" x14ac:dyDescent="0.25">
      <c r="A132" s="8">
        <f t="shared" si="25"/>
        <v>0.42673611111110993</v>
      </c>
      <c r="B132" s="4">
        <f t="shared" si="20"/>
        <v>1553300870</v>
      </c>
      <c r="D132" t="e">
        <f t="shared" si="23"/>
        <v>#N/A</v>
      </c>
      <c r="E132" t="e">
        <f t="shared" si="23"/>
        <v>#N/A</v>
      </c>
      <c r="F132">
        <f t="shared" si="23"/>
        <v>7380.5142857142855</v>
      </c>
      <c r="G132" s="13" t="e">
        <f t="shared" si="16"/>
        <v>#N/A</v>
      </c>
      <c r="H132" s="13" t="e">
        <f t="shared" si="16"/>
        <v>#N/A</v>
      </c>
      <c r="I132" s="13">
        <f t="shared" si="16"/>
        <v>-2.177142857142826</v>
      </c>
      <c r="J132" s="13" t="e">
        <f t="shared" si="17"/>
        <v>#N/A</v>
      </c>
      <c r="K132" s="13" t="e">
        <f t="shared" si="18"/>
        <v>#N/A</v>
      </c>
      <c r="L132" t="e">
        <f t="shared" si="24"/>
        <v>#N/A</v>
      </c>
      <c r="M132" t="e">
        <f t="shared" si="24"/>
        <v>#N/A</v>
      </c>
    </row>
    <row r="133" spans="1:13" x14ac:dyDescent="0.25">
      <c r="A133" s="8">
        <f t="shared" si="25"/>
        <v>0.42679398148148029</v>
      </c>
      <c r="B133" s="4">
        <f t="shared" si="20"/>
        <v>1553300875</v>
      </c>
      <c r="D133" t="e">
        <f t="shared" si="23"/>
        <v>#N/A</v>
      </c>
      <c r="E133" t="e">
        <f t="shared" si="23"/>
        <v>#N/A</v>
      </c>
      <c r="F133">
        <f t="shared" si="23"/>
        <v>7369.6285714285714</v>
      </c>
      <c r="G133" s="13" t="e">
        <f t="shared" si="16"/>
        <v>#N/A</v>
      </c>
      <c r="H133" s="13" t="e">
        <f t="shared" si="16"/>
        <v>#N/A</v>
      </c>
      <c r="I133" s="13">
        <f t="shared" si="16"/>
        <v>-2.177142857142826</v>
      </c>
      <c r="J133" s="13" t="e">
        <f t="shared" si="17"/>
        <v>#N/A</v>
      </c>
      <c r="K133" s="13" t="e">
        <f t="shared" si="18"/>
        <v>#N/A</v>
      </c>
      <c r="L133" t="e">
        <f t="shared" si="24"/>
        <v>#N/A</v>
      </c>
      <c r="M133" t="e">
        <f t="shared" si="24"/>
        <v>#N/A</v>
      </c>
    </row>
    <row r="134" spans="1:13" x14ac:dyDescent="0.25">
      <c r="A134" s="8">
        <f t="shared" si="25"/>
        <v>0.42685185185185065</v>
      </c>
      <c r="B134" s="4">
        <f t="shared" si="20"/>
        <v>1553300880</v>
      </c>
      <c r="D134" t="e">
        <f t="shared" si="23"/>
        <v>#N/A</v>
      </c>
      <c r="E134" t="e">
        <f t="shared" si="23"/>
        <v>#N/A</v>
      </c>
      <c r="F134">
        <f t="shared" si="23"/>
        <v>7358.7428571428572</v>
      </c>
      <c r="G134" s="13" t="e">
        <f t="shared" si="16"/>
        <v>#N/A</v>
      </c>
      <c r="H134" s="13" t="e">
        <f t="shared" si="16"/>
        <v>#N/A</v>
      </c>
      <c r="I134" s="13">
        <f t="shared" si="16"/>
        <v>-2.177142857142826</v>
      </c>
      <c r="J134" s="13" t="e">
        <f t="shared" si="17"/>
        <v>#N/A</v>
      </c>
      <c r="K134" s="13" t="e">
        <f t="shared" si="18"/>
        <v>#N/A</v>
      </c>
      <c r="L134" t="e">
        <f t="shared" si="24"/>
        <v>#N/A</v>
      </c>
      <c r="M134" t="e">
        <f t="shared" si="24"/>
        <v>#N/A</v>
      </c>
    </row>
    <row r="135" spans="1:13" x14ac:dyDescent="0.25">
      <c r="A135" s="8">
        <f t="shared" si="25"/>
        <v>0.42690972222222101</v>
      </c>
      <c r="B135" s="4">
        <f t="shared" si="20"/>
        <v>1553300885</v>
      </c>
      <c r="D135" t="e">
        <f t="shared" si="23"/>
        <v>#N/A</v>
      </c>
      <c r="E135" t="e">
        <f t="shared" si="23"/>
        <v>#N/A</v>
      </c>
      <c r="F135">
        <f t="shared" si="23"/>
        <v>7347.8571428571431</v>
      </c>
      <c r="G135" s="13" t="e">
        <f t="shared" ref="G135:I137" si="26">(D136-D135)/($B136-$B135)</f>
        <v>#N/A</v>
      </c>
      <c r="H135" s="13" t="e">
        <f t="shared" si="26"/>
        <v>#N/A</v>
      </c>
      <c r="I135" s="13">
        <f t="shared" si="26"/>
        <v>-2.177142857143008</v>
      </c>
      <c r="J135" s="13" t="e">
        <f t="shared" ref="J135:J137" si="27">SQRT(G135*G135+H135*H135)</f>
        <v>#N/A</v>
      </c>
      <c r="K135" s="13" t="e">
        <f t="shared" ref="K135:K137" si="28">DEGREES(ATAN2(H135,G135))</f>
        <v>#N/A</v>
      </c>
      <c r="L135" t="e">
        <f t="shared" si="24"/>
        <v>#N/A</v>
      </c>
      <c r="M135" t="e">
        <f t="shared" si="24"/>
        <v>#N/A</v>
      </c>
    </row>
    <row r="136" spans="1:13" x14ac:dyDescent="0.25">
      <c r="A136" s="8">
        <f t="shared" si="25"/>
        <v>0.42696759259259137</v>
      </c>
      <c r="B136" s="4">
        <f t="shared" si="20"/>
        <v>1553300890</v>
      </c>
      <c r="D136" t="e">
        <f t="shared" si="23"/>
        <v>#N/A</v>
      </c>
      <c r="E136" t="e">
        <f t="shared" si="23"/>
        <v>#N/A</v>
      </c>
      <c r="F136">
        <f t="shared" si="23"/>
        <v>7336.9714285714281</v>
      </c>
      <c r="G136" s="13" t="e">
        <f t="shared" si="26"/>
        <v>#N/A</v>
      </c>
      <c r="H136" s="13" t="e">
        <f t="shared" si="26"/>
        <v>#N/A</v>
      </c>
      <c r="I136" s="13">
        <f t="shared" si="26"/>
        <v>-2.177142857142826</v>
      </c>
      <c r="J136" s="13" t="e">
        <f t="shared" si="27"/>
        <v>#N/A</v>
      </c>
      <c r="K136" s="13" t="e">
        <f t="shared" si="28"/>
        <v>#N/A</v>
      </c>
      <c r="L136" t="e">
        <f t="shared" si="24"/>
        <v>#N/A</v>
      </c>
      <c r="M136" t="e">
        <f t="shared" si="24"/>
        <v>#N/A</v>
      </c>
    </row>
    <row r="137" spans="1:13" x14ac:dyDescent="0.25">
      <c r="A137" s="8">
        <f t="shared" si="25"/>
        <v>0.42702546296296173</v>
      </c>
      <c r="B137" s="4">
        <f t="shared" ref="B137:B138" si="29">B136+SECOND(A137-A136)</f>
        <v>1553300895</v>
      </c>
      <c r="D137" t="e">
        <f t="shared" si="23"/>
        <v>#N/A</v>
      </c>
      <c r="E137" t="e">
        <f t="shared" si="23"/>
        <v>#N/A</v>
      </c>
      <c r="F137">
        <f t="shared" si="23"/>
        <v>7326.0857142857139</v>
      </c>
      <c r="G137" s="13" t="e">
        <f t="shared" si="26"/>
        <v>#N/A</v>
      </c>
      <c r="H137" s="13" t="e">
        <f t="shared" si="26"/>
        <v>#N/A</v>
      </c>
      <c r="I137" s="13">
        <f t="shared" si="26"/>
        <v>-2.177142857142826</v>
      </c>
      <c r="J137" s="13" t="e">
        <f t="shared" si="27"/>
        <v>#N/A</v>
      </c>
      <c r="K137" s="13" t="e">
        <f t="shared" si="28"/>
        <v>#N/A</v>
      </c>
      <c r="L137" t="e">
        <f t="shared" si="24"/>
        <v>#N/A</v>
      </c>
      <c r="M137" t="e">
        <f t="shared" si="24"/>
        <v>#N/A</v>
      </c>
    </row>
    <row r="138" spans="1:13" x14ac:dyDescent="0.25">
      <c r="A138" s="9">
        <f t="shared" si="25"/>
        <v>0.42708333333333209</v>
      </c>
      <c r="B138" s="4">
        <f t="shared" si="29"/>
        <v>1553300900</v>
      </c>
      <c r="D138" t="e">
        <f>D$4+G$4*($B138-$B$138)</f>
        <v>#N/A</v>
      </c>
      <c r="E138" t="e">
        <f>E$4+H$4*($B138-$B$138)</f>
        <v>#N/A</v>
      </c>
      <c r="F138">
        <f>F$4+I$4*($B138-$B$138)</f>
        <v>7315.2</v>
      </c>
      <c r="G138" s="13" t="e">
        <f>G137</f>
        <v>#N/A</v>
      </c>
      <c r="H138" s="13" t="e">
        <f t="shared" ref="H138:K138" si="30">H137</f>
        <v>#N/A</v>
      </c>
      <c r="I138" s="13">
        <f t="shared" si="30"/>
        <v>-2.177142857142826</v>
      </c>
      <c r="J138" s="13" t="e">
        <f t="shared" si="30"/>
        <v>#N/A</v>
      </c>
      <c r="K138" s="13" t="e">
        <f t="shared" si="30"/>
        <v>#N/A</v>
      </c>
      <c r="L138" t="e">
        <f t="shared" si="24"/>
        <v>#N/A</v>
      </c>
      <c r="M138" t="e">
        <f t="shared" si="24"/>
        <v>#N/A</v>
      </c>
    </row>
    <row r="139" spans="1:13" x14ac:dyDescent="0.25">
      <c r="A139" t="s">
        <v>48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163"/>
  <sheetViews>
    <sheetView topLeftCell="A73" workbookViewId="0">
      <selection activeCell="G90" sqref="G90"/>
    </sheetView>
  </sheetViews>
  <sheetFormatPr defaultRowHeight="15" x14ac:dyDescent="0.25"/>
  <cols>
    <col min="2" max="2" width="11" bestFit="1" customWidth="1"/>
    <col min="3" max="3" width="4" bestFit="1" customWidth="1"/>
    <col min="4" max="4" width="4" customWidth="1"/>
  </cols>
  <sheetData>
    <row r="1" spans="1:16" x14ac:dyDescent="0.25">
      <c r="A1" t="s">
        <v>19</v>
      </c>
      <c r="B1">
        <v>424202</v>
      </c>
      <c r="C1" t="s">
        <v>29</v>
      </c>
      <c r="E1" t="s">
        <v>21</v>
      </c>
      <c r="F1" t="s">
        <v>22</v>
      </c>
      <c r="G1" t="s">
        <v>30</v>
      </c>
      <c r="H1" t="s">
        <v>44</v>
      </c>
      <c r="I1" t="s">
        <v>45</v>
      </c>
      <c r="J1" t="s">
        <v>47</v>
      </c>
      <c r="K1" t="s">
        <v>43</v>
      </c>
      <c r="L1" t="s">
        <v>46</v>
      </c>
      <c r="M1" t="s">
        <v>50</v>
      </c>
      <c r="N1" t="s">
        <v>51</v>
      </c>
      <c r="O1" t="s">
        <v>81</v>
      </c>
      <c r="P1" t="s">
        <v>82</v>
      </c>
    </row>
    <row r="2" spans="1:16" x14ac:dyDescent="0.25">
      <c r="A2" s="1">
        <v>0.42152777777777778</v>
      </c>
      <c r="B2" t="s">
        <v>1</v>
      </c>
      <c r="C2">
        <v>270</v>
      </c>
      <c r="E2" t="e">
        <f>VLOOKUP($B2,Beacons!$A$7:$J$47,9,FALSE)</f>
        <v>#N/A</v>
      </c>
      <c r="F2" t="e">
        <f>VLOOKUP($B2,Beacons!$A$7:$J$47,10,FALSE)</f>
        <v>#N/A</v>
      </c>
      <c r="G2">
        <f>C2*Beacons!$R$2</f>
        <v>8229.6</v>
      </c>
      <c r="H2" s="13" t="e">
        <f t="shared" ref="H2:J3" si="0">(E3-E2)/(MINUTE($A3-$A2)*60+SECOND($A3-$A2))</f>
        <v>#N/A</v>
      </c>
      <c r="I2" s="13" t="e">
        <f t="shared" si="0"/>
        <v>#N/A</v>
      </c>
      <c r="J2" s="13">
        <f t="shared" si="0"/>
        <v>0</v>
      </c>
      <c r="K2" s="13" t="e">
        <f>SQRT(H2*H2+I2*I2)</f>
        <v>#N/A</v>
      </c>
      <c r="L2" s="13" t="e">
        <f>DEGREES(ATAN2(I2,H2))</f>
        <v>#N/A</v>
      </c>
      <c r="M2" s="11" t="e">
        <f>VLOOKUP($B2,Beacons!$A$7:$J$47,7,FALSE)</f>
        <v>#N/A</v>
      </c>
      <c r="N2" s="11" t="e">
        <f>VLOOKUP($B2,Beacons!$A$7:$J$47,6,FALSE)</f>
        <v>#N/A</v>
      </c>
      <c r="O2" s="14" t="e">
        <f>(M3-M2)/(MINUTE($A3-$A2)*60+SECOND($A3-$A2))</f>
        <v>#N/A</v>
      </c>
      <c r="P2" s="14" t="e">
        <f>(N3-N2)/(MINUTE($A3-$A2)*60+SECOND($A3-$A2))</f>
        <v>#N/A</v>
      </c>
    </row>
    <row r="3" spans="1:16" x14ac:dyDescent="0.25">
      <c r="A3" s="1">
        <v>0.42638888888888887</v>
      </c>
      <c r="B3" s="1" t="s">
        <v>2</v>
      </c>
      <c r="C3">
        <v>270</v>
      </c>
      <c r="E3" t="e">
        <f>VLOOKUP($B3,Beacons!$A$7:$J$47,9,FALSE)</f>
        <v>#N/A</v>
      </c>
      <c r="F3" t="e">
        <f>VLOOKUP($B3,Beacons!$A$7:$J$47,10,FALSE)</f>
        <v>#N/A</v>
      </c>
      <c r="G3">
        <f>C3*Beacons!$R$2</f>
        <v>8229.6</v>
      </c>
      <c r="H3" s="13" t="e">
        <f t="shared" si="0"/>
        <v>#N/A</v>
      </c>
      <c r="I3" s="13" t="e">
        <f t="shared" si="0"/>
        <v>#N/A</v>
      </c>
      <c r="J3" s="13">
        <f t="shared" si="0"/>
        <v>0</v>
      </c>
      <c r="K3" s="13" t="e">
        <f>SQRT(H3*H3+I3*I3)</f>
        <v>#N/A</v>
      </c>
      <c r="L3" s="13" t="e">
        <f>DEGREES(ATAN2(I3,H3))</f>
        <v>#N/A</v>
      </c>
      <c r="M3" s="11" t="e">
        <f>VLOOKUP($B3,Beacons!$A$7:$J$47,7,FALSE)</f>
        <v>#N/A</v>
      </c>
      <c r="N3" s="11" t="e">
        <f>VLOOKUP($B3,Beacons!$A$7:$J$47,6,FALSE)</f>
        <v>#N/A</v>
      </c>
      <c r="O3" s="14" t="e">
        <f>(M4-M3)/(MINUTE($A4-$A3)*60+SECOND($A4-$A3))</f>
        <v>#N/A</v>
      </c>
      <c r="P3" s="14" t="e">
        <f>(N4-N3)/(MINUTE($A4-$A3)*60+SECOND($A4-$A3))</f>
        <v>#N/A</v>
      </c>
    </row>
    <row r="4" spans="1:16" x14ac:dyDescent="0.25">
      <c r="A4" s="1">
        <v>0.43055555555555558</v>
      </c>
      <c r="B4" t="s">
        <v>5</v>
      </c>
      <c r="C4">
        <v>270</v>
      </c>
      <c r="E4" t="e">
        <f>VLOOKUP($B4,Beacons!$A$7:$J$47,9,FALSE)</f>
        <v>#N/A</v>
      </c>
      <c r="F4" t="e">
        <f>VLOOKUP($B4,Beacons!$A$7:$J$47,10,FALSE)</f>
        <v>#N/A</v>
      </c>
      <c r="G4">
        <f>C4*Beacons!$R$2</f>
        <v>8229.6</v>
      </c>
      <c r="M4" s="11" t="e">
        <f>VLOOKUP($B4,Beacons!$A$7:$J$47,7,FALSE)</f>
        <v>#N/A</v>
      </c>
      <c r="N4" s="11" t="e">
        <f>VLOOKUP($B4,Beacons!$A$7:$J$47,6,FALSE)</f>
        <v>#N/A</v>
      </c>
    </row>
    <row r="5" spans="1:16" x14ac:dyDescent="0.25">
      <c r="A5" t="s">
        <v>49</v>
      </c>
      <c r="B5" s="8"/>
      <c r="E5" t="s">
        <v>21</v>
      </c>
      <c r="F5" t="s">
        <v>22</v>
      </c>
      <c r="G5" t="s">
        <v>30</v>
      </c>
      <c r="M5" t="s">
        <v>50</v>
      </c>
      <c r="N5" t="s">
        <v>51</v>
      </c>
    </row>
    <row r="6" spans="1:16" x14ac:dyDescent="0.25">
      <c r="A6" s="8">
        <f>A2</f>
        <v>0.42152777777777778</v>
      </c>
      <c r="B6" s="4">
        <f>Params!D27+MINUTE(A6-Params!C27)*60+SECOND(A6-Params!C27)</f>
        <v>1553300420</v>
      </c>
      <c r="C6">
        <v>2</v>
      </c>
      <c r="D6">
        <v>6</v>
      </c>
      <c r="E6" t="e">
        <f ca="1">INDIRECT("E$"&amp;C6)+INDIRECT("H$"&amp;C6)*($B6-INDIRECT("B$"&amp;D6))</f>
        <v>#N/A</v>
      </c>
      <c r="F6" t="e">
        <f ca="1">INDIRECT("F$"&amp;C6)+INDIRECT("I$"&amp;C6)*($B6-INDIRECT("B$"&amp;D6))</f>
        <v>#N/A</v>
      </c>
      <c r="G6">
        <f ca="1">INDIRECT("G$"&amp;C6)+INDIRECT("J$"&amp;C6)*($B6-INDIRECT("B$"&amp;D6))</f>
        <v>8229.6</v>
      </c>
      <c r="H6" s="13" t="e">
        <f ca="1">(E7-E6)/($B7-$B6)</f>
        <v>#N/A</v>
      </c>
      <c r="I6" s="13" t="e">
        <f ca="1">(F7-F6)/($B7-$B6)</f>
        <v>#N/A</v>
      </c>
      <c r="J6" s="13">
        <f ca="1">(G7-G6)/($B7-$B6)</f>
        <v>0</v>
      </c>
      <c r="K6" s="13" t="e">
        <f ca="1">SQRT(H6*H6+I6*I6)</f>
        <v>#N/A</v>
      </c>
      <c r="L6" s="13" t="e">
        <f ca="1">DEGREES(ATAN2(I6,H6))</f>
        <v>#N/A</v>
      </c>
      <c r="M6" t="e">
        <f ca="1">INDIRECT("M$"&amp;C6)+INDIRECT("O$"&amp;C6)*($B6-INDIRECT("B$"&amp;D6))</f>
        <v>#N/A</v>
      </c>
      <c r="N6" t="e">
        <f ca="1">INDIRECT("N$"&amp;C6)+INDIRECT("P$"&amp;C6)*($B6-INDIRECT("B$"&amp;D6))</f>
        <v>#N/A</v>
      </c>
    </row>
    <row r="7" spans="1:16" x14ac:dyDescent="0.25">
      <c r="A7" s="8">
        <f>A6+5/24/3600</f>
        <v>0.42158564814814814</v>
      </c>
      <c r="B7" s="4">
        <f>B6+SECOND(A7-A6)</f>
        <v>1553300425</v>
      </c>
      <c r="C7">
        <v>2</v>
      </c>
      <c r="D7">
        <v>6</v>
      </c>
      <c r="E7" t="e">
        <f ca="1">INDIRECT("E$"&amp;C7)+INDIRECT("H$"&amp;C7)*($B7-INDIRECT("B$"&amp;D7))</f>
        <v>#N/A</v>
      </c>
      <c r="F7" t="e">
        <f ca="1">INDIRECT("F$"&amp;C7)+INDIRECT("I$"&amp;C7)*($B7-INDIRECT("B$"&amp;D7))</f>
        <v>#N/A</v>
      </c>
      <c r="G7">
        <f t="shared" ref="G7:G8" ca="1" si="1">INDIRECT("G$"&amp;C7)+INDIRECT("J$"&amp;C7)*($B7-INDIRECT("B$"&amp;D7))</f>
        <v>8229.6</v>
      </c>
      <c r="H7" s="13" t="e">
        <f t="shared" ref="H7:J51" ca="1" si="2">(E8-E7)/($B8-$B7)</f>
        <v>#N/A</v>
      </c>
      <c r="I7" s="13" t="e">
        <f t="shared" ca="1" si="2"/>
        <v>#N/A</v>
      </c>
      <c r="J7" s="13">
        <f t="shared" ca="1" si="2"/>
        <v>0</v>
      </c>
      <c r="K7" s="13" t="e">
        <f t="shared" ref="K7:K51" ca="1" si="3">SQRT(H7*H7+I7*I7)</f>
        <v>#N/A</v>
      </c>
      <c r="L7" s="13" t="e">
        <f t="shared" ref="L7:L51" ca="1" si="4">DEGREES(ATAN2(I7,H7))</f>
        <v>#N/A</v>
      </c>
      <c r="M7" t="e">
        <f t="shared" ref="M7:M70" ca="1" si="5">INDIRECT("M$"&amp;C7)+INDIRECT("O$"&amp;C7)*($B7-INDIRECT("B$"&amp;D7))</f>
        <v>#N/A</v>
      </c>
      <c r="N7" t="e">
        <f t="shared" ref="N7:N70" ca="1" si="6">INDIRECT("N$"&amp;C7)+INDIRECT("P$"&amp;C7)*($B7-INDIRECT("B$"&amp;D7))</f>
        <v>#N/A</v>
      </c>
    </row>
    <row r="8" spans="1:16" x14ac:dyDescent="0.25">
      <c r="A8" s="8">
        <f>A7+5/24/3600</f>
        <v>0.4216435185185185</v>
      </c>
      <c r="B8" s="4">
        <f>B7+SECOND(A8-A7)</f>
        <v>1553300430</v>
      </c>
      <c r="C8">
        <v>2</v>
      </c>
      <c r="D8">
        <v>6</v>
      </c>
      <c r="E8" t="e">
        <f t="shared" ref="E8:E35" ca="1" si="7">INDIRECT("E$"&amp;C8)+INDIRECT("H$"&amp;C8)*($B8-INDIRECT("B$"&amp;D8))</f>
        <v>#N/A</v>
      </c>
      <c r="F8" t="e">
        <f t="shared" ref="F8:F35" ca="1" si="8">INDIRECT("F$"&amp;C8)+INDIRECT("I$"&amp;C8)*($B8-INDIRECT("B$"&amp;D8))</f>
        <v>#N/A</v>
      </c>
      <c r="G8">
        <f t="shared" ca="1" si="1"/>
        <v>8229.6</v>
      </c>
      <c r="H8" s="13" t="e">
        <f t="shared" ca="1" si="2"/>
        <v>#N/A</v>
      </c>
      <c r="I8" s="13" t="e">
        <f t="shared" ca="1" si="2"/>
        <v>#N/A</v>
      </c>
      <c r="J8" s="13">
        <f t="shared" ca="1" si="2"/>
        <v>0</v>
      </c>
      <c r="K8" s="13" t="e">
        <f t="shared" ca="1" si="3"/>
        <v>#N/A</v>
      </c>
      <c r="L8" s="13" t="e">
        <f t="shared" ca="1" si="4"/>
        <v>#N/A</v>
      </c>
      <c r="M8" t="e">
        <f t="shared" ca="1" si="5"/>
        <v>#N/A</v>
      </c>
      <c r="N8" t="e">
        <f t="shared" ca="1" si="6"/>
        <v>#N/A</v>
      </c>
    </row>
    <row r="9" spans="1:16" x14ac:dyDescent="0.25">
      <c r="A9" s="8">
        <f t="shared" ref="A9:A72" si="9">A8+5/24/3600</f>
        <v>0.42170138888888886</v>
      </c>
      <c r="B9" s="4">
        <f t="shared" ref="B9:B72" si="10">B8+SECOND(A9-A8)</f>
        <v>1553300435</v>
      </c>
      <c r="C9">
        <v>2</v>
      </c>
      <c r="D9">
        <v>6</v>
      </c>
      <c r="E9" t="e">
        <f t="shared" ca="1" si="7"/>
        <v>#N/A</v>
      </c>
      <c r="F9" t="e">
        <f t="shared" ca="1" si="8"/>
        <v>#N/A</v>
      </c>
      <c r="G9">
        <f t="shared" ref="G9:G36" ca="1" si="11">INDIRECT("G$"&amp;C9)+INDIRECT("J$"&amp;C9)*($B9-INDIRECT("B$"&amp;D9))</f>
        <v>8229.6</v>
      </c>
      <c r="H9" s="13" t="e">
        <f t="shared" ca="1" si="2"/>
        <v>#N/A</v>
      </c>
      <c r="I9" s="13" t="e">
        <f t="shared" ca="1" si="2"/>
        <v>#N/A</v>
      </c>
      <c r="J9" s="13">
        <f t="shared" ca="1" si="2"/>
        <v>0</v>
      </c>
      <c r="K9" s="13" t="e">
        <f t="shared" ca="1" si="3"/>
        <v>#N/A</v>
      </c>
      <c r="L9" s="13" t="e">
        <f t="shared" ca="1" si="4"/>
        <v>#N/A</v>
      </c>
      <c r="M9" t="e">
        <f t="shared" ca="1" si="5"/>
        <v>#N/A</v>
      </c>
      <c r="N9" t="e">
        <f t="shared" ca="1" si="6"/>
        <v>#N/A</v>
      </c>
    </row>
    <row r="10" spans="1:16" x14ac:dyDescent="0.25">
      <c r="A10" s="8">
        <f t="shared" si="9"/>
        <v>0.42175925925925922</v>
      </c>
      <c r="B10" s="4">
        <f t="shared" si="10"/>
        <v>1553300440</v>
      </c>
      <c r="C10">
        <v>2</v>
      </c>
      <c r="D10">
        <v>6</v>
      </c>
      <c r="E10" t="e">
        <f t="shared" ca="1" si="7"/>
        <v>#N/A</v>
      </c>
      <c r="F10" t="e">
        <f t="shared" ca="1" si="8"/>
        <v>#N/A</v>
      </c>
      <c r="G10">
        <f t="shared" ca="1" si="11"/>
        <v>8229.6</v>
      </c>
      <c r="H10" s="13" t="e">
        <f t="shared" ca="1" si="2"/>
        <v>#N/A</v>
      </c>
      <c r="I10" s="13" t="e">
        <f t="shared" ca="1" si="2"/>
        <v>#N/A</v>
      </c>
      <c r="J10" s="13">
        <f t="shared" ca="1" si="2"/>
        <v>0</v>
      </c>
      <c r="K10" s="13" t="e">
        <f t="shared" ca="1" si="3"/>
        <v>#N/A</v>
      </c>
      <c r="L10" s="13" t="e">
        <f t="shared" ca="1" si="4"/>
        <v>#N/A</v>
      </c>
      <c r="M10" t="e">
        <f t="shared" ca="1" si="5"/>
        <v>#N/A</v>
      </c>
      <c r="N10" t="e">
        <f t="shared" ca="1" si="6"/>
        <v>#N/A</v>
      </c>
    </row>
    <row r="11" spans="1:16" x14ac:dyDescent="0.25">
      <c r="A11" s="8">
        <f t="shared" si="9"/>
        <v>0.42181712962962958</v>
      </c>
      <c r="B11" s="4">
        <f t="shared" si="10"/>
        <v>1553300445</v>
      </c>
      <c r="C11">
        <v>2</v>
      </c>
      <c r="D11">
        <v>6</v>
      </c>
      <c r="E11" t="e">
        <f t="shared" ca="1" si="7"/>
        <v>#N/A</v>
      </c>
      <c r="F11" t="e">
        <f t="shared" ca="1" si="8"/>
        <v>#N/A</v>
      </c>
      <c r="G11">
        <f t="shared" ca="1" si="11"/>
        <v>8229.6</v>
      </c>
      <c r="H11" s="13" t="e">
        <f t="shared" ca="1" si="2"/>
        <v>#N/A</v>
      </c>
      <c r="I11" s="13" t="e">
        <f t="shared" ca="1" si="2"/>
        <v>#N/A</v>
      </c>
      <c r="J11" s="13">
        <f t="shared" ca="1" si="2"/>
        <v>0</v>
      </c>
      <c r="K11" s="13" t="e">
        <f t="shared" ca="1" si="3"/>
        <v>#N/A</v>
      </c>
      <c r="L11" s="13" t="e">
        <f t="shared" ca="1" si="4"/>
        <v>#N/A</v>
      </c>
      <c r="M11" t="e">
        <f t="shared" ca="1" si="5"/>
        <v>#N/A</v>
      </c>
      <c r="N11" t="e">
        <f t="shared" ca="1" si="6"/>
        <v>#N/A</v>
      </c>
    </row>
    <row r="12" spans="1:16" x14ac:dyDescent="0.25">
      <c r="A12" s="8">
        <f t="shared" si="9"/>
        <v>0.42187499999999994</v>
      </c>
      <c r="B12" s="4">
        <f t="shared" si="10"/>
        <v>1553300450</v>
      </c>
      <c r="C12">
        <v>2</v>
      </c>
      <c r="D12">
        <v>6</v>
      </c>
      <c r="E12" t="e">
        <f t="shared" ca="1" si="7"/>
        <v>#N/A</v>
      </c>
      <c r="F12" t="e">
        <f t="shared" ca="1" si="8"/>
        <v>#N/A</v>
      </c>
      <c r="G12">
        <f t="shared" ca="1" si="11"/>
        <v>8229.6</v>
      </c>
      <c r="H12" s="13" t="e">
        <f t="shared" ca="1" si="2"/>
        <v>#N/A</v>
      </c>
      <c r="I12" s="13" t="e">
        <f t="shared" ca="1" si="2"/>
        <v>#N/A</v>
      </c>
      <c r="J12" s="13">
        <f t="shared" ca="1" si="2"/>
        <v>0</v>
      </c>
      <c r="K12" s="13" t="e">
        <f t="shared" ca="1" si="3"/>
        <v>#N/A</v>
      </c>
      <c r="L12" s="13" t="e">
        <f t="shared" ca="1" si="4"/>
        <v>#N/A</v>
      </c>
      <c r="M12" t="e">
        <f t="shared" ca="1" si="5"/>
        <v>#N/A</v>
      </c>
      <c r="N12" t="e">
        <f t="shared" ca="1" si="6"/>
        <v>#N/A</v>
      </c>
    </row>
    <row r="13" spans="1:16" x14ac:dyDescent="0.25">
      <c r="A13" s="8">
        <f t="shared" si="9"/>
        <v>0.42193287037037031</v>
      </c>
      <c r="B13" s="4">
        <f t="shared" si="10"/>
        <v>1553300455</v>
      </c>
      <c r="C13">
        <v>2</v>
      </c>
      <c r="D13">
        <v>6</v>
      </c>
      <c r="E13" t="e">
        <f t="shared" ca="1" si="7"/>
        <v>#N/A</v>
      </c>
      <c r="F13" t="e">
        <f t="shared" ca="1" si="8"/>
        <v>#N/A</v>
      </c>
      <c r="G13">
        <f t="shared" ca="1" si="11"/>
        <v>8229.6</v>
      </c>
      <c r="H13" s="13" t="e">
        <f t="shared" ca="1" si="2"/>
        <v>#N/A</v>
      </c>
      <c r="I13" s="13" t="e">
        <f t="shared" ca="1" si="2"/>
        <v>#N/A</v>
      </c>
      <c r="J13" s="13">
        <f t="shared" ca="1" si="2"/>
        <v>0</v>
      </c>
      <c r="K13" s="13" t="e">
        <f t="shared" ca="1" si="3"/>
        <v>#N/A</v>
      </c>
      <c r="L13" s="13" t="e">
        <f t="shared" ca="1" si="4"/>
        <v>#N/A</v>
      </c>
      <c r="M13" t="e">
        <f t="shared" ca="1" si="5"/>
        <v>#N/A</v>
      </c>
      <c r="N13" t="e">
        <f t="shared" ca="1" si="6"/>
        <v>#N/A</v>
      </c>
    </row>
    <row r="14" spans="1:16" x14ac:dyDescent="0.25">
      <c r="A14" s="8">
        <f t="shared" si="9"/>
        <v>0.42199074074074067</v>
      </c>
      <c r="B14" s="4">
        <f t="shared" si="10"/>
        <v>1553300460</v>
      </c>
      <c r="C14">
        <v>2</v>
      </c>
      <c r="D14">
        <v>6</v>
      </c>
      <c r="E14" t="e">
        <f t="shared" ca="1" si="7"/>
        <v>#N/A</v>
      </c>
      <c r="F14" t="e">
        <f t="shared" ca="1" si="8"/>
        <v>#N/A</v>
      </c>
      <c r="G14">
        <f t="shared" ca="1" si="11"/>
        <v>8229.6</v>
      </c>
      <c r="H14" s="13" t="e">
        <f t="shared" ca="1" si="2"/>
        <v>#N/A</v>
      </c>
      <c r="I14" s="13" t="e">
        <f t="shared" ca="1" si="2"/>
        <v>#N/A</v>
      </c>
      <c r="J14" s="13">
        <f t="shared" ca="1" si="2"/>
        <v>0</v>
      </c>
      <c r="K14" s="13" t="e">
        <f t="shared" ca="1" si="3"/>
        <v>#N/A</v>
      </c>
      <c r="L14" s="13" t="e">
        <f t="shared" ca="1" si="4"/>
        <v>#N/A</v>
      </c>
      <c r="M14" t="e">
        <f t="shared" ca="1" si="5"/>
        <v>#N/A</v>
      </c>
      <c r="N14" t="e">
        <f t="shared" ca="1" si="6"/>
        <v>#N/A</v>
      </c>
    </row>
    <row r="15" spans="1:16" x14ac:dyDescent="0.25">
      <c r="A15" s="8">
        <f t="shared" si="9"/>
        <v>0.42204861111111103</v>
      </c>
      <c r="B15" s="4">
        <f t="shared" si="10"/>
        <v>1553300465</v>
      </c>
      <c r="C15">
        <v>2</v>
      </c>
      <c r="D15">
        <v>6</v>
      </c>
      <c r="E15" t="e">
        <f t="shared" ca="1" si="7"/>
        <v>#N/A</v>
      </c>
      <c r="F15" t="e">
        <f t="shared" ca="1" si="8"/>
        <v>#N/A</v>
      </c>
      <c r="G15">
        <f t="shared" ca="1" si="11"/>
        <v>8229.6</v>
      </c>
      <c r="H15" s="13" t="e">
        <f t="shared" ca="1" si="2"/>
        <v>#N/A</v>
      </c>
      <c r="I15" s="13" t="e">
        <f t="shared" ca="1" si="2"/>
        <v>#N/A</v>
      </c>
      <c r="J15" s="13">
        <f t="shared" ca="1" si="2"/>
        <v>0</v>
      </c>
      <c r="K15" s="13" t="e">
        <f t="shared" ca="1" si="3"/>
        <v>#N/A</v>
      </c>
      <c r="L15" s="13" t="e">
        <f t="shared" ca="1" si="4"/>
        <v>#N/A</v>
      </c>
      <c r="M15" t="e">
        <f t="shared" ca="1" si="5"/>
        <v>#N/A</v>
      </c>
      <c r="N15" t="e">
        <f t="shared" ca="1" si="6"/>
        <v>#N/A</v>
      </c>
    </row>
    <row r="16" spans="1:16" x14ac:dyDescent="0.25">
      <c r="A16" s="8">
        <f t="shared" si="9"/>
        <v>0.42210648148148139</v>
      </c>
      <c r="B16" s="4">
        <f t="shared" si="10"/>
        <v>1553300470</v>
      </c>
      <c r="C16">
        <v>2</v>
      </c>
      <c r="D16">
        <v>6</v>
      </c>
      <c r="E16" t="e">
        <f t="shared" ca="1" si="7"/>
        <v>#N/A</v>
      </c>
      <c r="F16" t="e">
        <f t="shared" ca="1" si="8"/>
        <v>#N/A</v>
      </c>
      <c r="G16">
        <f t="shared" ca="1" si="11"/>
        <v>8229.6</v>
      </c>
      <c r="H16" s="13" t="e">
        <f t="shared" ca="1" si="2"/>
        <v>#N/A</v>
      </c>
      <c r="I16" s="13" t="e">
        <f t="shared" ca="1" si="2"/>
        <v>#N/A</v>
      </c>
      <c r="J16" s="13">
        <f t="shared" ca="1" si="2"/>
        <v>0</v>
      </c>
      <c r="K16" s="13" t="e">
        <f t="shared" ca="1" si="3"/>
        <v>#N/A</v>
      </c>
      <c r="L16" s="13" t="e">
        <f t="shared" ca="1" si="4"/>
        <v>#N/A</v>
      </c>
      <c r="M16" t="e">
        <f t="shared" ca="1" si="5"/>
        <v>#N/A</v>
      </c>
      <c r="N16" t="e">
        <f t="shared" ca="1" si="6"/>
        <v>#N/A</v>
      </c>
    </row>
    <row r="17" spans="1:14" x14ac:dyDescent="0.25">
      <c r="A17" s="8">
        <f t="shared" si="9"/>
        <v>0.42216435185185175</v>
      </c>
      <c r="B17" s="4">
        <f t="shared" si="10"/>
        <v>1553300475</v>
      </c>
      <c r="C17">
        <v>2</v>
      </c>
      <c r="D17">
        <v>6</v>
      </c>
      <c r="E17" t="e">
        <f t="shared" ca="1" si="7"/>
        <v>#N/A</v>
      </c>
      <c r="F17" t="e">
        <f t="shared" ca="1" si="8"/>
        <v>#N/A</v>
      </c>
      <c r="G17">
        <f t="shared" ca="1" si="11"/>
        <v>8229.6</v>
      </c>
      <c r="H17" s="13" t="e">
        <f t="shared" ca="1" si="2"/>
        <v>#N/A</v>
      </c>
      <c r="I17" s="13" t="e">
        <f t="shared" ca="1" si="2"/>
        <v>#N/A</v>
      </c>
      <c r="J17" s="13">
        <f t="shared" ca="1" si="2"/>
        <v>0</v>
      </c>
      <c r="K17" s="13" t="e">
        <f t="shared" ca="1" si="3"/>
        <v>#N/A</v>
      </c>
      <c r="L17" s="13" t="e">
        <f t="shared" ca="1" si="4"/>
        <v>#N/A</v>
      </c>
      <c r="M17" t="e">
        <f t="shared" ca="1" si="5"/>
        <v>#N/A</v>
      </c>
      <c r="N17" t="e">
        <f t="shared" ca="1" si="6"/>
        <v>#N/A</v>
      </c>
    </row>
    <row r="18" spans="1:14" x14ac:dyDescent="0.25">
      <c r="A18" s="8">
        <f t="shared" si="9"/>
        <v>0.42222222222222211</v>
      </c>
      <c r="B18" s="4">
        <f t="shared" si="10"/>
        <v>1553300480</v>
      </c>
      <c r="C18">
        <v>2</v>
      </c>
      <c r="D18">
        <v>6</v>
      </c>
      <c r="E18" t="e">
        <f t="shared" ca="1" si="7"/>
        <v>#N/A</v>
      </c>
      <c r="F18" t="e">
        <f t="shared" ca="1" si="8"/>
        <v>#N/A</v>
      </c>
      <c r="G18">
        <f t="shared" ca="1" si="11"/>
        <v>8229.6</v>
      </c>
      <c r="H18" s="13" t="e">
        <f t="shared" ca="1" si="2"/>
        <v>#N/A</v>
      </c>
      <c r="I18" s="13" t="e">
        <f t="shared" ca="1" si="2"/>
        <v>#N/A</v>
      </c>
      <c r="J18" s="13">
        <f t="shared" ca="1" si="2"/>
        <v>0</v>
      </c>
      <c r="K18" s="13" t="e">
        <f t="shared" ca="1" si="3"/>
        <v>#N/A</v>
      </c>
      <c r="L18" s="13" t="e">
        <f t="shared" ca="1" si="4"/>
        <v>#N/A</v>
      </c>
      <c r="M18" t="e">
        <f t="shared" ca="1" si="5"/>
        <v>#N/A</v>
      </c>
      <c r="N18" t="e">
        <f t="shared" ca="1" si="6"/>
        <v>#N/A</v>
      </c>
    </row>
    <row r="19" spans="1:14" x14ac:dyDescent="0.25">
      <c r="A19" s="8">
        <f t="shared" si="9"/>
        <v>0.42228009259259247</v>
      </c>
      <c r="B19" s="4">
        <f t="shared" si="10"/>
        <v>1553300485</v>
      </c>
      <c r="C19">
        <v>2</v>
      </c>
      <c r="D19">
        <v>6</v>
      </c>
      <c r="E19" t="e">
        <f t="shared" ca="1" si="7"/>
        <v>#N/A</v>
      </c>
      <c r="F19" t="e">
        <f t="shared" ca="1" si="8"/>
        <v>#N/A</v>
      </c>
      <c r="G19">
        <f t="shared" ca="1" si="11"/>
        <v>8229.6</v>
      </c>
      <c r="H19" s="13" t="e">
        <f t="shared" ca="1" si="2"/>
        <v>#N/A</v>
      </c>
      <c r="I19" s="13" t="e">
        <f t="shared" ca="1" si="2"/>
        <v>#N/A</v>
      </c>
      <c r="J19" s="13">
        <f t="shared" ca="1" si="2"/>
        <v>0</v>
      </c>
      <c r="K19" s="13" t="e">
        <f t="shared" ca="1" si="3"/>
        <v>#N/A</v>
      </c>
      <c r="L19" s="13" t="e">
        <f t="shared" ca="1" si="4"/>
        <v>#N/A</v>
      </c>
      <c r="M19" t="e">
        <f t="shared" ca="1" si="5"/>
        <v>#N/A</v>
      </c>
      <c r="N19" t="e">
        <f t="shared" ca="1" si="6"/>
        <v>#N/A</v>
      </c>
    </row>
    <row r="20" spans="1:14" x14ac:dyDescent="0.25">
      <c r="A20" s="8">
        <f t="shared" si="9"/>
        <v>0.42233796296296283</v>
      </c>
      <c r="B20" s="4">
        <f t="shared" si="10"/>
        <v>1553300490</v>
      </c>
      <c r="C20">
        <v>2</v>
      </c>
      <c r="D20">
        <v>6</v>
      </c>
      <c r="E20" t="e">
        <f t="shared" ca="1" si="7"/>
        <v>#N/A</v>
      </c>
      <c r="F20" t="e">
        <f t="shared" ca="1" si="8"/>
        <v>#N/A</v>
      </c>
      <c r="G20">
        <f t="shared" ca="1" si="11"/>
        <v>8229.6</v>
      </c>
      <c r="H20" s="13" t="e">
        <f t="shared" ca="1" si="2"/>
        <v>#N/A</v>
      </c>
      <c r="I20" s="13" t="e">
        <f t="shared" ca="1" si="2"/>
        <v>#N/A</v>
      </c>
      <c r="J20" s="13">
        <f t="shared" ca="1" si="2"/>
        <v>0</v>
      </c>
      <c r="K20" s="13" t="e">
        <f t="shared" ca="1" si="3"/>
        <v>#N/A</v>
      </c>
      <c r="L20" s="13" t="e">
        <f t="shared" ca="1" si="4"/>
        <v>#N/A</v>
      </c>
      <c r="M20" t="e">
        <f t="shared" ca="1" si="5"/>
        <v>#N/A</v>
      </c>
      <c r="N20" t="e">
        <f t="shared" ca="1" si="6"/>
        <v>#N/A</v>
      </c>
    </row>
    <row r="21" spans="1:14" x14ac:dyDescent="0.25">
      <c r="A21" s="8">
        <f t="shared" si="9"/>
        <v>0.42239583333333319</v>
      </c>
      <c r="B21" s="4">
        <f t="shared" si="10"/>
        <v>1553300495</v>
      </c>
      <c r="C21">
        <v>2</v>
      </c>
      <c r="D21">
        <v>6</v>
      </c>
      <c r="E21" t="e">
        <f t="shared" ca="1" si="7"/>
        <v>#N/A</v>
      </c>
      <c r="F21" t="e">
        <f t="shared" ca="1" si="8"/>
        <v>#N/A</v>
      </c>
      <c r="G21">
        <f t="shared" ca="1" si="11"/>
        <v>8229.6</v>
      </c>
      <c r="H21" s="13" t="e">
        <f t="shared" ca="1" si="2"/>
        <v>#N/A</v>
      </c>
      <c r="I21" s="13" t="e">
        <f t="shared" ca="1" si="2"/>
        <v>#N/A</v>
      </c>
      <c r="J21" s="13">
        <f t="shared" ca="1" si="2"/>
        <v>0</v>
      </c>
      <c r="K21" s="13" t="e">
        <f t="shared" ca="1" si="3"/>
        <v>#N/A</v>
      </c>
      <c r="L21" s="13" t="e">
        <f t="shared" ca="1" si="4"/>
        <v>#N/A</v>
      </c>
      <c r="M21" t="e">
        <f t="shared" ca="1" si="5"/>
        <v>#N/A</v>
      </c>
      <c r="N21" t="e">
        <f t="shared" ca="1" si="6"/>
        <v>#N/A</v>
      </c>
    </row>
    <row r="22" spans="1:14" x14ac:dyDescent="0.25">
      <c r="A22" s="8">
        <f t="shared" si="9"/>
        <v>0.42245370370370355</v>
      </c>
      <c r="B22" s="4">
        <f t="shared" si="10"/>
        <v>1553300500</v>
      </c>
      <c r="C22">
        <v>2</v>
      </c>
      <c r="D22">
        <v>6</v>
      </c>
      <c r="E22" t="e">
        <f t="shared" ca="1" si="7"/>
        <v>#N/A</v>
      </c>
      <c r="F22" t="e">
        <f t="shared" ca="1" si="8"/>
        <v>#N/A</v>
      </c>
      <c r="G22">
        <f t="shared" ca="1" si="11"/>
        <v>8229.6</v>
      </c>
      <c r="H22" s="13" t="e">
        <f t="shared" ca="1" si="2"/>
        <v>#N/A</v>
      </c>
      <c r="I22" s="13" t="e">
        <f t="shared" ca="1" si="2"/>
        <v>#N/A</v>
      </c>
      <c r="J22" s="13">
        <f t="shared" ca="1" si="2"/>
        <v>0</v>
      </c>
      <c r="K22" s="13" t="e">
        <f t="shared" ca="1" si="3"/>
        <v>#N/A</v>
      </c>
      <c r="L22" s="13" t="e">
        <f t="shared" ca="1" si="4"/>
        <v>#N/A</v>
      </c>
      <c r="M22" t="e">
        <f t="shared" ca="1" si="5"/>
        <v>#N/A</v>
      </c>
      <c r="N22" t="e">
        <f t="shared" ca="1" si="6"/>
        <v>#N/A</v>
      </c>
    </row>
    <row r="23" spans="1:14" x14ac:dyDescent="0.25">
      <c r="A23" s="8">
        <f t="shared" si="9"/>
        <v>0.42251157407407391</v>
      </c>
      <c r="B23" s="4">
        <f t="shared" si="10"/>
        <v>1553300505</v>
      </c>
      <c r="C23">
        <v>2</v>
      </c>
      <c r="D23">
        <v>6</v>
      </c>
      <c r="E23" t="e">
        <f t="shared" ca="1" si="7"/>
        <v>#N/A</v>
      </c>
      <c r="F23" t="e">
        <f t="shared" ca="1" si="8"/>
        <v>#N/A</v>
      </c>
      <c r="G23">
        <f t="shared" ca="1" si="11"/>
        <v>8229.6</v>
      </c>
      <c r="H23" s="13" t="e">
        <f t="shared" ca="1" si="2"/>
        <v>#N/A</v>
      </c>
      <c r="I23" s="13" t="e">
        <f t="shared" ca="1" si="2"/>
        <v>#N/A</v>
      </c>
      <c r="J23" s="13">
        <f t="shared" ca="1" si="2"/>
        <v>0</v>
      </c>
      <c r="K23" s="13" t="e">
        <f t="shared" ca="1" si="3"/>
        <v>#N/A</v>
      </c>
      <c r="L23" s="13" t="e">
        <f t="shared" ca="1" si="4"/>
        <v>#N/A</v>
      </c>
      <c r="M23" t="e">
        <f t="shared" ca="1" si="5"/>
        <v>#N/A</v>
      </c>
      <c r="N23" t="e">
        <f t="shared" ca="1" si="6"/>
        <v>#N/A</v>
      </c>
    </row>
    <row r="24" spans="1:14" x14ac:dyDescent="0.25">
      <c r="A24" s="8">
        <f t="shared" si="9"/>
        <v>0.42256944444444428</v>
      </c>
      <c r="B24" s="4">
        <f t="shared" si="10"/>
        <v>1553300510</v>
      </c>
      <c r="C24">
        <v>2</v>
      </c>
      <c r="D24">
        <v>6</v>
      </c>
      <c r="E24" t="e">
        <f t="shared" ca="1" si="7"/>
        <v>#N/A</v>
      </c>
      <c r="F24" t="e">
        <f t="shared" ca="1" si="8"/>
        <v>#N/A</v>
      </c>
      <c r="G24">
        <f t="shared" ca="1" si="11"/>
        <v>8229.6</v>
      </c>
      <c r="H24" s="13" t="e">
        <f t="shared" ca="1" si="2"/>
        <v>#N/A</v>
      </c>
      <c r="I24" s="13" t="e">
        <f t="shared" ca="1" si="2"/>
        <v>#N/A</v>
      </c>
      <c r="J24" s="13">
        <f t="shared" ca="1" si="2"/>
        <v>0</v>
      </c>
      <c r="K24" s="13" t="e">
        <f t="shared" ca="1" si="3"/>
        <v>#N/A</v>
      </c>
      <c r="L24" s="13" t="e">
        <f t="shared" ca="1" si="4"/>
        <v>#N/A</v>
      </c>
      <c r="M24" t="e">
        <f t="shared" ca="1" si="5"/>
        <v>#N/A</v>
      </c>
      <c r="N24" t="e">
        <f t="shared" ca="1" si="6"/>
        <v>#N/A</v>
      </c>
    </row>
    <row r="25" spans="1:14" x14ac:dyDescent="0.25">
      <c r="A25" s="8">
        <f t="shared" si="9"/>
        <v>0.42262731481481464</v>
      </c>
      <c r="B25" s="4">
        <f t="shared" si="10"/>
        <v>1553300515</v>
      </c>
      <c r="C25">
        <v>2</v>
      </c>
      <c r="D25">
        <v>6</v>
      </c>
      <c r="E25" t="e">
        <f t="shared" ca="1" si="7"/>
        <v>#N/A</v>
      </c>
      <c r="F25" t="e">
        <f t="shared" ca="1" si="8"/>
        <v>#N/A</v>
      </c>
      <c r="G25">
        <f t="shared" ca="1" si="11"/>
        <v>8229.6</v>
      </c>
      <c r="H25" s="13" t="e">
        <f t="shared" ca="1" si="2"/>
        <v>#N/A</v>
      </c>
      <c r="I25" s="13" t="e">
        <f t="shared" ca="1" si="2"/>
        <v>#N/A</v>
      </c>
      <c r="J25" s="13">
        <f t="shared" ca="1" si="2"/>
        <v>0</v>
      </c>
      <c r="K25" s="13" t="e">
        <f t="shared" ca="1" si="3"/>
        <v>#N/A</v>
      </c>
      <c r="L25" s="13" t="e">
        <f t="shared" ca="1" si="4"/>
        <v>#N/A</v>
      </c>
      <c r="M25" t="e">
        <f t="shared" ca="1" si="5"/>
        <v>#N/A</v>
      </c>
      <c r="N25" t="e">
        <f t="shared" ca="1" si="6"/>
        <v>#N/A</v>
      </c>
    </row>
    <row r="26" spans="1:14" x14ac:dyDescent="0.25">
      <c r="A26" s="8">
        <f t="shared" si="9"/>
        <v>0.422685185185185</v>
      </c>
      <c r="B26" s="4">
        <f t="shared" si="10"/>
        <v>1553300520</v>
      </c>
      <c r="C26">
        <v>2</v>
      </c>
      <c r="D26">
        <v>6</v>
      </c>
      <c r="E26" t="e">
        <f t="shared" ca="1" si="7"/>
        <v>#N/A</v>
      </c>
      <c r="F26" t="e">
        <f t="shared" ca="1" si="8"/>
        <v>#N/A</v>
      </c>
      <c r="G26">
        <f t="shared" ca="1" si="11"/>
        <v>8229.6</v>
      </c>
      <c r="H26" s="13" t="e">
        <f t="shared" ca="1" si="2"/>
        <v>#N/A</v>
      </c>
      <c r="I26" s="13" t="e">
        <f t="shared" ca="1" si="2"/>
        <v>#N/A</v>
      </c>
      <c r="J26" s="13">
        <f t="shared" ca="1" si="2"/>
        <v>0</v>
      </c>
      <c r="K26" s="13" t="e">
        <f t="shared" ca="1" si="3"/>
        <v>#N/A</v>
      </c>
      <c r="L26" s="13" t="e">
        <f t="shared" ca="1" si="4"/>
        <v>#N/A</v>
      </c>
      <c r="M26" t="e">
        <f t="shared" ca="1" si="5"/>
        <v>#N/A</v>
      </c>
      <c r="N26" t="e">
        <f t="shared" ca="1" si="6"/>
        <v>#N/A</v>
      </c>
    </row>
    <row r="27" spans="1:14" x14ac:dyDescent="0.25">
      <c r="A27" s="8">
        <f t="shared" si="9"/>
        <v>0.42274305555555536</v>
      </c>
      <c r="B27" s="4">
        <f t="shared" si="10"/>
        <v>1553300525</v>
      </c>
      <c r="C27">
        <v>2</v>
      </c>
      <c r="D27">
        <v>6</v>
      </c>
      <c r="E27" t="e">
        <f t="shared" ca="1" si="7"/>
        <v>#N/A</v>
      </c>
      <c r="F27" t="e">
        <f t="shared" ca="1" si="8"/>
        <v>#N/A</v>
      </c>
      <c r="G27">
        <f t="shared" ca="1" si="11"/>
        <v>8229.6</v>
      </c>
      <c r="H27" s="13" t="e">
        <f t="shared" ca="1" si="2"/>
        <v>#N/A</v>
      </c>
      <c r="I27" s="13" t="e">
        <f t="shared" ca="1" si="2"/>
        <v>#N/A</v>
      </c>
      <c r="J27" s="13">
        <f t="shared" ca="1" si="2"/>
        <v>0</v>
      </c>
      <c r="K27" s="13" t="e">
        <f t="shared" ca="1" si="3"/>
        <v>#N/A</v>
      </c>
      <c r="L27" s="13" t="e">
        <f t="shared" ca="1" si="4"/>
        <v>#N/A</v>
      </c>
      <c r="M27" t="e">
        <f t="shared" ca="1" si="5"/>
        <v>#N/A</v>
      </c>
      <c r="N27" t="e">
        <f t="shared" ca="1" si="6"/>
        <v>#N/A</v>
      </c>
    </row>
    <row r="28" spans="1:14" x14ac:dyDescent="0.25">
      <c r="A28" s="8">
        <f t="shared" si="9"/>
        <v>0.42280092592592572</v>
      </c>
      <c r="B28" s="4">
        <f t="shared" si="10"/>
        <v>1553300530</v>
      </c>
      <c r="C28">
        <v>2</v>
      </c>
      <c r="D28">
        <v>6</v>
      </c>
      <c r="E28" t="e">
        <f t="shared" ca="1" si="7"/>
        <v>#N/A</v>
      </c>
      <c r="F28" t="e">
        <f t="shared" ca="1" si="8"/>
        <v>#N/A</v>
      </c>
      <c r="G28">
        <f t="shared" ca="1" si="11"/>
        <v>8229.6</v>
      </c>
      <c r="H28" s="13" t="e">
        <f t="shared" ca="1" si="2"/>
        <v>#N/A</v>
      </c>
      <c r="I28" s="13" t="e">
        <f t="shared" ca="1" si="2"/>
        <v>#N/A</v>
      </c>
      <c r="J28" s="13">
        <f t="shared" ca="1" si="2"/>
        <v>0</v>
      </c>
      <c r="K28" s="13" t="e">
        <f t="shared" ca="1" si="3"/>
        <v>#N/A</v>
      </c>
      <c r="L28" s="13" t="e">
        <f t="shared" ca="1" si="4"/>
        <v>#N/A</v>
      </c>
      <c r="M28" t="e">
        <f t="shared" ca="1" si="5"/>
        <v>#N/A</v>
      </c>
      <c r="N28" t="e">
        <f t="shared" ca="1" si="6"/>
        <v>#N/A</v>
      </c>
    </row>
    <row r="29" spans="1:14" x14ac:dyDescent="0.25">
      <c r="A29" s="8">
        <f t="shared" si="9"/>
        <v>0.42285879629629608</v>
      </c>
      <c r="B29" s="4">
        <f t="shared" si="10"/>
        <v>1553300535</v>
      </c>
      <c r="C29">
        <v>2</v>
      </c>
      <c r="D29">
        <v>6</v>
      </c>
      <c r="E29" t="e">
        <f t="shared" ca="1" si="7"/>
        <v>#N/A</v>
      </c>
      <c r="F29" t="e">
        <f t="shared" ca="1" si="8"/>
        <v>#N/A</v>
      </c>
      <c r="G29">
        <f t="shared" ca="1" si="11"/>
        <v>8229.6</v>
      </c>
      <c r="H29" s="13" t="e">
        <f t="shared" ca="1" si="2"/>
        <v>#N/A</v>
      </c>
      <c r="I29" s="13" t="e">
        <f t="shared" ca="1" si="2"/>
        <v>#N/A</v>
      </c>
      <c r="J29" s="13">
        <f t="shared" ca="1" si="2"/>
        <v>0</v>
      </c>
      <c r="K29" s="13" t="e">
        <f t="shared" ca="1" si="3"/>
        <v>#N/A</v>
      </c>
      <c r="L29" s="13" t="e">
        <f t="shared" ca="1" si="4"/>
        <v>#N/A</v>
      </c>
      <c r="M29" t="e">
        <f t="shared" ca="1" si="5"/>
        <v>#N/A</v>
      </c>
      <c r="N29" t="e">
        <f t="shared" ca="1" si="6"/>
        <v>#N/A</v>
      </c>
    </row>
    <row r="30" spans="1:14" x14ac:dyDescent="0.25">
      <c r="A30" s="8">
        <f t="shared" si="9"/>
        <v>0.42291666666666644</v>
      </c>
      <c r="B30" s="4">
        <f t="shared" si="10"/>
        <v>1553300540</v>
      </c>
      <c r="C30">
        <v>2</v>
      </c>
      <c r="D30">
        <v>6</v>
      </c>
      <c r="E30" t="e">
        <f t="shared" ca="1" si="7"/>
        <v>#N/A</v>
      </c>
      <c r="F30" t="e">
        <f t="shared" ca="1" si="8"/>
        <v>#N/A</v>
      </c>
      <c r="G30">
        <f t="shared" ca="1" si="11"/>
        <v>8229.6</v>
      </c>
      <c r="H30" s="13" t="e">
        <f t="shared" ca="1" si="2"/>
        <v>#N/A</v>
      </c>
      <c r="I30" s="13" t="e">
        <f t="shared" ca="1" si="2"/>
        <v>#N/A</v>
      </c>
      <c r="J30" s="13">
        <f t="shared" ca="1" si="2"/>
        <v>0</v>
      </c>
      <c r="K30" s="13" t="e">
        <f t="shared" ca="1" si="3"/>
        <v>#N/A</v>
      </c>
      <c r="L30" s="13" t="e">
        <f t="shared" ca="1" si="4"/>
        <v>#N/A</v>
      </c>
      <c r="M30" t="e">
        <f t="shared" ca="1" si="5"/>
        <v>#N/A</v>
      </c>
      <c r="N30" t="e">
        <f t="shared" ca="1" si="6"/>
        <v>#N/A</v>
      </c>
    </row>
    <row r="31" spans="1:14" x14ac:dyDescent="0.25">
      <c r="A31" s="8">
        <f t="shared" si="9"/>
        <v>0.4229745370370368</v>
      </c>
      <c r="B31" s="4">
        <f t="shared" si="10"/>
        <v>1553300545</v>
      </c>
      <c r="C31">
        <v>2</v>
      </c>
      <c r="D31">
        <v>6</v>
      </c>
      <c r="E31" t="e">
        <f t="shared" ca="1" si="7"/>
        <v>#N/A</v>
      </c>
      <c r="F31" t="e">
        <f t="shared" ca="1" si="8"/>
        <v>#N/A</v>
      </c>
      <c r="G31">
        <f t="shared" ca="1" si="11"/>
        <v>8229.6</v>
      </c>
      <c r="H31" s="13" t="e">
        <f t="shared" ca="1" si="2"/>
        <v>#N/A</v>
      </c>
      <c r="I31" s="13" t="e">
        <f t="shared" ca="1" si="2"/>
        <v>#N/A</v>
      </c>
      <c r="J31" s="13">
        <f t="shared" ca="1" si="2"/>
        <v>0</v>
      </c>
      <c r="K31" s="13" t="e">
        <f t="shared" ca="1" si="3"/>
        <v>#N/A</v>
      </c>
      <c r="L31" s="13" t="e">
        <f t="shared" ca="1" si="4"/>
        <v>#N/A</v>
      </c>
      <c r="M31" t="e">
        <f t="shared" ca="1" si="5"/>
        <v>#N/A</v>
      </c>
      <c r="N31" t="e">
        <f t="shared" ca="1" si="6"/>
        <v>#N/A</v>
      </c>
    </row>
    <row r="32" spans="1:14" x14ac:dyDescent="0.25">
      <c r="A32" s="8">
        <f t="shared" si="9"/>
        <v>0.42303240740740716</v>
      </c>
      <c r="B32" s="4">
        <f t="shared" si="10"/>
        <v>1553300550</v>
      </c>
      <c r="C32">
        <v>2</v>
      </c>
      <c r="D32">
        <v>6</v>
      </c>
      <c r="E32" t="e">
        <f t="shared" ca="1" si="7"/>
        <v>#N/A</v>
      </c>
      <c r="F32" t="e">
        <f t="shared" ca="1" si="8"/>
        <v>#N/A</v>
      </c>
      <c r="G32">
        <f t="shared" ca="1" si="11"/>
        <v>8229.6</v>
      </c>
      <c r="H32" s="13" t="e">
        <f t="shared" ca="1" si="2"/>
        <v>#N/A</v>
      </c>
      <c r="I32" s="13" t="e">
        <f t="shared" ca="1" si="2"/>
        <v>#N/A</v>
      </c>
      <c r="J32" s="13">
        <f t="shared" ca="1" si="2"/>
        <v>0</v>
      </c>
      <c r="K32" s="13" t="e">
        <f t="shared" ca="1" si="3"/>
        <v>#N/A</v>
      </c>
      <c r="L32" s="13" t="e">
        <f t="shared" ca="1" si="4"/>
        <v>#N/A</v>
      </c>
      <c r="M32" t="e">
        <f t="shared" ca="1" si="5"/>
        <v>#N/A</v>
      </c>
      <c r="N32" t="e">
        <f t="shared" ca="1" si="6"/>
        <v>#N/A</v>
      </c>
    </row>
    <row r="33" spans="1:14" x14ac:dyDescent="0.25">
      <c r="A33" s="8">
        <f>A32+5/24/3600</f>
        <v>0.42309027777777752</v>
      </c>
      <c r="B33" s="4">
        <f t="shared" si="10"/>
        <v>1553300555</v>
      </c>
      <c r="C33">
        <v>2</v>
      </c>
      <c r="D33">
        <v>6</v>
      </c>
      <c r="E33" t="e">
        <f t="shared" ca="1" si="7"/>
        <v>#N/A</v>
      </c>
      <c r="F33" t="e">
        <f t="shared" ca="1" si="8"/>
        <v>#N/A</v>
      </c>
      <c r="G33">
        <f t="shared" ca="1" si="11"/>
        <v>8229.6</v>
      </c>
      <c r="H33" s="13" t="e">
        <f t="shared" ca="1" si="2"/>
        <v>#N/A</v>
      </c>
      <c r="I33" s="13" t="e">
        <f t="shared" ca="1" si="2"/>
        <v>#N/A</v>
      </c>
      <c r="J33" s="13">
        <f t="shared" ca="1" si="2"/>
        <v>0</v>
      </c>
      <c r="K33" s="13" t="e">
        <f t="shared" ca="1" si="3"/>
        <v>#N/A</v>
      </c>
      <c r="L33" s="13" t="e">
        <f t="shared" ca="1" si="4"/>
        <v>#N/A</v>
      </c>
      <c r="M33" t="e">
        <f t="shared" ca="1" si="5"/>
        <v>#N/A</v>
      </c>
      <c r="N33" t="e">
        <f t="shared" ca="1" si="6"/>
        <v>#N/A</v>
      </c>
    </row>
    <row r="34" spans="1:14" x14ac:dyDescent="0.25">
      <c r="A34" s="8">
        <f t="shared" si="9"/>
        <v>0.42314814814814788</v>
      </c>
      <c r="B34" s="4">
        <f t="shared" si="10"/>
        <v>1553300560</v>
      </c>
      <c r="C34">
        <v>2</v>
      </c>
      <c r="D34">
        <v>6</v>
      </c>
      <c r="E34" t="e">
        <f t="shared" ca="1" si="7"/>
        <v>#N/A</v>
      </c>
      <c r="F34" t="e">
        <f t="shared" ca="1" si="8"/>
        <v>#N/A</v>
      </c>
      <c r="G34">
        <f t="shared" ca="1" si="11"/>
        <v>8229.6</v>
      </c>
      <c r="H34" s="13" t="e">
        <f t="shared" ca="1" si="2"/>
        <v>#N/A</v>
      </c>
      <c r="I34" s="13" t="e">
        <f t="shared" ca="1" si="2"/>
        <v>#N/A</v>
      </c>
      <c r="J34" s="13">
        <f t="shared" ca="1" si="2"/>
        <v>0</v>
      </c>
      <c r="K34" s="13" t="e">
        <f t="shared" ca="1" si="3"/>
        <v>#N/A</v>
      </c>
      <c r="L34" s="13" t="e">
        <f t="shared" ca="1" si="4"/>
        <v>#N/A</v>
      </c>
      <c r="M34" t="e">
        <f t="shared" ca="1" si="5"/>
        <v>#N/A</v>
      </c>
      <c r="N34" t="e">
        <f t="shared" ca="1" si="6"/>
        <v>#N/A</v>
      </c>
    </row>
    <row r="35" spans="1:14" x14ac:dyDescent="0.25">
      <c r="A35" s="8">
        <f t="shared" si="9"/>
        <v>0.42320601851851825</v>
      </c>
      <c r="B35" s="4">
        <f t="shared" si="10"/>
        <v>1553300565</v>
      </c>
      <c r="C35">
        <v>2</v>
      </c>
      <c r="D35">
        <v>6</v>
      </c>
      <c r="E35" t="e">
        <f t="shared" ca="1" si="7"/>
        <v>#N/A</v>
      </c>
      <c r="F35" t="e">
        <f t="shared" ca="1" si="8"/>
        <v>#N/A</v>
      </c>
      <c r="G35">
        <f t="shared" ca="1" si="11"/>
        <v>8229.6</v>
      </c>
      <c r="H35" s="13" t="e">
        <f t="shared" ca="1" si="2"/>
        <v>#N/A</v>
      </c>
      <c r="I35" s="13" t="e">
        <f t="shared" ca="1" si="2"/>
        <v>#N/A</v>
      </c>
      <c r="J35" s="13">
        <f t="shared" ca="1" si="2"/>
        <v>0</v>
      </c>
      <c r="K35" s="13" t="e">
        <f t="shared" ca="1" si="3"/>
        <v>#N/A</v>
      </c>
      <c r="L35" s="13" t="e">
        <f t="shared" ca="1" si="4"/>
        <v>#N/A</v>
      </c>
      <c r="M35" t="e">
        <f t="shared" ca="1" si="5"/>
        <v>#N/A</v>
      </c>
      <c r="N35" t="e">
        <f t="shared" ca="1" si="6"/>
        <v>#N/A</v>
      </c>
    </row>
    <row r="36" spans="1:14" x14ac:dyDescent="0.25">
      <c r="A36" s="8">
        <f t="shared" si="9"/>
        <v>0.42326388888888861</v>
      </c>
      <c r="B36" s="4">
        <f t="shared" si="10"/>
        <v>1553300570</v>
      </c>
      <c r="C36">
        <v>2</v>
      </c>
      <c r="D36">
        <v>6</v>
      </c>
      <c r="E36" t="e">
        <f t="shared" ref="E36:E63" ca="1" si="12">INDIRECT("E$"&amp;C36)+INDIRECT("H$"&amp;C36)*($B36-INDIRECT("B$"&amp;D36))</f>
        <v>#N/A</v>
      </c>
      <c r="F36" t="e">
        <f t="shared" ref="F36:F63" ca="1" si="13">INDIRECT("F$"&amp;C36)+INDIRECT("I$"&amp;C36)*($B36-INDIRECT("B$"&amp;D36))</f>
        <v>#N/A</v>
      </c>
      <c r="G36">
        <f t="shared" ca="1" si="11"/>
        <v>8229.6</v>
      </c>
      <c r="H36" s="13" t="e">
        <f t="shared" ca="1" si="2"/>
        <v>#N/A</v>
      </c>
      <c r="I36" s="13" t="e">
        <f t="shared" ca="1" si="2"/>
        <v>#N/A</v>
      </c>
      <c r="J36" s="13">
        <f t="shared" ca="1" si="2"/>
        <v>0</v>
      </c>
      <c r="K36" s="13" t="e">
        <f t="shared" ca="1" si="3"/>
        <v>#N/A</v>
      </c>
      <c r="L36" s="13" t="e">
        <f t="shared" ca="1" si="4"/>
        <v>#N/A</v>
      </c>
      <c r="M36" t="e">
        <f t="shared" ca="1" si="5"/>
        <v>#N/A</v>
      </c>
      <c r="N36" t="e">
        <f t="shared" ca="1" si="6"/>
        <v>#N/A</v>
      </c>
    </row>
    <row r="37" spans="1:14" x14ac:dyDescent="0.25">
      <c r="A37" s="8">
        <f t="shared" si="9"/>
        <v>0.42332175925925897</v>
      </c>
      <c r="B37" s="4">
        <f t="shared" si="10"/>
        <v>1553300575</v>
      </c>
      <c r="C37">
        <v>2</v>
      </c>
      <c r="D37">
        <v>6</v>
      </c>
      <c r="E37" t="e">
        <f t="shared" ca="1" si="12"/>
        <v>#N/A</v>
      </c>
      <c r="F37" t="e">
        <f t="shared" ca="1" si="13"/>
        <v>#N/A</v>
      </c>
      <c r="G37">
        <f t="shared" ref="G37:G63" ca="1" si="14">INDIRECT("G$"&amp;C37)+INDIRECT("J$"&amp;C37)*($B37-INDIRECT("B$"&amp;D37))</f>
        <v>8229.6</v>
      </c>
      <c r="H37" s="13" t="e">
        <f t="shared" ca="1" si="2"/>
        <v>#N/A</v>
      </c>
      <c r="I37" s="13" t="e">
        <f t="shared" ca="1" si="2"/>
        <v>#N/A</v>
      </c>
      <c r="J37" s="13">
        <f t="shared" ca="1" si="2"/>
        <v>0</v>
      </c>
      <c r="K37" s="13" t="e">
        <f t="shared" ca="1" si="3"/>
        <v>#N/A</v>
      </c>
      <c r="L37" s="13" t="e">
        <f t="shared" ca="1" si="4"/>
        <v>#N/A</v>
      </c>
      <c r="M37" t="e">
        <f t="shared" ca="1" si="5"/>
        <v>#N/A</v>
      </c>
      <c r="N37" t="e">
        <f t="shared" ca="1" si="6"/>
        <v>#N/A</v>
      </c>
    </row>
    <row r="38" spans="1:14" x14ac:dyDescent="0.25">
      <c r="A38" s="8">
        <f t="shared" si="9"/>
        <v>0.42337962962962933</v>
      </c>
      <c r="B38" s="4">
        <f t="shared" si="10"/>
        <v>1553300580</v>
      </c>
      <c r="C38">
        <v>2</v>
      </c>
      <c r="D38">
        <v>6</v>
      </c>
      <c r="E38" t="e">
        <f t="shared" ca="1" si="12"/>
        <v>#N/A</v>
      </c>
      <c r="F38" t="e">
        <f t="shared" ca="1" si="13"/>
        <v>#N/A</v>
      </c>
      <c r="G38">
        <f t="shared" ca="1" si="14"/>
        <v>8229.6</v>
      </c>
      <c r="H38" s="13" t="e">
        <f t="shared" ca="1" si="2"/>
        <v>#N/A</v>
      </c>
      <c r="I38" s="13" t="e">
        <f t="shared" ca="1" si="2"/>
        <v>#N/A</v>
      </c>
      <c r="J38" s="13">
        <f t="shared" ca="1" si="2"/>
        <v>0</v>
      </c>
      <c r="K38" s="13" t="e">
        <f t="shared" ca="1" si="3"/>
        <v>#N/A</v>
      </c>
      <c r="L38" s="13" t="e">
        <f t="shared" ca="1" si="4"/>
        <v>#N/A</v>
      </c>
      <c r="M38" t="e">
        <f t="shared" ca="1" si="5"/>
        <v>#N/A</v>
      </c>
      <c r="N38" t="e">
        <f t="shared" ca="1" si="6"/>
        <v>#N/A</v>
      </c>
    </row>
    <row r="39" spans="1:14" x14ac:dyDescent="0.25">
      <c r="A39" s="8">
        <f t="shared" si="9"/>
        <v>0.42343749999999969</v>
      </c>
      <c r="B39" s="4">
        <f t="shared" si="10"/>
        <v>1553300585</v>
      </c>
      <c r="C39">
        <v>2</v>
      </c>
      <c r="D39">
        <v>6</v>
      </c>
      <c r="E39" t="e">
        <f t="shared" ca="1" si="12"/>
        <v>#N/A</v>
      </c>
      <c r="F39" t="e">
        <f t="shared" ca="1" si="13"/>
        <v>#N/A</v>
      </c>
      <c r="G39">
        <f t="shared" ca="1" si="14"/>
        <v>8229.6</v>
      </c>
      <c r="H39" s="13" t="e">
        <f t="shared" ca="1" si="2"/>
        <v>#N/A</v>
      </c>
      <c r="I39" s="13" t="e">
        <f t="shared" ca="1" si="2"/>
        <v>#N/A</v>
      </c>
      <c r="J39" s="13">
        <f t="shared" ca="1" si="2"/>
        <v>0</v>
      </c>
      <c r="K39" s="13" t="e">
        <f t="shared" ca="1" si="3"/>
        <v>#N/A</v>
      </c>
      <c r="L39" s="13" t="e">
        <f t="shared" ca="1" si="4"/>
        <v>#N/A</v>
      </c>
      <c r="M39" t="e">
        <f t="shared" ca="1" si="5"/>
        <v>#N/A</v>
      </c>
      <c r="N39" t="e">
        <f t="shared" ca="1" si="6"/>
        <v>#N/A</v>
      </c>
    </row>
    <row r="40" spans="1:14" x14ac:dyDescent="0.25">
      <c r="A40" s="8">
        <f t="shared" si="9"/>
        <v>0.42349537037037005</v>
      </c>
      <c r="B40" s="4">
        <f t="shared" si="10"/>
        <v>1553300590</v>
      </c>
      <c r="C40">
        <v>2</v>
      </c>
      <c r="D40">
        <v>6</v>
      </c>
      <c r="E40" t="e">
        <f t="shared" ca="1" si="12"/>
        <v>#N/A</v>
      </c>
      <c r="F40" t="e">
        <f t="shared" ca="1" si="13"/>
        <v>#N/A</v>
      </c>
      <c r="G40">
        <f t="shared" ca="1" si="14"/>
        <v>8229.6</v>
      </c>
      <c r="H40" s="13" t="e">
        <f t="shared" ca="1" si="2"/>
        <v>#N/A</v>
      </c>
      <c r="I40" s="13" t="e">
        <f t="shared" ca="1" si="2"/>
        <v>#N/A</v>
      </c>
      <c r="J40" s="13">
        <f t="shared" ca="1" si="2"/>
        <v>0</v>
      </c>
      <c r="K40" s="13" t="e">
        <f t="shared" ca="1" si="3"/>
        <v>#N/A</v>
      </c>
      <c r="L40" s="13" t="e">
        <f t="shared" ca="1" si="4"/>
        <v>#N/A</v>
      </c>
      <c r="M40" t="e">
        <f t="shared" ca="1" si="5"/>
        <v>#N/A</v>
      </c>
      <c r="N40" t="e">
        <f t="shared" ca="1" si="6"/>
        <v>#N/A</v>
      </c>
    </row>
    <row r="41" spans="1:14" x14ac:dyDescent="0.25">
      <c r="A41" s="8">
        <f t="shared" si="9"/>
        <v>0.42355324074074041</v>
      </c>
      <c r="B41" s="4">
        <f t="shared" si="10"/>
        <v>1553300595</v>
      </c>
      <c r="C41">
        <v>2</v>
      </c>
      <c r="D41">
        <v>6</v>
      </c>
      <c r="E41" t="e">
        <f t="shared" ca="1" si="12"/>
        <v>#N/A</v>
      </c>
      <c r="F41" t="e">
        <f t="shared" ca="1" si="13"/>
        <v>#N/A</v>
      </c>
      <c r="G41">
        <f t="shared" ca="1" si="14"/>
        <v>8229.6</v>
      </c>
      <c r="H41" s="13" t="e">
        <f t="shared" ca="1" si="2"/>
        <v>#N/A</v>
      </c>
      <c r="I41" s="13" t="e">
        <f t="shared" ca="1" si="2"/>
        <v>#N/A</v>
      </c>
      <c r="J41" s="13">
        <f t="shared" ca="1" si="2"/>
        <v>0</v>
      </c>
      <c r="K41" s="13" t="e">
        <f t="shared" ca="1" si="3"/>
        <v>#N/A</v>
      </c>
      <c r="L41" s="13" t="e">
        <f t="shared" ca="1" si="4"/>
        <v>#N/A</v>
      </c>
      <c r="M41" t="e">
        <f t="shared" ca="1" si="5"/>
        <v>#N/A</v>
      </c>
      <c r="N41" t="e">
        <f t="shared" ca="1" si="6"/>
        <v>#N/A</v>
      </c>
    </row>
    <row r="42" spans="1:14" x14ac:dyDescent="0.25">
      <c r="A42" s="8">
        <f t="shared" si="9"/>
        <v>0.42361111111111077</v>
      </c>
      <c r="B42" s="4">
        <f t="shared" si="10"/>
        <v>1553300600</v>
      </c>
      <c r="C42">
        <v>2</v>
      </c>
      <c r="D42">
        <v>6</v>
      </c>
      <c r="E42" t="e">
        <f t="shared" ca="1" si="12"/>
        <v>#N/A</v>
      </c>
      <c r="F42" t="e">
        <f t="shared" ca="1" si="13"/>
        <v>#N/A</v>
      </c>
      <c r="G42">
        <f t="shared" ca="1" si="14"/>
        <v>8229.6</v>
      </c>
      <c r="H42" s="13" t="e">
        <f t="shared" ca="1" si="2"/>
        <v>#N/A</v>
      </c>
      <c r="I42" s="13" t="e">
        <f t="shared" ca="1" si="2"/>
        <v>#N/A</v>
      </c>
      <c r="J42" s="13">
        <f t="shared" ca="1" si="2"/>
        <v>0</v>
      </c>
      <c r="K42" s="13" t="e">
        <f t="shared" ca="1" si="3"/>
        <v>#N/A</v>
      </c>
      <c r="L42" s="13" t="e">
        <f t="shared" ca="1" si="4"/>
        <v>#N/A</v>
      </c>
      <c r="M42" t="e">
        <f t="shared" ca="1" si="5"/>
        <v>#N/A</v>
      </c>
      <c r="N42" t="e">
        <f t="shared" ca="1" si="6"/>
        <v>#N/A</v>
      </c>
    </row>
    <row r="43" spans="1:14" x14ac:dyDescent="0.25">
      <c r="A43" s="8">
        <f t="shared" si="9"/>
        <v>0.42366898148148113</v>
      </c>
      <c r="B43" s="4">
        <f t="shared" si="10"/>
        <v>1553300605</v>
      </c>
      <c r="C43">
        <v>2</v>
      </c>
      <c r="D43">
        <v>6</v>
      </c>
      <c r="E43" t="e">
        <f t="shared" ca="1" si="12"/>
        <v>#N/A</v>
      </c>
      <c r="F43" t="e">
        <f t="shared" ca="1" si="13"/>
        <v>#N/A</v>
      </c>
      <c r="G43">
        <f t="shared" ca="1" si="14"/>
        <v>8229.6</v>
      </c>
      <c r="H43" s="13" t="e">
        <f t="shared" ca="1" si="2"/>
        <v>#N/A</v>
      </c>
      <c r="I43" s="13" t="e">
        <f t="shared" ca="1" si="2"/>
        <v>#N/A</v>
      </c>
      <c r="J43" s="13">
        <f t="shared" ca="1" si="2"/>
        <v>0</v>
      </c>
      <c r="K43" s="13" t="e">
        <f t="shared" ca="1" si="3"/>
        <v>#N/A</v>
      </c>
      <c r="L43" s="13" t="e">
        <f t="shared" ca="1" si="4"/>
        <v>#N/A</v>
      </c>
      <c r="M43" t="e">
        <f t="shared" ca="1" si="5"/>
        <v>#N/A</v>
      </c>
      <c r="N43" t="e">
        <f t="shared" ca="1" si="6"/>
        <v>#N/A</v>
      </c>
    </row>
    <row r="44" spans="1:14" x14ac:dyDescent="0.25">
      <c r="A44" s="8">
        <f t="shared" si="9"/>
        <v>0.42372685185185149</v>
      </c>
      <c r="B44" s="4">
        <f t="shared" si="10"/>
        <v>1553300610</v>
      </c>
      <c r="C44">
        <v>2</v>
      </c>
      <c r="D44">
        <v>6</v>
      </c>
      <c r="E44" t="e">
        <f t="shared" ca="1" si="12"/>
        <v>#N/A</v>
      </c>
      <c r="F44" t="e">
        <f t="shared" ca="1" si="13"/>
        <v>#N/A</v>
      </c>
      <c r="G44">
        <f t="shared" ca="1" si="14"/>
        <v>8229.6</v>
      </c>
      <c r="H44" s="13" t="e">
        <f t="shared" ca="1" si="2"/>
        <v>#N/A</v>
      </c>
      <c r="I44" s="13" t="e">
        <f t="shared" ca="1" si="2"/>
        <v>#N/A</v>
      </c>
      <c r="J44" s="13">
        <f t="shared" ca="1" si="2"/>
        <v>0</v>
      </c>
      <c r="K44" s="13" t="e">
        <f t="shared" ca="1" si="3"/>
        <v>#N/A</v>
      </c>
      <c r="L44" s="13" t="e">
        <f t="shared" ca="1" si="4"/>
        <v>#N/A</v>
      </c>
      <c r="M44" t="e">
        <f t="shared" ca="1" si="5"/>
        <v>#N/A</v>
      </c>
      <c r="N44" t="e">
        <f t="shared" ca="1" si="6"/>
        <v>#N/A</v>
      </c>
    </row>
    <row r="45" spans="1:14" x14ac:dyDescent="0.25">
      <c r="A45" s="8">
        <f t="shared" si="9"/>
        <v>0.42378472222222185</v>
      </c>
      <c r="B45" s="4">
        <f t="shared" si="10"/>
        <v>1553300615</v>
      </c>
      <c r="C45">
        <v>2</v>
      </c>
      <c r="D45">
        <v>6</v>
      </c>
      <c r="E45" t="e">
        <f t="shared" ca="1" si="12"/>
        <v>#N/A</v>
      </c>
      <c r="F45" t="e">
        <f t="shared" ca="1" si="13"/>
        <v>#N/A</v>
      </c>
      <c r="G45">
        <f t="shared" ca="1" si="14"/>
        <v>8229.6</v>
      </c>
      <c r="H45" s="13" t="e">
        <f t="shared" ca="1" si="2"/>
        <v>#N/A</v>
      </c>
      <c r="I45" s="13" t="e">
        <f t="shared" ca="1" si="2"/>
        <v>#N/A</v>
      </c>
      <c r="J45" s="13">
        <f t="shared" ca="1" si="2"/>
        <v>0</v>
      </c>
      <c r="K45" s="13" t="e">
        <f t="shared" ca="1" si="3"/>
        <v>#N/A</v>
      </c>
      <c r="L45" s="13" t="e">
        <f t="shared" ca="1" si="4"/>
        <v>#N/A</v>
      </c>
      <c r="M45" t="e">
        <f t="shared" ca="1" si="5"/>
        <v>#N/A</v>
      </c>
      <c r="N45" t="e">
        <f t="shared" ca="1" si="6"/>
        <v>#N/A</v>
      </c>
    </row>
    <row r="46" spans="1:14" x14ac:dyDescent="0.25">
      <c r="A46" s="8">
        <f t="shared" si="9"/>
        <v>0.42384259259259222</v>
      </c>
      <c r="B46" s="4">
        <f t="shared" si="10"/>
        <v>1553300620</v>
      </c>
      <c r="C46">
        <v>2</v>
      </c>
      <c r="D46">
        <v>6</v>
      </c>
      <c r="E46" t="e">
        <f t="shared" ca="1" si="12"/>
        <v>#N/A</v>
      </c>
      <c r="F46" t="e">
        <f t="shared" ca="1" si="13"/>
        <v>#N/A</v>
      </c>
      <c r="G46">
        <f t="shared" ca="1" si="14"/>
        <v>8229.6</v>
      </c>
      <c r="H46" s="13" t="e">
        <f t="shared" ca="1" si="2"/>
        <v>#N/A</v>
      </c>
      <c r="I46" s="13" t="e">
        <f t="shared" ca="1" si="2"/>
        <v>#N/A</v>
      </c>
      <c r="J46" s="13">
        <f t="shared" ca="1" si="2"/>
        <v>0</v>
      </c>
      <c r="K46" s="13" t="e">
        <f t="shared" ca="1" si="3"/>
        <v>#N/A</v>
      </c>
      <c r="L46" s="13" t="e">
        <f t="shared" ca="1" si="4"/>
        <v>#N/A</v>
      </c>
      <c r="M46" t="e">
        <f t="shared" ca="1" si="5"/>
        <v>#N/A</v>
      </c>
      <c r="N46" t="e">
        <f t="shared" ca="1" si="6"/>
        <v>#N/A</v>
      </c>
    </row>
    <row r="47" spans="1:14" x14ac:dyDescent="0.25">
      <c r="A47" s="8">
        <f t="shared" si="9"/>
        <v>0.42390046296296258</v>
      </c>
      <c r="B47" s="4">
        <f t="shared" si="10"/>
        <v>1553300625</v>
      </c>
      <c r="C47">
        <v>2</v>
      </c>
      <c r="D47">
        <v>6</v>
      </c>
      <c r="E47" t="e">
        <f t="shared" ca="1" si="12"/>
        <v>#N/A</v>
      </c>
      <c r="F47" t="e">
        <f t="shared" ca="1" si="13"/>
        <v>#N/A</v>
      </c>
      <c r="G47">
        <f t="shared" ca="1" si="14"/>
        <v>8229.6</v>
      </c>
      <c r="H47" s="13" t="e">
        <f t="shared" ca="1" si="2"/>
        <v>#N/A</v>
      </c>
      <c r="I47" s="13" t="e">
        <f t="shared" ca="1" si="2"/>
        <v>#N/A</v>
      </c>
      <c r="J47" s="13">
        <f t="shared" ca="1" si="2"/>
        <v>0</v>
      </c>
      <c r="K47" s="13" t="e">
        <f t="shared" ca="1" si="3"/>
        <v>#N/A</v>
      </c>
      <c r="L47" s="13" t="e">
        <f t="shared" ca="1" si="4"/>
        <v>#N/A</v>
      </c>
      <c r="M47" t="e">
        <f t="shared" ca="1" si="5"/>
        <v>#N/A</v>
      </c>
      <c r="N47" t="e">
        <f t="shared" ca="1" si="6"/>
        <v>#N/A</v>
      </c>
    </row>
    <row r="48" spans="1:14" x14ac:dyDescent="0.25">
      <c r="A48" s="8">
        <f t="shared" si="9"/>
        <v>0.42395833333333294</v>
      </c>
      <c r="B48" s="4">
        <f t="shared" si="10"/>
        <v>1553300630</v>
      </c>
      <c r="C48">
        <v>2</v>
      </c>
      <c r="D48">
        <v>6</v>
      </c>
      <c r="E48" t="e">
        <f t="shared" ca="1" si="12"/>
        <v>#N/A</v>
      </c>
      <c r="F48" t="e">
        <f t="shared" ca="1" si="13"/>
        <v>#N/A</v>
      </c>
      <c r="G48">
        <f t="shared" ca="1" si="14"/>
        <v>8229.6</v>
      </c>
      <c r="H48" s="13" t="e">
        <f t="shared" ca="1" si="2"/>
        <v>#N/A</v>
      </c>
      <c r="I48" s="13" t="e">
        <f t="shared" ca="1" si="2"/>
        <v>#N/A</v>
      </c>
      <c r="J48" s="13">
        <f t="shared" ca="1" si="2"/>
        <v>0</v>
      </c>
      <c r="K48" s="13" t="e">
        <f t="shared" ca="1" si="3"/>
        <v>#N/A</v>
      </c>
      <c r="L48" s="13" t="e">
        <f t="shared" ca="1" si="4"/>
        <v>#N/A</v>
      </c>
      <c r="M48" t="e">
        <f t="shared" ca="1" si="5"/>
        <v>#N/A</v>
      </c>
      <c r="N48" t="e">
        <f t="shared" ca="1" si="6"/>
        <v>#N/A</v>
      </c>
    </row>
    <row r="49" spans="1:14" x14ac:dyDescent="0.25">
      <c r="A49" s="8">
        <f t="shared" si="9"/>
        <v>0.4240162037037033</v>
      </c>
      <c r="B49" s="4">
        <f t="shared" si="10"/>
        <v>1553300635</v>
      </c>
      <c r="C49">
        <v>2</v>
      </c>
      <c r="D49">
        <v>6</v>
      </c>
      <c r="E49" t="e">
        <f t="shared" ca="1" si="12"/>
        <v>#N/A</v>
      </c>
      <c r="F49" t="e">
        <f t="shared" ca="1" si="13"/>
        <v>#N/A</v>
      </c>
      <c r="G49">
        <f t="shared" ca="1" si="14"/>
        <v>8229.6</v>
      </c>
      <c r="H49" s="13" t="e">
        <f t="shared" ca="1" si="2"/>
        <v>#N/A</v>
      </c>
      <c r="I49" s="13" t="e">
        <f t="shared" ca="1" si="2"/>
        <v>#N/A</v>
      </c>
      <c r="J49" s="13">
        <f t="shared" ca="1" si="2"/>
        <v>0</v>
      </c>
      <c r="K49" s="13" t="e">
        <f t="shared" ca="1" si="3"/>
        <v>#N/A</v>
      </c>
      <c r="L49" s="13" t="e">
        <f t="shared" ca="1" si="4"/>
        <v>#N/A</v>
      </c>
      <c r="M49" t="e">
        <f t="shared" ca="1" si="5"/>
        <v>#N/A</v>
      </c>
      <c r="N49" t="e">
        <f t="shared" ca="1" si="6"/>
        <v>#N/A</v>
      </c>
    </row>
    <row r="50" spans="1:14" x14ac:dyDescent="0.25">
      <c r="A50" s="8">
        <f t="shared" si="9"/>
        <v>0.42407407407407366</v>
      </c>
      <c r="B50" s="4">
        <f t="shared" si="10"/>
        <v>1553300640</v>
      </c>
      <c r="C50">
        <v>2</v>
      </c>
      <c r="D50">
        <v>6</v>
      </c>
      <c r="E50" t="e">
        <f t="shared" ca="1" si="12"/>
        <v>#N/A</v>
      </c>
      <c r="F50" t="e">
        <f t="shared" ca="1" si="13"/>
        <v>#N/A</v>
      </c>
      <c r="G50">
        <f t="shared" ca="1" si="14"/>
        <v>8229.6</v>
      </c>
      <c r="H50" s="13" t="e">
        <f t="shared" ca="1" si="2"/>
        <v>#N/A</v>
      </c>
      <c r="I50" s="13" t="e">
        <f t="shared" ca="1" si="2"/>
        <v>#N/A</v>
      </c>
      <c r="J50" s="13">
        <f t="shared" ca="1" si="2"/>
        <v>0</v>
      </c>
      <c r="K50" s="13" t="e">
        <f t="shared" ca="1" si="3"/>
        <v>#N/A</v>
      </c>
      <c r="L50" s="13" t="e">
        <f t="shared" ca="1" si="4"/>
        <v>#N/A</v>
      </c>
      <c r="M50" t="e">
        <f t="shared" ca="1" si="5"/>
        <v>#N/A</v>
      </c>
      <c r="N50" t="e">
        <f t="shared" ca="1" si="6"/>
        <v>#N/A</v>
      </c>
    </row>
    <row r="51" spans="1:14" x14ac:dyDescent="0.25">
      <c r="A51" s="8">
        <f t="shared" si="9"/>
        <v>0.42413194444444402</v>
      </c>
      <c r="B51" s="4">
        <f t="shared" si="10"/>
        <v>1553300645</v>
      </c>
      <c r="C51">
        <v>2</v>
      </c>
      <c r="D51">
        <v>6</v>
      </c>
      <c r="E51" t="e">
        <f t="shared" ca="1" si="12"/>
        <v>#N/A</v>
      </c>
      <c r="F51" t="e">
        <f t="shared" ca="1" si="13"/>
        <v>#N/A</v>
      </c>
      <c r="G51">
        <f t="shared" ca="1" si="14"/>
        <v>8229.6</v>
      </c>
      <c r="H51" s="13" t="e">
        <f t="shared" ca="1" si="2"/>
        <v>#N/A</v>
      </c>
      <c r="I51" s="13" t="e">
        <f t="shared" ca="1" si="2"/>
        <v>#N/A</v>
      </c>
      <c r="J51" s="13">
        <f t="shared" ca="1" si="2"/>
        <v>0</v>
      </c>
      <c r="K51" s="13" t="e">
        <f t="shared" ca="1" si="3"/>
        <v>#N/A</v>
      </c>
      <c r="L51" s="13" t="e">
        <f t="shared" ca="1" si="4"/>
        <v>#N/A</v>
      </c>
      <c r="M51" t="e">
        <f t="shared" ca="1" si="5"/>
        <v>#N/A</v>
      </c>
      <c r="N51" t="e">
        <f t="shared" ca="1" si="6"/>
        <v>#N/A</v>
      </c>
    </row>
    <row r="52" spans="1:14" x14ac:dyDescent="0.25">
      <c r="A52" s="8">
        <f>A51+5/24/3600</f>
        <v>0.42418981481481438</v>
      </c>
      <c r="B52" s="4">
        <f t="shared" si="10"/>
        <v>1553300650</v>
      </c>
      <c r="C52">
        <v>2</v>
      </c>
      <c r="D52">
        <v>6</v>
      </c>
      <c r="E52" t="e">
        <f t="shared" ca="1" si="12"/>
        <v>#N/A</v>
      </c>
      <c r="F52" t="e">
        <f t="shared" ca="1" si="13"/>
        <v>#N/A</v>
      </c>
      <c r="G52">
        <f t="shared" ca="1" si="14"/>
        <v>8229.6</v>
      </c>
      <c r="H52" s="13" t="e">
        <f t="shared" ref="H52:H53" ca="1" si="15">(E53-E52)/($B53-$B52)</f>
        <v>#N/A</v>
      </c>
      <c r="I52" s="13" t="e">
        <f t="shared" ref="I52:I53" ca="1" si="16">(F53-F52)/($B53-$B52)</f>
        <v>#N/A</v>
      </c>
      <c r="J52" s="13">
        <f t="shared" ref="J52:J53" ca="1" si="17">(G53-G52)/($B53-$B52)</f>
        <v>0</v>
      </c>
      <c r="K52" s="13" t="e">
        <f t="shared" ref="K52:K53" ca="1" si="18">SQRT(H52*H52+I52*I52)</f>
        <v>#N/A</v>
      </c>
      <c r="L52" s="13" t="e">
        <f t="shared" ref="L52:L53" ca="1" si="19">DEGREES(ATAN2(I52,H52))</f>
        <v>#N/A</v>
      </c>
      <c r="M52" t="e">
        <f t="shared" ca="1" si="5"/>
        <v>#N/A</v>
      </c>
      <c r="N52" t="e">
        <f t="shared" ca="1" si="6"/>
        <v>#N/A</v>
      </c>
    </row>
    <row r="53" spans="1:14" x14ac:dyDescent="0.25">
      <c r="A53" s="8">
        <f t="shared" si="9"/>
        <v>0.42424768518518474</v>
      </c>
      <c r="B53" s="4">
        <f t="shared" si="10"/>
        <v>1553300655</v>
      </c>
      <c r="C53">
        <v>2</v>
      </c>
      <c r="D53">
        <v>6</v>
      </c>
      <c r="E53" t="e">
        <f t="shared" ca="1" si="12"/>
        <v>#N/A</v>
      </c>
      <c r="F53" t="e">
        <f t="shared" ca="1" si="13"/>
        <v>#N/A</v>
      </c>
      <c r="G53">
        <f t="shared" ca="1" si="14"/>
        <v>8229.6</v>
      </c>
      <c r="H53" s="13" t="e">
        <f t="shared" ca="1" si="15"/>
        <v>#N/A</v>
      </c>
      <c r="I53" s="13" t="e">
        <f t="shared" ca="1" si="16"/>
        <v>#N/A</v>
      </c>
      <c r="J53" s="13">
        <f t="shared" ca="1" si="17"/>
        <v>0</v>
      </c>
      <c r="K53" s="13" t="e">
        <f t="shared" ca="1" si="18"/>
        <v>#N/A</v>
      </c>
      <c r="L53" s="13" t="e">
        <f t="shared" ca="1" si="19"/>
        <v>#N/A</v>
      </c>
      <c r="M53" t="e">
        <f t="shared" ca="1" si="5"/>
        <v>#N/A</v>
      </c>
      <c r="N53" t="e">
        <f t="shared" ca="1" si="6"/>
        <v>#N/A</v>
      </c>
    </row>
    <row r="54" spans="1:14" x14ac:dyDescent="0.25">
      <c r="A54" s="12">
        <f t="shared" si="9"/>
        <v>0.4243055555555551</v>
      </c>
      <c r="B54" s="4">
        <f t="shared" si="10"/>
        <v>1553300660</v>
      </c>
      <c r="C54">
        <v>2</v>
      </c>
      <c r="D54">
        <v>6</v>
      </c>
      <c r="E54" t="e">
        <f t="shared" ca="1" si="12"/>
        <v>#N/A</v>
      </c>
      <c r="F54" t="e">
        <f t="shared" ca="1" si="13"/>
        <v>#N/A</v>
      </c>
      <c r="G54">
        <f t="shared" ca="1" si="14"/>
        <v>8229.6</v>
      </c>
      <c r="H54" s="13" t="e">
        <f t="shared" ref="H54:J90" ca="1" si="20">(E55-E54)/($B55-$B54)</f>
        <v>#N/A</v>
      </c>
      <c r="I54" s="13" t="e">
        <f t="shared" ref="I54:I95" ca="1" si="21">(F55-F54)/($B55-$B54)</f>
        <v>#N/A</v>
      </c>
      <c r="J54" s="13">
        <f t="shared" ref="J54:J86" ca="1" si="22">(G55-G54)/($B55-$B54)</f>
        <v>0</v>
      </c>
      <c r="K54" s="13" t="e">
        <f t="shared" ref="K54:K92" ca="1" si="23">SQRT(H54*H54+I54*I54)</f>
        <v>#N/A</v>
      </c>
      <c r="L54" s="13" t="e">
        <f t="shared" ref="L54:L92" ca="1" si="24">DEGREES(ATAN2(I54,H54))</f>
        <v>#N/A</v>
      </c>
      <c r="M54" t="e">
        <f t="shared" ca="1" si="5"/>
        <v>#N/A</v>
      </c>
      <c r="N54" t="e">
        <f t="shared" ca="1" si="6"/>
        <v>#N/A</v>
      </c>
    </row>
    <row r="55" spans="1:14" x14ac:dyDescent="0.25">
      <c r="A55" s="8">
        <f t="shared" si="9"/>
        <v>0.42436342592592546</v>
      </c>
      <c r="B55" s="4">
        <f t="shared" si="10"/>
        <v>1553300665</v>
      </c>
      <c r="C55">
        <v>2</v>
      </c>
      <c r="D55">
        <v>6</v>
      </c>
      <c r="E55" t="e">
        <f t="shared" ca="1" si="12"/>
        <v>#N/A</v>
      </c>
      <c r="F55" t="e">
        <f t="shared" ca="1" si="13"/>
        <v>#N/A</v>
      </c>
      <c r="G55">
        <f t="shared" ca="1" si="14"/>
        <v>8229.6</v>
      </c>
      <c r="H55" s="13" t="e">
        <f t="shared" ca="1" si="20"/>
        <v>#N/A</v>
      </c>
      <c r="I55" s="13" t="e">
        <f t="shared" ca="1" si="21"/>
        <v>#N/A</v>
      </c>
      <c r="J55" s="13">
        <f t="shared" ca="1" si="22"/>
        <v>0</v>
      </c>
      <c r="K55" s="13" t="e">
        <f t="shared" ca="1" si="23"/>
        <v>#N/A</v>
      </c>
      <c r="L55" s="13" t="e">
        <f t="shared" ca="1" si="24"/>
        <v>#N/A</v>
      </c>
      <c r="M55" t="e">
        <f t="shared" ca="1" si="5"/>
        <v>#N/A</v>
      </c>
      <c r="N55" t="e">
        <f t="shared" ca="1" si="6"/>
        <v>#N/A</v>
      </c>
    </row>
    <row r="56" spans="1:14" x14ac:dyDescent="0.25">
      <c r="A56" s="8">
        <f t="shared" si="9"/>
        <v>0.42442129629629582</v>
      </c>
      <c r="B56" s="4">
        <f t="shared" si="10"/>
        <v>1553300670</v>
      </c>
      <c r="C56">
        <v>2</v>
      </c>
      <c r="D56">
        <v>6</v>
      </c>
      <c r="E56" t="e">
        <f t="shared" ca="1" si="12"/>
        <v>#N/A</v>
      </c>
      <c r="F56" t="e">
        <f t="shared" ca="1" si="13"/>
        <v>#N/A</v>
      </c>
      <c r="G56">
        <f t="shared" ca="1" si="14"/>
        <v>8229.6</v>
      </c>
      <c r="H56" s="13" t="e">
        <f t="shared" ca="1" si="20"/>
        <v>#N/A</v>
      </c>
      <c r="I56" s="13" t="e">
        <f t="shared" ca="1" si="21"/>
        <v>#N/A</v>
      </c>
      <c r="J56" s="13">
        <f t="shared" ca="1" si="22"/>
        <v>0</v>
      </c>
      <c r="K56" s="13" t="e">
        <f t="shared" ca="1" si="23"/>
        <v>#N/A</v>
      </c>
      <c r="L56" s="13" t="e">
        <f t="shared" ca="1" si="24"/>
        <v>#N/A</v>
      </c>
      <c r="M56" t="e">
        <f t="shared" ca="1" si="5"/>
        <v>#N/A</v>
      </c>
      <c r="N56" t="e">
        <f t="shared" ca="1" si="6"/>
        <v>#N/A</v>
      </c>
    </row>
    <row r="57" spans="1:14" x14ac:dyDescent="0.25">
      <c r="A57" s="8">
        <f t="shared" si="9"/>
        <v>0.42447916666666619</v>
      </c>
      <c r="B57" s="4">
        <f t="shared" si="10"/>
        <v>1553300675</v>
      </c>
      <c r="C57">
        <v>2</v>
      </c>
      <c r="D57">
        <v>6</v>
      </c>
      <c r="E57" t="e">
        <f t="shared" ca="1" si="12"/>
        <v>#N/A</v>
      </c>
      <c r="F57" t="e">
        <f t="shared" ca="1" si="13"/>
        <v>#N/A</v>
      </c>
      <c r="G57">
        <f t="shared" ca="1" si="14"/>
        <v>8229.6</v>
      </c>
      <c r="H57" s="13" t="e">
        <f t="shared" ca="1" si="20"/>
        <v>#N/A</v>
      </c>
      <c r="I57" s="13" t="e">
        <f t="shared" ca="1" si="21"/>
        <v>#N/A</v>
      </c>
      <c r="J57" s="13">
        <f t="shared" ca="1" si="22"/>
        <v>0</v>
      </c>
      <c r="K57" s="13" t="e">
        <f t="shared" ca="1" si="23"/>
        <v>#N/A</v>
      </c>
      <c r="L57" s="13" t="e">
        <f t="shared" ca="1" si="24"/>
        <v>#N/A</v>
      </c>
      <c r="M57" t="e">
        <f t="shared" ca="1" si="5"/>
        <v>#N/A</v>
      </c>
      <c r="N57" t="e">
        <f t="shared" ca="1" si="6"/>
        <v>#N/A</v>
      </c>
    </row>
    <row r="58" spans="1:14" x14ac:dyDescent="0.25">
      <c r="A58" s="8">
        <f t="shared" si="9"/>
        <v>0.42453703703703655</v>
      </c>
      <c r="B58" s="4">
        <f t="shared" si="10"/>
        <v>1553300680</v>
      </c>
      <c r="C58">
        <v>2</v>
      </c>
      <c r="D58">
        <v>6</v>
      </c>
      <c r="E58" t="e">
        <f t="shared" ca="1" si="12"/>
        <v>#N/A</v>
      </c>
      <c r="F58" t="e">
        <f t="shared" ca="1" si="13"/>
        <v>#N/A</v>
      </c>
      <c r="G58">
        <f t="shared" ca="1" si="14"/>
        <v>8229.6</v>
      </c>
      <c r="H58" s="13" t="e">
        <f t="shared" ca="1" si="20"/>
        <v>#N/A</v>
      </c>
      <c r="I58" s="13" t="e">
        <f t="shared" ca="1" si="21"/>
        <v>#N/A</v>
      </c>
      <c r="J58" s="13">
        <f t="shared" ca="1" si="22"/>
        <v>0</v>
      </c>
      <c r="K58" s="13" t="e">
        <f t="shared" ca="1" si="23"/>
        <v>#N/A</v>
      </c>
      <c r="L58" s="13" t="e">
        <f t="shared" ca="1" si="24"/>
        <v>#N/A</v>
      </c>
      <c r="M58" t="e">
        <f t="shared" ca="1" si="5"/>
        <v>#N/A</v>
      </c>
      <c r="N58" t="e">
        <f t="shared" ca="1" si="6"/>
        <v>#N/A</v>
      </c>
    </row>
    <row r="59" spans="1:14" x14ac:dyDescent="0.25">
      <c r="A59" s="8">
        <f t="shared" si="9"/>
        <v>0.42459490740740691</v>
      </c>
      <c r="B59" s="4">
        <f t="shared" si="10"/>
        <v>1553300685</v>
      </c>
      <c r="C59">
        <v>2</v>
      </c>
      <c r="D59">
        <v>6</v>
      </c>
      <c r="E59" t="e">
        <f t="shared" ca="1" si="12"/>
        <v>#N/A</v>
      </c>
      <c r="F59" t="e">
        <f t="shared" ca="1" si="13"/>
        <v>#N/A</v>
      </c>
      <c r="G59">
        <f t="shared" ca="1" si="14"/>
        <v>8229.6</v>
      </c>
      <c r="H59" s="13" t="e">
        <f t="shared" ca="1" si="20"/>
        <v>#N/A</v>
      </c>
      <c r="I59" s="13" t="e">
        <f t="shared" ca="1" si="21"/>
        <v>#N/A</v>
      </c>
      <c r="J59" s="13">
        <f t="shared" ca="1" si="22"/>
        <v>0</v>
      </c>
      <c r="K59" s="13" t="e">
        <f t="shared" ca="1" si="23"/>
        <v>#N/A</v>
      </c>
      <c r="L59" s="13" t="e">
        <f t="shared" ca="1" si="24"/>
        <v>#N/A</v>
      </c>
      <c r="M59" t="e">
        <f t="shared" ca="1" si="5"/>
        <v>#N/A</v>
      </c>
      <c r="N59" t="e">
        <f t="shared" ca="1" si="6"/>
        <v>#N/A</v>
      </c>
    </row>
    <row r="60" spans="1:14" x14ac:dyDescent="0.25">
      <c r="A60" s="8">
        <f t="shared" si="9"/>
        <v>0.42465277777777727</v>
      </c>
      <c r="B60" s="4">
        <f t="shared" si="10"/>
        <v>1553300690</v>
      </c>
      <c r="C60">
        <v>2</v>
      </c>
      <c r="D60">
        <v>6</v>
      </c>
      <c r="E60" t="e">
        <f t="shared" ca="1" si="12"/>
        <v>#N/A</v>
      </c>
      <c r="F60" t="e">
        <f t="shared" ca="1" si="13"/>
        <v>#N/A</v>
      </c>
      <c r="G60">
        <f t="shared" ca="1" si="14"/>
        <v>8229.6</v>
      </c>
      <c r="H60" s="13" t="e">
        <f t="shared" ca="1" si="20"/>
        <v>#N/A</v>
      </c>
      <c r="I60" s="13" t="e">
        <f t="shared" ca="1" si="21"/>
        <v>#N/A</v>
      </c>
      <c r="J60" s="13">
        <f t="shared" ca="1" si="22"/>
        <v>0</v>
      </c>
      <c r="K60" s="13" t="e">
        <f t="shared" ca="1" si="23"/>
        <v>#N/A</v>
      </c>
      <c r="L60" s="13" t="e">
        <f t="shared" ca="1" si="24"/>
        <v>#N/A</v>
      </c>
      <c r="M60" t="e">
        <f t="shared" ca="1" si="5"/>
        <v>#N/A</v>
      </c>
      <c r="N60" t="e">
        <f t="shared" ca="1" si="6"/>
        <v>#N/A</v>
      </c>
    </row>
    <row r="61" spans="1:14" x14ac:dyDescent="0.25">
      <c r="A61" s="8">
        <f t="shared" si="9"/>
        <v>0.42471064814814763</v>
      </c>
      <c r="B61" s="4">
        <f t="shared" si="10"/>
        <v>1553300695</v>
      </c>
      <c r="C61">
        <v>2</v>
      </c>
      <c r="D61">
        <v>6</v>
      </c>
      <c r="E61" t="e">
        <f t="shared" ca="1" si="12"/>
        <v>#N/A</v>
      </c>
      <c r="F61" t="e">
        <f t="shared" ca="1" si="13"/>
        <v>#N/A</v>
      </c>
      <c r="G61">
        <f t="shared" ca="1" si="14"/>
        <v>8229.6</v>
      </c>
      <c r="H61" s="13" t="e">
        <f t="shared" ca="1" si="20"/>
        <v>#N/A</v>
      </c>
      <c r="I61" s="13" t="e">
        <f t="shared" ca="1" si="21"/>
        <v>#N/A</v>
      </c>
      <c r="J61" s="13">
        <f t="shared" ca="1" si="22"/>
        <v>0</v>
      </c>
      <c r="K61" s="13" t="e">
        <f t="shared" ca="1" si="23"/>
        <v>#N/A</v>
      </c>
      <c r="L61" s="13" t="e">
        <f t="shared" ca="1" si="24"/>
        <v>#N/A</v>
      </c>
      <c r="M61" t="e">
        <f t="shared" ca="1" si="5"/>
        <v>#N/A</v>
      </c>
      <c r="N61" t="e">
        <f t="shared" ca="1" si="6"/>
        <v>#N/A</v>
      </c>
    </row>
    <row r="62" spans="1:14" x14ac:dyDescent="0.25">
      <c r="A62" s="8">
        <f t="shared" si="9"/>
        <v>0.42476851851851799</v>
      </c>
      <c r="B62" s="4">
        <f t="shared" si="10"/>
        <v>1553300700</v>
      </c>
      <c r="C62">
        <v>2</v>
      </c>
      <c r="D62">
        <v>6</v>
      </c>
      <c r="E62" t="e">
        <f t="shared" ca="1" si="12"/>
        <v>#N/A</v>
      </c>
      <c r="F62" t="e">
        <f t="shared" ca="1" si="13"/>
        <v>#N/A</v>
      </c>
      <c r="G62">
        <f t="shared" ca="1" si="14"/>
        <v>8229.6</v>
      </c>
      <c r="H62" s="13" t="e">
        <f t="shared" ca="1" si="20"/>
        <v>#N/A</v>
      </c>
      <c r="I62" s="13" t="e">
        <f t="shared" ca="1" si="21"/>
        <v>#N/A</v>
      </c>
      <c r="J62" s="13">
        <f t="shared" ca="1" si="22"/>
        <v>0</v>
      </c>
      <c r="K62" s="13" t="e">
        <f t="shared" ca="1" si="23"/>
        <v>#N/A</v>
      </c>
      <c r="L62" s="13" t="e">
        <f t="shared" ca="1" si="24"/>
        <v>#N/A</v>
      </c>
      <c r="M62" t="e">
        <f t="shared" ca="1" si="5"/>
        <v>#N/A</v>
      </c>
      <c r="N62" t="e">
        <f t="shared" ca="1" si="6"/>
        <v>#N/A</v>
      </c>
    </row>
    <row r="63" spans="1:14" x14ac:dyDescent="0.25">
      <c r="A63" s="8">
        <f t="shared" si="9"/>
        <v>0.42482638888888835</v>
      </c>
      <c r="B63" s="4">
        <f t="shared" si="10"/>
        <v>1553300705</v>
      </c>
      <c r="C63">
        <v>2</v>
      </c>
      <c r="D63">
        <v>6</v>
      </c>
      <c r="E63" t="e">
        <f t="shared" ca="1" si="12"/>
        <v>#N/A</v>
      </c>
      <c r="F63" t="e">
        <f t="shared" ca="1" si="13"/>
        <v>#N/A</v>
      </c>
      <c r="G63">
        <f t="shared" ca="1" si="14"/>
        <v>8229.6</v>
      </c>
      <c r="H63" s="13" t="e">
        <f t="shared" ca="1" si="20"/>
        <v>#N/A</v>
      </c>
      <c r="I63" s="13" t="e">
        <f t="shared" ca="1" si="21"/>
        <v>#N/A</v>
      </c>
      <c r="J63" s="13">
        <f t="shared" ca="1" si="22"/>
        <v>0</v>
      </c>
      <c r="K63" s="13" t="e">
        <f t="shared" ca="1" si="23"/>
        <v>#N/A</v>
      </c>
      <c r="L63" s="13" t="e">
        <f t="shared" ca="1" si="24"/>
        <v>#N/A</v>
      </c>
      <c r="M63" t="e">
        <f t="shared" ca="1" si="5"/>
        <v>#N/A</v>
      </c>
      <c r="N63" t="e">
        <f t="shared" ca="1" si="6"/>
        <v>#N/A</v>
      </c>
    </row>
    <row r="64" spans="1:14" x14ac:dyDescent="0.25">
      <c r="A64" s="8">
        <f t="shared" si="9"/>
        <v>0.42488425925925871</v>
      </c>
      <c r="B64" s="4">
        <f t="shared" si="10"/>
        <v>1553300710</v>
      </c>
      <c r="C64">
        <v>2</v>
      </c>
      <c r="D64">
        <v>6</v>
      </c>
      <c r="E64" t="e">
        <f ca="1">INDIRECT("E$"&amp;C64)+INDIRECT("H$"&amp;C64)*($B64-INDIRECT("B$"&amp;D64))</f>
        <v>#N/A</v>
      </c>
      <c r="F64" t="e">
        <f ca="1">INDIRECT("F$"&amp;C64)+INDIRECT("I$"&amp;C64)*($B64-INDIRECT("B$"&amp;D64))</f>
        <v>#N/A</v>
      </c>
      <c r="G64">
        <f ca="1">INDIRECT("G$"&amp;C64)+INDIRECT("J$"&amp;C64)*($B64-INDIRECT("B$"&amp;D64))</f>
        <v>8229.6</v>
      </c>
      <c r="H64" s="13" t="e">
        <f t="shared" ca="1" si="20"/>
        <v>#N/A</v>
      </c>
      <c r="I64" s="13" t="e">
        <f t="shared" ca="1" si="21"/>
        <v>#N/A</v>
      </c>
      <c r="J64" s="13">
        <f t="shared" ca="1" si="22"/>
        <v>0</v>
      </c>
      <c r="K64" s="13" t="e">
        <f t="shared" ca="1" si="23"/>
        <v>#N/A</v>
      </c>
      <c r="L64" s="13" t="e">
        <f t="shared" ca="1" si="24"/>
        <v>#N/A</v>
      </c>
      <c r="M64" t="e">
        <f t="shared" ca="1" si="5"/>
        <v>#N/A</v>
      </c>
      <c r="N64" t="e">
        <f t="shared" ca="1" si="6"/>
        <v>#N/A</v>
      </c>
    </row>
    <row r="65" spans="1:14" x14ac:dyDescent="0.25">
      <c r="A65" s="8">
        <f t="shared" si="9"/>
        <v>0.42494212962962907</v>
      </c>
      <c r="B65" s="4">
        <f t="shared" si="10"/>
        <v>1553300715</v>
      </c>
      <c r="C65">
        <v>2</v>
      </c>
      <c r="D65">
        <v>6</v>
      </c>
      <c r="E65" t="e">
        <f ca="1">INDIRECT("E$"&amp;C65)+INDIRECT("H$"&amp;C65)*($B65-INDIRECT("B$"&amp;D65))</f>
        <v>#N/A</v>
      </c>
      <c r="F65" t="e">
        <f ca="1">INDIRECT("F$"&amp;C65)+INDIRECT("I$"&amp;C65)*($B65-INDIRECT("B$"&amp;D65))</f>
        <v>#N/A</v>
      </c>
      <c r="G65">
        <f t="shared" ref="G65:G87" ca="1" si="25">INDIRECT("G$"&amp;C65)+INDIRECT("J$"&amp;C65)*($B65-INDIRECT("B$"&amp;D65))</f>
        <v>8229.6</v>
      </c>
      <c r="H65" s="13" t="e">
        <f t="shared" ca="1" si="20"/>
        <v>#N/A</v>
      </c>
      <c r="I65" s="13" t="e">
        <f t="shared" ca="1" si="21"/>
        <v>#N/A</v>
      </c>
      <c r="J65" s="13">
        <f t="shared" ca="1" si="22"/>
        <v>0</v>
      </c>
      <c r="K65" s="13" t="e">
        <f t="shared" ca="1" si="23"/>
        <v>#N/A</v>
      </c>
      <c r="L65" s="13" t="e">
        <f t="shared" ca="1" si="24"/>
        <v>#N/A</v>
      </c>
      <c r="M65" t="e">
        <f t="shared" ca="1" si="5"/>
        <v>#N/A</v>
      </c>
      <c r="N65" t="e">
        <f t="shared" ca="1" si="6"/>
        <v>#N/A</v>
      </c>
    </row>
    <row r="66" spans="1:14" x14ac:dyDescent="0.25">
      <c r="A66" s="8">
        <f t="shared" si="9"/>
        <v>0.42499999999999943</v>
      </c>
      <c r="B66" s="4">
        <f t="shared" si="10"/>
        <v>1553300720</v>
      </c>
      <c r="C66">
        <v>2</v>
      </c>
      <c r="D66">
        <v>6</v>
      </c>
      <c r="E66" t="e">
        <f t="shared" ref="E66:E87" ca="1" si="26">INDIRECT("E$"&amp;C66)+INDIRECT("H$"&amp;C66)*($B66-INDIRECT("B$"&amp;D66))</f>
        <v>#N/A</v>
      </c>
      <c r="F66" t="e">
        <f t="shared" ref="F66:F87" ca="1" si="27">INDIRECT("F$"&amp;C66)+INDIRECT("I$"&amp;C66)*($B66-INDIRECT("B$"&amp;D66))</f>
        <v>#N/A</v>
      </c>
      <c r="G66">
        <f t="shared" ca="1" si="25"/>
        <v>8229.6</v>
      </c>
      <c r="H66" s="13" t="e">
        <f t="shared" ca="1" si="20"/>
        <v>#N/A</v>
      </c>
      <c r="I66" s="13" t="e">
        <f t="shared" ca="1" si="21"/>
        <v>#N/A</v>
      </c>
      <c r="J66" s="13">
        <f t="shared" ca="1" si="22"/>
        <v>0</v>
      </c>
      <c r="K66" s="13" t="e">
        <f t="shared" ca="1" si="23"/>
        <v>#N/A</v>
      </c>
      <c r="L66" s="13" t="e">
        <f t="shared" ca="1" si="24"/>
        <v>#N/A</v>
      </c>
      <c r="M66" t="e">
        <f t="shared" ca="1" si="5"/>
        <v>#N/A</v>
      </c>
      <c r="N66" t="e">
        <f t="shared" ca="1" si="6"/>
        <v>#N/A</v>
      </c>
    </row>
    <row r="67" spans="1:14" x14ac:dyDescent="0.25">
      <c r="A67" s="8">
        <f t="shared" si="9"/>
        <v>0.42505787037036979</v>
      </c>
      <c r="B67" s="4">
        <f t="shared" si="10"/>
        <v>1553300725</v>
      </c>
      <c r="C67">
        <v>2</v>
      </c>
      <c r="D67">
        <v>6</v>
      </c>
      <c r="E67" t="e">
        <f t="shared" ca="1" si="26"/>
        <v>#N/A</v>
      </c>
      <c r="F67" t="e">
        <f t="shared" ca="1" si="27"/>
        <v>#N/A</v>
      </c>
      <c r="G67">
        <f t="shared" ca="1" si="25"/>
        <v>8229.6</v>
      </c>
      <c r="H67" s="13" t="e">
        <f t="shared" ca="1" si="20"/>
        <v>#N/A</v>
      </c>
      <c r="I67" s="13" t="e">
        <f t="shared" ca="1" si="21"/>
        <v>#N/A</v>
      </c>
      <c r="J67" s="13">
        <f t="shared" ca="1" si="22"/>
        <v>0</v>
      </c>
      <c r="K67" s="13" t="e">
        <f t="shared" ca="1" si="23"/>
        <v>#N/A</v>
      </c>
      <c r="L67" s="13" t="e">
        <f t="shared" ca="1" si="24"/>
        <v>#N/A</v>
      </c>
      <c r="M67" t="e">
        <f t="shared" ca="1" si="5"/>
        <v>#N/A</v>
      </c>
      <c r="N67" t="e">
        <f t="shared" ca="1" si="6"/>
        <v>#N/A</v>
      </c>
    </row>
    <row r="68" spans="1:14" x14ac:dyDescent="0.25">
      <c r="A68" s="8">
        <f t="shared" si="9"/>
        <v>0.42511574074074016</v>
      </c>
      <c r="B68" s="4">
        <f t="shared" si="10"/>
        <v>1553300730</v>
      </c>
      <c r="C68">
        <v>2</v>
      </c>
      <c r="D68">
        <v>6</v>
      </c>
      <c r="E68" t="e">
        <f t="shared" ca="1" si="26"/>
        <v>#N/A</v>
      </c>
      <c r="F68" t="e">
        <f t="shared" ca="1" si="27"/>
        <v>#N/A</v>
      </c>
      <c r="G68">
        <f t="shared" ca="1" si="25"/>
        <v>8229.6</v>
      </c>
      <c r="H68" s="13" t="e">
        <f t="shared" ca="1" si="20"/>
        <v>#N/A</v>
      </c>
      <c r="I68" s="13" t="e">
        <f t="shared" ca="1" si="21"/>
        <v>#N/A</v>
      </c>
      <c r="J68" s="13">
        <f t="shared" ca="1" si="22"/>
        <v>0</v>
      </c>
      <c r="K68" s="13" t="e">
        <f t="shared" ca="1" si="23"/>
        <v>#N/A</v>
      </c>
      <c r="L68" s="13" t="e">
        <f t="shared" ca="1" si="24"/>
        <v>#N/A</v>
      </c>
      <c r="M68" t="e">
        <f t="shared" ca="1" si="5"/>
        <v>#N/A</v>
      </c>
      <c r="N68" t="e">
        <f t="shared" ca="1" si="6"/>
        <v>#N/A</v>
      </c>
    </row>
    <row r="69" spans="1:14" x14ac:dyDescent="0.25">
      <c r="A69" s="8">
        <f t="shared" si="9"/>
        <v>0.42517361111111052</v>
      </c>
      <c r="B69" s="4">
        <f t="shared" si="10"/>
        <v>1553300735</v>
      </c>
      <c r="C69">
        <v>2</v>
      </c>
      <c r="D69">
        <v>6</v>
      </c>
      <c r="E69" t="e">
        <f t="shared" ca="1" si="26"/>
        <v>#N/A</v>
      </c>
      <c r="F69" t="e">
        <f t="shared" ca="1" si="27"/>
        <v>#N/A</v>
      </c>
      <c r="G69">
        <f t="shared" ca="1" si="25"/>
        <v>8229.6</v>
      </c>
      <c r="H69" s="13" t="e">
        <f t="shared" ca="1" si="20"/>
        <v>#N/A</v>
      </c>
      <c r="I69" s="13" t="e">
        <f t="shared" ca="1" si="21"/>
        <v>#N/A</v>
      </c>
      <c r="J69" s="13">
        <f t="shared" ca="1" si="22"/>
        <v>0</v>
      </c>
      <c r="K69" s="13" t="e">
        <f t="shared" ca="1" si="23"/>
        <v>#N/A</v>
      </c>
      <c r="L69" s="13" t="e">
        <f t="shared" ca="1" si="24"/>
        <v>#N/A</v>
      </c>
      <c r="M69" t="e">
        <f t="shared" ca="1" si="5"/>
        <v>#N/A</v>
      </c>
      <c r="N69" t="e">
        <f t="shared" ca="1" si="6"/>
        <v>#N/A</v>
      </c>
    </row>
    <row r="70" spans="1:14" x14ac:dyDescent="0.25">
      <c r="A70" s="8">
        <f>A69+5/24/3600</f>
        <v>0.42523148148148088</v>
      </c>
      <c r="B70" s="4">
        <f t="shared" si="10"/>
        <v>1553300740</v>
      </c>
      <c r="C70">
        <v>2</v>
      </c>
      <c r="D70">
        <v>6</v>
      </c>
      <c r="E70" t="e">
        <f t="shared" ca="1" si="26"/>
        <v>#N/A</v>
      </c>
      <c r="F70" t="e">
        <f t="shared" ca="1" si="27"/>
        <v>#N/A</v>
      </c>
      <c r="G70">
        <f t="shared" ca="1" si="25"/>
        <v>8229.6</v>
      </c>
      <c r="H70" s="13" t="e">
        <f t="shared" ca="1" si="20"/>
        <v>#N/A</v>
      </c>
      <c r="I70" s="13" t="e">
        <f t="shared" ca="1" si="21"/>
        <v>#N/A</v>
      </c>
      <c r="J70" s="13">
        <f t="shared" ca="1" si="22"/>
        <v>0</v>
      </c>
      <c r="K70" s="13" t="e">
        <f t="shared" ca="1" si="23"/>
        <v>#N/A</v>
      </c>
      <c r="L70" s="13" t="e">
        <f t="shared" ca="1" si="24"/>
        <v>#N/A</v>
      </c>
      <c r="M70" t="e">
        <f t="shared" ca="1" si="5"/>
        <v>#N/A</v>
      </c>
      <c r="N70" t="e">
        <f t="shared" ca="1" si="6"/>
        <v>#N/A</v>
      </c>
    </row>
    <row r="71" spans="1:14" x14ac:dyDescent="0.25">
      <c r="A71" s="8">
        <f t="shared" si="9"/>
        <v>0.42528935185185124</v>
      </c>
      <c r="B71" s="4">
        <f t="shared" si="10"/>
        <v>1553300745</v>
      </c>
      <c r="C71">
        <v>2</v>
      </c>
      <c r="D71">
        <v>6</v>
      </c>
      <c r="E71" t="e">
        <f t="shared" ca="1" si="26"/>
        <v>#N/A</v>
      </c>
      <c r="F71" t="e">
        <f t="shared" ca="1" si="27"/>
        <v>#N/A</v>
      </c>
      <c r="G71">
        <f t="shared" ca="1" si="25"/>
        <v>8229.6</v>
      </c>
      <c r="H71" s="13" t="e">
        <f t="shared" ca="1" si="20"/>
        <v>#N/A</v>
      </c>
      <c r="I71" s="13" t="e">
        <f t="shared" ca="1" si="21"/>
        <v>#N/A</v>
      </c>
      <c r="J71" s="13">
        <f t="shared" ca="1" si="22"/>
        <v>0</v>
      </c>
      <c r="K71" s="13" t="e">
        <f t="shared" ca="1" si="23"/>
        <v>#N/A</v>
      </c>
      <c r="L71" s="13" t="e">
        <f t="shared" ca="1" si="24"/>
        <v>#N/A</v>
      </c>
      <c r="M71" t="e">
        <f t="shared" ref="M71:M88" ca="1" si="28">INDIRECT("M$"&amp;C71)+INDIRECT("O$"&amp;C71)*($B71-INDIRECT("B$"&amp;D71))</f>
        <v>#N/A</v>
      </c>
      <c r="N71" t="e">
        <f t="shared" ref="N71:N88" ca="1" si="29">INDIRECT("N$"&amp;C71)+INDIRECT("P$"&amp;C71)*($B71-INDIRECT("B$"&amp;D71))</f>
        <v>#N/A</v>
      </c>
    </row>
    <row r="72" spans="1:14" x14ac:dyDescent="0.25">
      <c r="A72" s="8">
        <f t="shared" si="9"/>
        <v>0.4253472222222216</v>
      </c>
      <c r="B72" s="4">
        <f t="shared" si="10"/>
        <v>1553300750</v>
      </c>
      <c r="C72">
        <v>2</v>
      </c>
      <c r="D72">
        <v>6</v>
      </c>
      <c r="E72" t="e">
        <f t="shared" ca="1" si="26"/>
        <v>#N/A</v>
      </c>
      <c r="F72" t="e">
        <f t="shared" ca="1" si="27"/>
        <v>#N/A</v>
      </c>
      <c r="G72">
        <f t="shared" ca="1" si="25"/>
        <v>8229.6</v>
      </c>
      <c r="H72" s="13" t="e">
        <f t="shared" ca="1" si="20"/>
        <v>#N/A</v>
      </c>
      <c r="I72" s="13" t="e">
        <f t="shared" ca="1" si="21"/>
        <v>#N/A</v>
      </c>
      <c r="J72" s="13">
        <f t="shared" ca="1" si="22"/>
        <v>0</v>
      </c>
      <c r="K72" s="13" t="e">
        <f t="shared" ca="1" si="23"/>
        <v>#N/A</v>
      </c>
      <c r="L72" s="13" t="e">
        <f t="shared" ca="1" si="24"/>
        <v>#N/A</v>
      </c>
      <c r="M72" t="e">
        <f t="shared" ca="1" si="28"/>
        <v>#N/A</v>
      </c>
      <c r="N72" t="e">
        <f t="shared" ca="1" si="29"/>
        <v>#N/A</v>
      </c>
    </row>
    <row r="73" spans="1:14" x14ac:dyDescent="0.25">
      <c r="A73" s="8">
        <f t="shared" ref="A73:A102" si="30">A72+5/24/3600</f>
        <v>0.42540509259259196</v>
      </c>
      <c r="B73" s="4">
        <f t="shared" ref="B73:B136" si="31">B72+SECOND(A73-A72)</f>
        <v>1553300755</v>
      </c>
      <c r="C73">
        <v>2</v>
      </c>
      <c r="D73">
        <v>6</v>
      </c>
      <c r="E73" t="e">
        <f t="shared" ca="1" si="26"/>
        <v>#N/A</v>
      </c>
      <c r="F73" t="e">
        <f t="shared" ca="1" si="27"/>
        <v>#N/A</v>
      </c>
      <c r="G73">
        <f t="shared" ca="1" si="25"/>
        <v>8229.6</v>
      </c>
      <c r="H73" s="13" t="e">
        <f t="shared" ca="1" si="20"/>
        <v>#N/A</v>
      </c>
      <c r="I73" s="13" t="e">
        <f t="shared" ca="1" si="21"/>
        <v>#N/A</v>
      </c>
      <c r="J73" s="13">
        <f t="shared" ca="1" si="22"/>
        <v>0</v>
      </c>
      <c r="K73" s="13" t="e">
        <f t="shared" ca="1" si="23"/>
        <v>#N/A</v>
      </c>
      <c r="L73" s="13" t="e">
        <f t="shared" ca="1" si="24"/>
        <v>#N/A</v>
      </c>
      <c r="M73" t="e">
        <f t="shared" ca="1" si="28"/>
        <v>#N/A</v>
      </c>
      <c r="N73" t="e">
        <f t="shared" ca="1" si="29"/>
        <v>#N/A</v>
      </c>
    </row>
    <row r="74" spans="1:14" x14ac:dyDescent="0.25">
      <c r="A74" s="8">
        <f t="shared" si="30"/>
        <v>0.42546296296296232</v>
      </c>
      <c r="B74" s="4">
        <f t="shared" si="31"/>
        <v>1553300760</v>
      </c>
      <c r="C74">
        <v>2</v>
      </c>
      <c r="D74">
        <v>6</v>
      </c>
      <c r="E74" t="e">
        <f t="shared" ca="1" si="26"/>
        <v>#N/A</v>
      </c>
      <c r="F74" t="e">
        <f t="shared" ca="1" si="27"/>
        <v>#N/A</v>
      </c>
      <c r="G74">
        <f t="shared" ca="1" si="25"/>
        <v>8229.6</v>
      </c>
      <c r="H74" s="13" t="e">
        <f t="shared" ca="1" si="20"/>
        <v>#N/A</v>
      </c>
      <c r="I74" s="13" t="e">
        <f t="shared" ca="1" si="21"/>
        <v>#N/A</v>
      </c>
      <c r="J74" s="13">
        <f t="shared" ca="1" si="22"/>
        <v>0</v>
      </c>
      <c r="K74" s="13" t="e">
        <f t="shared" ca="1" si="23"/>
        <v>#N/A</v>
      </c>
      <c r="L74" s="13" t="e">
        <f t="shared" ca="1" si="24"/>
        <v>#N/A</v>
      </c>
      <c r="M74" t="e">
        <f t="shared" ca="1" si="28"/>
        <v>#N/A</v>
      </c>
      <c r="N74" t="e">
        <f t="shared" ca="1" si="29"/>
        <v>#N/A</v>
      </c>
    </row>
    <row r="75" spans="1:14" x14ac:dyDescent="0.25">
      <c r="A75" s="8">
        <f t="shared" si="30"/>
        <v>0.42552083333333268</v>
      </c>
      <c r="B75" s="4">
        <f t="shared" si="31"/>
        <v>1553300765</v>
      </c>
      <c r="C75">
        <v>2</v>
      </c>
      <c r="D75">
        <v>6</v>
      </c>
      <c r="E75" t="e">
        <f t="shared" ca="1" si="26"/>
        <v>#N/A</v>
      </c>
      <c r="F75" t="e">
        <f t="shared" ca="1" si="27"/>
        <v>#N/A</v>
      </c>
      <c r="G75">
        <f t="shared" ca="1" si="25"/>
        <v>8229.6</v>
      </c>
      <c r="H75" s="13" t="e">
        <f t="shared" ca="1" si="20"/>
        <v>#N/A</v>
      </c>
      <c r="I75" s="13" t="e">
        <f t="shared" ca="1" si="21"/>
        <v>#N/A</v>
      </c>
      <c r="J75" s="13">
        <f t="shared" ca="1" si="22"/>
        <v>0</v>
      </c>
      <c r="K75" s="13" t="e">
        <f t="shared" ca="1" si="23"/>
        <v>#N/A</v>
      </c>
      <c r="L75" s="13" t="e">
        <f t="shared" ca="1" si="24"/>
        <v>#N/A</v>
      </c>
      <c r="M75" t="e">
        <f t="shared" ca="1" si="28"/>
        <v>#N/A</v>
      </c>
      <c r="N75" t="e">
        <f t="shared" ca="1" si="29"/>
        <v>#N/A</v>
      </c>
    </row>
    <row r="76" spans="1:14" x14ac:dyDescent="0.25">
      <c r="A76" s="8">
        <f t="shared" si="30"/>
        <v>0.42557870370370304</v>
      </c>
      <c r="B76" s="4">
        <f t="shared" si="31"/>
        <v>1553300770</v>
      </c>
      <c r="C76">
        <v>2</v>
      </c>
      <c r="D76">
        <v>6</v>
      </c>
      <c r="E76" t="e">
        <f t="shared" ca="1" si="26"/>
        <v>#N/A</v>
      </c>
      <c r="F76" t="e">
        <f t="shared" ca="1" si="27"/>
        <v>#N/A</v>
      </c>
      <c r="G76">
        <f t="shared" ca="1" si="25"/>
        <v>8229.6</v>
      </c>
      <c r="H76" s="13" t="e">
        <f t="shared" ca="1" si="20"/>
        <v>#N/A</v>
      </c>
      <c r="I76" s="13" t="e">
        <f t="shared" ca="1" si="21"/>
        <v>#N/A</v>
      </c>
      <c r="J76" s="13">
        <f t="shared" ca="1" si="22"/>
        <v>0</v>
      </c>
      <c r="K76" s="13" t="e">
        <f t="shared" ca="1" si="23"/>
        <v>#N/A</v>
      </c>
      <c r="L76" s="13" t="e">
        <f t="shared" ca="1" si="24"/>
        <v>#N/A</v>
      </c>
      <c r="M76" t="e">
        <f t="shared" ca="1" si="28"/>
        <v>#N/A</v>
      </c>
      <c r="N76" t="e">
        <f t="shared" ca="1" si="29"/>
        <v>#N/A</v>
      </c>
    </row>
    <row r="77" spans="1:14" x14ac:dyDescent="0.25">
      <c r="A77" s="8">
        <f t="shared" si="30"/>
        <v>0.4256365740740734</v>
      </c>
      <c r="B77" s="4">
        <f t="shared" si="31"/>
        <v>1553300775</v>
      </c>
      <c r="C77">
        <v>2</v>
      </c>
      <c r="D77">
        <v>6</v>
      </c>
      <c r="E77" t="e">
        <f t="shared" ca="1" si="26"/>
        <v>#N/A</v>
      </c>
      <c r="F77" t="e">
        <f t="shared" ca="1" si="27"/>
        <v>#N/A</v>
      </c>
      <c r="G77">
        <f t="shared" ca="1" si="25"/>
        <v>8229.6</v>
      </c>
      <c r="H77" s="13" t="e">
        <f t="shared" ca="1" si="20"/>
        <v>#N/A</v>
      </c>
      <c r="I77" s="13" t="e">
        <f t="shared" ca="1" si="21"/>
        <v>#N/A</v>
      </c>
      <c r="J77" s="13">
        <f t="shared" ca="1" si="22"/>
        <v>0</v>
      </c>
      <c r="K77" s="13" t="e">
        <f t="shared" ca="1" si="23"/>
        <v>#N/A</v>
      </c>
      <c r="L77" s="13" t="e">
        <f t="shared" ca="1" si="24"/>
        <v>#N/A</v>
      </c>
      <c r="M77" t="e">
        <f t="shared" ca="1" si="28"/>
        <v>#N/A</v>
      </c>
      <c r="N77" t="e">
        <f t="shared" ca="1" si="29"/>
        <v>#N/A</v>
      </c>
    </row>
    <row r="78" spans="1:14" x14ac:dyDescent="0.25">
      <c r="A78" s="8">
        <f t="shared" si="30"/>
        <v>0.42569444444444376</v>
      </c>
      <c r="B78" s="4">
        <f t="shared" si="31"/>
        <v>1553300780</v>
      </c>
      <c r="C78">
        <v>2</v>
      </c>
      <c r="D78">
        <v>6</v>
      </c>
      <c r="E78" t="e">
        <f t="shared" ca="1" si="26"/>
        <v>#N/A</v>
      </c>
      <c r="F78" t="e">
        <f t="shared" ca="1" si="27"/>
        <v>#N/A</v>
      </c>
      <c r="G78">
        <f t="shared" ca="1" si="25"/>
        <v>8229.6</v>
      </c>
      <c r="H78" s="13" t="e">
        <f t="shared" ca="1" si="20"/>
        <v>#N/A</v>
      </c>
      <c r="I78" s="13" t="e">
        <f t="shared" ca="1" si="21"/>
        <v>#N/A</v>
      </c>
      <c r="J78" s="13">
        <f t="shared" ca="1" si="22"/>
        <v>0</v>
      </c>
      <c r="K78" s="13" t="e">
        <f t="shared" ca="1" si="23"/>
        <v>#N/A</v>
      </c>
      <c r="L78" s="13" t="e">
        <f t="shared" ca="1" si="24"/>
        <v>#N/A</v>
      </c>
      <c r="M78" t="e">
        <f t="shared" ca="1" si="28"/>
        <v>#N/A</v>
      </c>
      <c r="N78" t="e">
        <f t="shared" ca="1" si="29"/>
        <v>#N/A</v>
      </c>
    </row>
    <row r="79" spans="1:14" x14ac:dyDescent="0.25">
      <c r="A79" s="8">
        <f t="shared" si="30"/>
        <v>0.42575231481481413</v>
      </c>
      <c r="B79" s="4">
        <f t="shared" si="31"/>
        <v>1553300785</v>
      </c>
      <c r="C79">
        <v>2</v>
      </c>
      <c r="D79">
        <v>6</v>
      </c>
      <c r="E79" t="e">
        <f t="shared" ca="1" si="26"/>
        <v>#N/A</v>
      </c>
      <c r="F79" t="e">
        <f t="shared" ca="1" si="27"/>
        <v>#N/A</v>
      </c>
      <c r="G79">
        <f t="shared" ca="1" si="25"/>
        <v>8229.6</v>
      </c>
      <c r="H79" s="13" t="e">
        <f t="shared" ca="1" si="20"/>
        <v>#N/A</v>
      </c>
      <c r="I79" s="13" t="e">
        <f t="shared" ca="1" si="21"/>
        <v>#N/A</v>
      </c>
      <c r="J79" s="13">
        <f t="shared" ca="1" si="22"/>
        <v>0</v>
      </c>
      <c r="K79" s="13" t="e">
        <f t="shared" ca="1" si="23"/>
        <v>#N/A</v>
      </c>
      <c r="L79" s="13" t="e">
        <f t="shared" ca="1" si="24"/>
        <v>#N/A</v>
      </c>
      <c r="M79" t="e">
        <f t="shared" ca="1" si="28"/>
        <v>#N/A</v>
      </c>
      <c r="N79" t="e">
        <f t="shared" ca="1" si="29"/>
        <v>#N/A</v>
      </c>
    </row>
    <row r="80" spans="1:14" x14ac:dyDescent="0.25">
      <c r="A80" s="8">
        <f t="shared" si="30"/>
        <v>0.42581018518518449</v>
      </c>
      <c r="B80" s="4">
        <f t="shared" si="31"/>
        <v>1553300790</v>
      </c>
      <c r="C80">
        <v>2</v>
      </c>
      <c r="D80">
        <v>6</v>
      </c>
      <c r="E80" t="e">
        <f t="shared" ca="1" si="26"/>
        <v>#N/A</v>
      </c>
      <c r="F80" t="e">
        <f t="shared" ca="1" si="27"/>
        <v>#N/A</v>
      </c>
      <c r="G80">
        <f t="shared" ca="1" si="25"/>
        <v>8229.6</v>
      </c>
      <c r="H80" s="13" t="e">
        <f t="shared" ca="1" si="20"/>
        <v>#N/A</v>
      </c>
      <c r="I80" s="13" t="e">
        <f t="shared" ca="1" si="21"/>
        <v>#N/A</v>
      </c>
      <c r="J80" s="13">
        <f t="shared" ca="1" si="22"/>
        <v>0</v>
      </c>
      <c r="K80" s="13" t="e">
        <f t="shared" ca="1" si="23"/>
        <v>#N/A</v>
      </c>
      <c r="L80" s="13" t="e">
        <f t="shared" ca="1" si="24"/>
        <v>#N/A</v>
      </c>
      <c r="M80" t="e">
        <f t="shared" ca="1" si="28"/>
        <v>#N/A</v>
      </c>
      <c r="N80" t="e">
        <f t="shared" ca="1" si="29"/>
        <v>#N/A</v>
      </c>
    </row>
    <row r="81" spans="1:19" x14ac:dyDescent="0.25">
      <c r="A81" s="8">
        <f t="shared" si="30"/>
        <v>0.42586805555555485</v>
      </c>
      <c r="B81" s="4">
        <f t="shared" si="31"/>
        <v>1553300795</v>
      </c>
      <c r="C81">
        <v>2</v>
      </c>
      <c r="D81">
        <v>6</v>
      </c>
      <c r="E81" t="e">
        <f t="shared" ca="1" si="26"/>
        <v>#N/A</v>
      </c>
      <c r="F81" t="e">
        <f t="shared" ca="1" si="27"/>
        <v>#N/A</v>
      </c>
      <c r="G81">
        <f t="shared" ca="1" si="25"/>
        <v>8229.6</v>
      </c>
      <c r="H81" s="13" t="e">
        <f t="shared" ca="1" si="20"/>
        <v>#N/A</v>
      </c>
      <c r="I81" s="13" t="e">
        <f t="shared" ca="1" si="21"/>
        <v>#N/A</v>
      </c>
      <c r="J81" s="13">
        <f t="shared" ca="1" si="22"/>
        <v>0</v>
      </c>
      <c r="K81" s="13" t="e">
        <f t="shared" ca="1" si="23"/>
        <v>#N/A</v>
      </c>
      <c r="L81" s="13" t="e">
        <f t="shared" ca="1" si="24"/>
        <v>#N/A</v>
      </c>
      <c r="M81" t="e">
        <f t="shared" ca="1" si="28"/>
        <v>#N/A</v>
      </c>
      <c r="N81" t="e">
        <f t="shared" ca="1" si="29"/>
        <v>#N/A</v>
      </c>
    </row>
    <row r="82" spans="1:19" x14ac:dyDescent="0.25">
      <c r="A82" s="8">
        <f t="shared" si="30"/>
        <v>0.42592592592592521</v>
      </c>
      <c r="B82" s="4">
        <f t="shared" si="31"/>
        <v>1553300800</v>
      </c>
      <c r="C82">
        <v>2</v>
      </c>
      <c r="D82">
        <v>6</v>
      </c>
      <c r="E82" t="e">
        <f t="shared" ca="1" si="26"/>
        <v>#N/A</v>
      </c>
      <c r="F82" t="e">
        <f t="shared" ca="1" si="27"/>
        <v>#N/A</v>
      </c>
      <c r="G82">
        <f t="shared" ca="1" si="25"/>
        <v>8229.6</v>
      </c>
      <c r="H82" s="13" t="e">
        <f t="shared" ca="1" si="20"/>
        <v>#N/A</v>
      </c>
      <c r="I82" s="13" t="e">
        <f t="shared" ca="1" si="21"/>
        <v>#N/A</v>
      </c>
      <c r="J82" s="13">
        <f t="shared" ca="1" si="22"/>
        <v>0</v>
      </c>
      <c r="K82" s="13" t="e">
        <f t="shared" ca="1" si="23"/>
        <v>#N/A</v>
      </c>
      <c r="L82" s="13" t="e">
        <f t="shared" ca="1" si="24"/>
        <v>#N/A</v>
      </c>
      <c r="M82" t="e">
        <f t="shared" ca="1" si="28"/>
        <v>#N/A</v>
      </c>
      <c r="N82" t="e">
        <f t="shared" ca="1" si="29"/>
        <v>#N/A</v>
      </c>
    </row>
    <row r="83" spans="1:19" x14ac:dyDescent="0.25">
      <c r="A83" s="8">
        <f t="shared" si="30"/>
        <v>0.42598379629629557</v>
      </c>
      <c r="B83" s="4">
        <f t="shared" si="31"/>
        <v>1553300805</v>
      </c>
      <c r="C83">
        <v>2</v>
      </c>
      <c r="D83">
        <v>6</v>
      </c>
      <c r="E83" t="e">
        <f t="shared" ca="1" si="26"/>
        <v>#N/A</v>
      </c>
      <c r="F83" t="e">
        <f t="shared" ca="1" si="27"/>
        <v>#N/A</v>
      </c>
      <c r="G83">
        <f t="shared" ca="1" si="25"/>
        <v>8229.6</v>
      </c>
      <c r="H83" s="13" t="e">
        <f t="shared" ca="1" si="20"/>
        <v>#N/A</v>
      </c>
      <c r="I83" s="13" t="e">
        <f t="shared" ca="1" si="21"/>
        <v>#N/A</v>
      </c>
      <c r="J83" s="13">
        <f t="shared" ca="1" si="22"/>
        <v>0</v>
      </c>
      <c r="K83" s="13" t="e">
        <f t="shared" ca="1" si="23"/>
        <v>#N/A</v>
      </c>
      <c r="L83" s="13" t="e">
        <f t="shared" ca="1" si="24"/>
        <v>#N/A</v>
      </c>
      <c r="M83" t="e">
        <f t="shared" ca="1" si="28"/>
        <v>#N/A</v>
      </c>
      <c r="N83" t="e">
        <f t="shared" ca="1" si="29"/>
        <v>#N/A</v>
      </c>
    </row>
    <row r="84" spans="1:19" x14ac:dyDescent="0.25">
      <c r="A84" s="8">
        <f t="shared" si="30"/>
        <v>0.42604166666666593</v>
      </c>
      <c r="B84" s="4">
        <f t="shared" si="31"/>
        <v>1553300810</v>
      </c>
      <c r="C84">
        <v>2</v>
      </c>
      <c r="D84">
        <v>6</v>
      </c>
      <c r="E84" t="e">
        <f t="shared" ca="1" si="26"/>
        <v>#N/A</v>
      </c>
      <c r="F84" t="e">
        <f t="shared" ca="1" si="27"/>
        <v>#N/A</v>
      </c>
      <c r="G84">
        <f t="shared" ca="1" si="25"/>
        <v>8229.6</v>
      </c>
      <c r="H84" s="13" t="e">
        <f t="shared" ca="1" si="20"/>
        <v>#N/A</v>
      </c>
      <c r="I84" s="13" t="e">
        <f t="shared" ca="1" si="21"/>
        <v>#N/A</v>
      </c>
      <c r="J84" s="13">
        <f t="shared" ca="1" si="22"/>
        <v>0</v>
      </c>
      <c r="K84" s="13" t="e">
        <f t="shared" ca="1" si="23"/>
        <v>#N/A</v>
      </c>
      <c r="L84" s="13" t="e">
        <f t="shared" ca="1" si="24"/>
        <v>#N/A</v>
      </c>
      <c r="M84" t="e">
        <f t="shared" ca="1" si="28"/>
        <v>#N/A</v>
      </c>
      <c r="N84" t="e">
        <f t="shared" ca="1" si="29"/>
        <v>#N/A</v>
      </c>
    </row>
    <row r="85" spans="1:19" x14ac:dyDescent="0.25">
      <c r="A85" s="8">
        <f t="shared" si="30"/>
        <v>0.42609953703703629</v>
      </c>
      <c r="B85" s="4">
        <f t="shared" si="31"/>
        <v>1553300815</v>
      </c>
      <c r="C85">
        <v>2</v>
      </c>
      <c r="D85">
        <v>6</v>
      </c>
      <c r="E85" t="e">
        <f t="shared" ca="1" si="26"/>
        <v>#N/A</v>
      </c>
      <c r="F85" t="e">
        <f t="shared" ca="1" si="27"/>
        <v>#N/A</v>
      </c>
      <c r="G85">
        <f t="shared" ca="1" si="25"/>
        <v>8229.6</v>
      </c>
      <c r="H85" s="13" t="e">
        <f t="shared" ca="1" si="20"/>
        <v>#N/A</v>
      </c>
      <c r="I85" s="13" t="e">
        <f t="shared" ca="1" si="21"/>
        <v>#N/A</v>
      </c>
      <c r="J85" s="13">
        <f t="shared" ca="1" si="22"/>
        <v>0</v>
      </c>
      <c r="K85" s="13" t="e">
        <f t="shared" ca="1" si="23"/>
        <v>#N/A</v>
      </c>
      <c r="L85" s="13" t="e">
        <f t="shared" ca="1" si="24"/>
        <v>#N/A</v>
      </c>
      <c r="M85" t="e">
        <f t="shared" ca="1" si="28"/>
        <v>#N/A</v>
      </c>
      <c r="N85" t="e">
        <f t="shared" ca="1" si="29"/>
        <v>#N/A</v>
      </c>
    </row>
    <row r="86" spans="1:19" x14ac:dyDescent="0.25">
      <c r="A86" s="8">
        <f t="shared" si="30"/>
        <v>0.42615740740740665</v>
      </c>
      <c r="B86" s="4">
        <f t="shared" si="31"/>
        <v>1553300820</v>
      </c>
      <c r="C86">
        <v>2</v>
      </c>
      <c r="D86">
        <v>6</v>
      </c>
      <c r="E86" t="e">
        <f t="shared" ca="1" si="26"/>
        <v>#N/A</v>
      </c>
      <c r="F86" t="e">
        <f t="shared" ca="1" si="27"/>
        <v>#N/A</v>
      </c>
      <c r="G86">
        <f t="shared" ca="1" si="25"/>
        <v>8229.6</v>
      </c>
      <c r="H86" s="13" t="e">
        <f t="shared" ca="1" si="20"/>
        <v>#N/A</v>
      </c>
      <c r="I86" s="13" t="e">
        <f t="shared" ca="1" si="21"/>
        <v>#N/A</v>
      </c>
      <c r="J86" s="13">
        <f t="shared" ca="1" si="22"/>
        <v>0</v>
      </c>
      <c r="K86" s="13" t="e">
        <f t="shared" ca="1" si="23"/>
        <v>#N/A</v>
      </c>
      <c r="L86" s="13" t="e">
        <f t="shared" ca="1" si="24"/>
        <v>#N/A</v>
      </c>
      <c r="M86" t="e">
        <f t="shared" ca="1" si="28"/>
        <v>#N/A</v>
      </c>
      <c r="N86" t="e">
        <f t="shared" ca="1" si="29"/>
        <v>#N/A</v>
      </c>
    </row>
    <row r="87" spans="1:19" x14ac:dyDescent="0.25">
      <c r="A87" s="8">
        <f t="shared" si="30"/>
        <v>0.42621527777777701</v>
      </c>
      <c r="B87" s="4">
        <f t="shared" si="31"/>
        <v>1553300825</v>
      </c>
      <c r="C87">
        <v>2</v>
      </c>
      <c r="D87">
        <v>6</v>
      </c>
      <c r="E87" t="e">
        <f t="shared" ca="1" si="26"/>
        <v>#N/A</v>
      </c>
      <c r="F87" t="e">
        <f t="shared" ca="1" si="27"/>
        <v>#N/A</v>
      </c>
      <c r="G87">
        <f t="shared" ca="1" si="25"/>
        <v>8229.6</v>
      </c>
      <c r="H87" s="13" t="e">
        <f t="shared" ca="1" si="20"/>
        <v>#N/A</v>
      </c>
      <c r="I87" s="13" t="e">
        <f t="shared" ca="1" si="21"/>
        <v>#N/A</v>
      </c>
      <c r="J87" s="13">
        <f t="shared" ca="1" si="20"/>
        <v>0</v>
      </c>
      <c r="K87" s="13" t="e">
        <f t="shared" ca="1" si="23"/>
        <v>#N/A</v>
      </c>
      <c r="L87" s="13" t="e">
        <f t="shared" ca="1" si="24"/>
        <v>#N/A</v>
      </c>
      <c r="M87" t="e">
        <f t="shared" ca="1" si="28"/>
        <v>#N/A</v>
      </c>
      <c r="N87" t="e">
        <f t="shared" ca="1" si="29"/>
        <v>#N/A</v>
      </c>
      <c r="P87" t="s">
        <v>21</v>
      </c>
      <c r="Q87" t="s">
        <v>30</v>
      </c>
      <c r="R87" t="s">
        <v>50</v>
      </c>
      <c r="S87" t="s">
        <v>51</v>
      </c>
    </row>
    <row r="88" spans="1:19" x14ac:dyDescent="0.25">
      <c r="A88" s="8">
        <f t="shared" si="30"/>
        <v>0.42627314814814737</v>
      </c>
      <c r="B88" s="4">
        <f t="shared" si="31"/>
        <v>1553300830</v>
      </c>
      <c r="C88">
        <v>2</v>
      </c>
      <c r="D88">
        <v>6</v>
      </c>
      <c r="E88" t="e">
        <f ca="1">INDIRECT("E$"&amp;C88)+INDIRECT("H$"&amp;C88)*($B88-INDIRECT("B$"&amp;D88))</f>
        <v>#N/A</v>
      </c>
      <c r="F88" t="e">
        <f ca="1">INDIRECT("F$"&amp;C88)+INDIRECT("I$"&amp;C88)*($B88-INDIRECT("B$"&amp;D88))</f>
        <v>#N/A</v>
      </c>
      <c r="G88">
        <f ca="1">INDIRECT("G$"&amp;C88)+INDIRECT("J$"&amp;C88)*($B88-INDIRECT("B$"&amp;D88))</f>
        <v>8229.6</v>
      </c>
      <c r="H88" s="13" t="e">
        <f t="shared" ca="1" si="20"/>
        <v>#N/A</v>
      </c>
      <c r="I88" s="13" t="e">
        <f t="shared" ca="1" si="21"/>
        <v>#N/A</v>
      </c>
      <c r="J88" s="13">
        <f t="shared" ca="1" si="20"/>
        <v>0</v>
      </c>
      <c r="K88" s="13" t="e">
        <f t="shared" ca="1" si="23"/>
        <v>#N/A</v>
      </c>
      <c r="L88" s="13" t="e">
        <f t="shared" ca="1" si="24"/>
        <v>#N/A</v>
      </c>
      <c r="M88" t="e">
        <f t="shared" ca="1" si="28"/>
        <v>#N/A</v>
      </c>
      <c r="N88" t="e">
        <f t="shared" ca="1" si="29"/>
        <v>#N/A</v>
      </c>
      <c r="O88">
        <f>(B88-B88)/(B92-B88)</f>
        <v>0</v>
      </c>
      <c r="P88" t="e">
        <f t="shared" ref="P88:Q92" ca="1" si="32">(1-$O88)*(1-$O88)*E$88+2*$O88*(1-$O88)*E$3+$O88*$O88*E$92</f>
        <v>#N/A</v>
      </c>
      <c r="Q88" t="e">
        <f t="shared" ca="1" si="32"/>
        <v>#N/A</v>
      </c>
      <c r="R88" t="e">
        <f t="shared" ref="R88:S92" ca="1" si="33">(1-$O88)*(1-$O88)*M$88+2*$O88*(1-$O88)*M$3+$O88*$O88*M$92</f>
        <v>#N/A</v>
      </c>
      <c r="S88" t="e">
        <f t="shared" ca="1" si="33"/>
        <v>#N/A</v>
      </c>
    </row>
    <row r="89" spans="1:19" x14ac:dyDescent="0.25">
      <c r="A89" s="8">
        <f t="shared" si="30"/>
        <v>0.42633101851851773</v>
      </c>
      <c r="B89" s="4">
        <f t="shared" si="31"/>
        <v>1553300835</v>
      </c>
      <c r="C89">
        <v>2</v>
      </c>
      <c r="D89">
        <v>6</v>
      </c>
      <c r="E89" t="e">
        <f t="shared" ref="E89:F91" ca="1" si="34">P89</f>
        <v>#N/A</v>
      </c>
      <c r="F89" t="e">
        <f t="shared" ca="1" si="34"/>
        <v>#N/A</v>
      </c>
      <c r="G89">
        <f t="shared" ref="G89" si="35">G$2+J$2*($B89-$B$6)</f>
        <v>8229.6</v>
      </c>
      <c r="H89" s="13" t="e">
        <f t="shared" ca="1" si="20"/>
        <v>#N/A</v>
      </c>
      <c r="I89" s="13" t="e">
        <f t="shared" ca="1" si="21"/>
        <v>#N/A</v>
      </c>
      <c r="J89" s="13">
        <f t="shared" si="20"/>
        <v>0</v>
      </c>
      <c r="K89" s="13" t="e">
        <f t="shared" ca="1" si="23"/>
        <v>#N/A</v>
      </c>
      <c r="L89" s="13" t="e">
        <f t="shared" ca="1" si="24"/>
        <v>#N/A</v>
      </c>
      <c r="M89" t="e">
        <f ca="1">R89</f>
        <v>#N/A</v>
      </c>
      <c r="N89" t="e">
        <f ca="1">S89</f>
        <v>#N/A</v>
      </c>
      <c r="O89">
        <f>(B89-B88)/(B92-B88)</f>
        <v>0.25</v>
      </c>
      <c r="P89" t="e">
        <f t="shared" ca="1" si="32"/>
        <v>#N/A</v>
      </c>
      <c r="Q89" t="e">
        <f t="shared" ca="1" si="32"/>
        <v>#N/A</v>
      </c>
      <c r="R89" t="e">
        <f t="shared" ca="1" si="33"/>
        <v>#N/A</v>
      </c>
      <c r="S89" t="e">
        <f t="shared" ca="1" si="33"/>
        <v>#N/A</v>
      </c>
    </row>
    <row r="90" spans="1:19" x14ac:dyDescent="0.25">
      <c r="A90" s="9">
        <f t="shared" si="30"/>
        <v>0.4263888888888881</v>
      </c>
      <c r="B90" s="4">
        <f t="shared" si="31"/>
        <v>1553300840</v>
      </c>
      <c r="C90">
        <v>3</v>
      </c>
      <c r="D90">
        <v>90</v>
      </c>
      <c r="E90" t="e">
        <f t="shared" ca="1" si="34"/>
        <v>#N/A</v>
      </c>
      <c r="F90" t="e">
        <f t="shared" ca="1" si="34"/>
        <v>#N/A</v>
      </c>
      <c r="G90">
        <f>G$3+J$3*($B90-$B$54)</f>
        <v>8229.6</v>
      </c>
      <c r="H90" s="13" t="e">
        <f t="shared" ca="1" si="20"/>
        <v>#N/A</v>
      </c>
      <c r="I90" s="13" t="e">
        <f t="shared" ca="1" si="21"/>
        <v>#N/A</v>
      </c>
      <c r="J90" s="13">
        <f t="shared" si="20"/>
        <v>0</v>
      </c>
      <c r="K90" s="13" t="e">
        <f t="shared" ca="1" si="23"/>
        <v>#N/A</v>
      </c>
      <c r="L90" s="13" t="e">
        <f t="shared" ca="1" si="24"/>
        <v>#N/A</v>
      </c>
      <c r="M90" t="e">
        <f t="shared" ref="M90:N91" ca="1" si="36">R90</f>
        <v>#N/A</v>
      </c>
      <c r="N90" t="e">
        <f t="shared" ca="1" si="36"/>
        <v>#N/A</v>
      </c>
      <c r="O90">
        <f>(B90-B88)/(B92-B88)</f>
        <v>0.5</v>
      </c>
      <c r="P90" t="e">
        <f t="shared" ca="1" si="32"/>
        <v>#N/A</v>
      </c>
      <c r="Q90" t="e">
        <f t="shared" ca="1" si="32"/>
        <v>#N/A</v>
      </c>
      <c r="R90" t="e">
        <f t="shared" ca="1" si="33"/>
        <v>#N/A</v>
      </c>
      <c r="S90" t="e">
        <f t="shared" ca="1" si="33"/>
        <v>#N/A</v>
      </c>
    </row>
    <row r="91" spans="1:19" x14ac:dyDescent="0.25">
      <c r="A91" s="8">
        <f t="shared" si="30"/>
        <v>0.42644675925925846</v>
      </c>
      <c r="B91" s="4">
        <f t="shared" si="31"/>
        <v>1553300845</v>
      </c>
      <c r="C91">
        <v>3</v>
      </c>
      <c r="D91">
        <v>90</v>
      </c>
      <c r="E91" t="e">
        <f t="shared" ca="1" si="34"/>
        <v>#N/A</v>
      </c>
      <c r="F91" t="e">
        <f t="shared" ca="1" si="34"/>
        <v>#N/A</v>
      </c>
      <c r="G91">
        <f t="shared" ref="G91" si="37">G$3+J$3*($B91-$B$54)</f>
        <v>8229.6</v>
      </c>
      <c r="H91" s="13" t="e">
        <f t="shared" ref="H91:H95" ca="1" si="38">(E92-E91)/($B92-$B91)</f>
        <v>#N/A</v>
      </c>
      <c r="I91" s="13" t="e">
        <f t="shared" ca="1" si="21"/>
        <v>#N/A</v>
      </c>
      <c r="J91" s="13">
        <f t="shared" ref="J91:J92" ca="1" si="39">(G92-G91)/($B92-$B91)</f>
        <v>0</v>
      </c>
      <c r="K91" s="13" t="e">
        <f t="shared" ca="1" si="23"/>
        <v>#N/A</v>
      </c>
      <c r="L91" s="13" t="e">
        <f t="shared" ca="1" si="24"/>
        <v>#N/A</v>
      </c>
      <c r="M91" t="e">
        <f t="shared" ca="1" si="36"/>
        <v>#N/A</v>
      </c>
      <c r="N91" t="e">
        <f t="shared" ca="1" si="36"/>
        <v>#N/A</v>
      </c>
      <c r="O91">
        <f>(B91-B88)/(B92-B88)</f>
        <v>0.75</v>
      </c>
      <c r="P91" t="e">
        <f t="shared" ca="1" si="32"/>
        <v>#N/A</v>
      </c>
      <c r="Q91" t="e">
        <f t="shared" ca="1" si="32"/>
        <v>#N/A</v>
      </c>
      <c r="R91" t="e">
        <f t="shared" ca="1" si="33"/>
        <v>#N/A</v>
      </c>
      <c r="S91" t="e">
        <f t="shared" ca="1" si="33"/>
        <v>#N/A</v>
      </c>
    </row>
    <row r="92" spans="1:19" x14ac:dyDescent="0.25">
      <c r="A92" s="8">
        <f t="shared" si="30"/>
        <v>0.42650462962962882</v>
      </c>
      <c r="B92" s="4">
        <f t="shared" si="31"/>
        <v>1553300850</v>
      </c>
      <c r="C92">
        <v>3</v>
      </c>
      <c r="D92">
        <v>90</v>
      </c>
      <c r="E92" t="e">
        <f ca="1">INDIRECT("E$"&amp;C92)+INDIRECT("H$"&amp;C92)*($B92-INDIRECT("B$"&amp;D92))</f>
        <v>#N/A</v>
      </c>
      <c r="F92" t="e">
        <f ca="1">INDIRECT("F$"&amp;C92)+INDIRECT("I$"&amp;C92)*($B92-INDIRECT("B$"&amp;D92))</f>
        <v>#N/A</v>
      </c>
      <c r="G92">
        <f ca="1">INDIRECT("G$"&amp;C92)+INDIRECT("J$"&amp;C92)*($B92-INDIRECT("B$"&amp;D92))</f>
        <v>8229.6</v>
      </c>
      <c r="H92" s="13" t="e">
        <f t="shared" ca="1" si="38"/>
        <v>#N/A</v>
      </c>
      <c r="I92" s="13" t="e">
        <f t="shared" ca="1" si="21"/>
        <v>#N/A</v>
      </c>
      <c r="J92" s="13">
        <f t="shared" ca="1" si="39"/>
        <v>0</v>
      </c>
      <c r="K92" s="13" t="e">
        <f t="shared" ca="1" si="23"/>
        <v>#N/A</v>
      </c>
      <c r="L92" s="13" t="e">
        <f t="shared" ca="1" si="24"/>
        <v>#N/A</v>
      </c>
      <c r="M92" t="e">
        <f t="shared" ref="M92" ca="1" si="40">INDIRECT("M$"&amp;C92)+INDIRECT("O$"&amp;C92)*($B92-INDIRECT("B$"&amp;D92))</f>
        <v>#N/A</v>
      </c>
      <c r="N92" t="e">
        <f t="shared" ref="N92" ca="1" si="41">INDIRECT("N$"&amp;C92)+INDIRECT("P$"&amp;C92)*($B92-INDIRECT("B$"&amp;D92))</f>
        <v>#N/A</v>
      </c>
      <c r="O92">
        <f>(B92-B88)/(B92-B88)</f>
        <v>1</v>
      </c>
      <c r="P92" t="e">
        <f t="shared" ca="1" si="32"/>
        <v>#N/A</v>
      </c>
      <c r="Q92" t="e">
        <f t="shared" ca="1" si="32"/>
        <v>#N/A</v>
      </c>
      <c r="R92" t="e">
        <f t="shared" ca="1" si="33"/>
        <v>#N/A</v>
      </c>
      <c r="S92" t="e">
        <f t="shared" ca="1" si="33"/>
        <v>#N/A</v>
      </c>
    </row>
    <row r="93" spans="1:19" x14ac:dyDescent="0.25">
      <c r="A93" s="8">
        <f t="shared" si="30"/>
        <v>0.42656249999999918</v>
      </c>
      <c r="B93" s="4">
        <f t="shared" si="31"/>
        <v>1553300855</v>
      </c>
      <c r="C93">
        <v>3</v>
      </c>
      <c r="D93">
        <v>90</v>
      </c>
      <c r="E93" t="e">
        <f t="shared" ref="E93:E111" ca="1" si="42">INDIRECT("E$"&amp;C93)+INDIRECT("H$"&amp;C93)*($B93-INDIRECT("B$"&amp;D93))</f>
        <v>#N/A</v>
      </c>
      <c r="F93" t="e">
        <f t="shared" ref="F93:F111" ca="1" si="43">INDIRECT("F$"&amp;C93)+INDIRECT("I$"&amp;C93)*($B93-INDIRECT("B$"&amp;D93))</f>
        <v>#N/A</v>
      </c>
      <c r="G93">
        <f t="shared" ref="G93:G111" ca="1" si="44">INDIRECT("G$"&amp;C93)+INDIRECT("J$"&amp;C93)*($B93-INDIRECT("B$"&amp;D93))</f>
        <v>8229.6</v>
      </c>
      <c r="H93" s="13" t="e">
        <f t="shared" ca="1" si="38"/>
        <v>#N/A</v>
      </c>
      <c r="I93" s="13" t="e">
        <f t="shared" ca="1" si="21"/>
        <v>#N/A</v>
      </c>
      <c r="J93" s="13">
        <f t="shared" ref="H93:J134" ca="1" si="45">(G94-G93)/($B94-$B93)</f>
        <v>0</v>
      </c>
      <c r="K93" s="13" t="e">
        <f t="shared" ref="K93:K134" ca="1" si="46">SQRT(H93*H93+I93*I93)</f>
        <v>#N/A</v>
      </c>
      <c r="L93" s="13" t="e">
        <f t="shared" ref="L93:L137" ca="1" si="47">DEGREES(ATAN2(I93,H93))</f>
        <v>#N/A</v>
      </c>
      <c r="M93" t="e">
        <f t="shared" ref="M93:M156" ca="1" si="48">INDIRECT("M$"&amp;C93)+INDIRECT("O$"&amp;C93)*($B93-INDIRECT("B$"&amp;D93))</f>
        <v>#N/A</v>
      </c>
      <c r="N93" t="e">
        <f t="shared" ref="N93:N156" ca="1" si="49">INDIRECT("N$"&amp;C93)+INDIRECT("P$"&amp;C93)*($B93-INDIRECT("B$"&amp;D93))</f>
        <v>#N/A</v>
      </c>
    </row>
    <row r="94" spans="1:19" x14ac:dyDescent="0.25">
      <c r="A94" s="8">
        <f t="shared" si="30"/>
        <v>0.42662037037036954</v>
      </c>
      <c r="B94" s="4">
        <f t="shared" si="31"/>
        <v>1553300860</v>
      </c>
      <c r="C94">
        <v>3</v>
      </c>
      <c r="D94">
        <v>90</v>
      </c>
      <c r="E94" t="e">
        <f t="shared" ca="1" si="42"/>
        <v>#N/A</v>
      </c>
      <c r="F94" t="e">
        <f t="shared" ca="1" si="43"/>
        <v>#N/A</v>
      </c>
      <c r="G94">
        <f t="shared" ca="1" si="44"/>
        <v>8229.6</v>
      </c>
      <c r="H94" s="13" t="e">
        <f t="shared" ca="1" si="38"/>
        <v>#N/A</v>
      </c>
      <c r="I94" s="13" t="e">
        <f t="shared" ca="1" si="21"/>
        <v>#N/A</v>
      </c>
      <c r="J94" s="13">
        <f t="shared" ca="1" si="45"/>
        <v>0</v>
      </c>
      <c r="K94" s="13" t="e">
        <f t="shared" ca="1" si="46"/>
        <v>#N/A</v>
      </c>
      <c r="L94" s="13" t="e">
        <f t="shared" ca="1" si="47"/>
        <v>#N/A</v>
      </c>
      <c r="M94" t="e">
        <f t="shared" ca="1" si="48"/>
        <v>#N/A</v>
      </c>
      <c r="N94" t="e">
        <f t="shared" ca="1" si="49"/>
        <v>#N/A</v>
      </c>
    </row>
    <row r="95" spans="1:19" x14ac:dyDescent="0.25">
      <c r="A95" s="8">
        <f>A94+5/24/3600</f>
        <v>0.4266782407407399</v>
      </c>
      <c r="B95" s="4">
        <f t="shared" si="31"/>
        <v>1553300865</v>
      </c>
      <c r="C95">
        <v>3</v>
      </c>
      <c r="D95">
        <v>90</v>
      </c>
      <c r="E95" t="e">
        <f t="shared" ca="1" si="42"/>
        <v>#N/A</v>
      </c>
      <c r="F95" t="e">
        <f t="shared" ca="1" si="43"/>
        <v>#N/A</v>
      </c>
      <c r="G95">
        <f t="shared" ca="1" si="44"/>
        <v>8229.6</v>
      </c>
      <c r="H95" s="13" t="e">
        <f t="shared" ca="1" si="38"/>
        <v>#N/A</v>
      </c>
      <c r="I95" s="13" t="e">
        <f t="shared" ca="1" si="21"/>
        <v>#N/A</v>
      </c>
      <c r="J95" s="13">
        <f t="shared" ca="1" si="45"/>
        <v>0</v>
      </c>
      <c r="K95" s="13" t="e">
        <f t="shared" ca="1" si="46"/>
        <v>#N/A</v>
      </c>
      <c r="L95" s="13" t="e">
        <f t="shared" ca="1" si="47"/>
        <v>#N/A</v>
      </c>
      <c r="M95" t="e">
        <f t="shared" ca="1" si="48"/>
        <v>#N/A</v>
      </c>
      <c r="N95" t="e">
        <f t="shared" ca="1" si="49"/>
        <v>#N/A</v>
      </c>
    </row>
    <row r="96" spans="1:19" x14ac:dyDescent="0.25">
      <c r="A96" s="8">
        <f t="shared" si="30"/>
        <v>0.42673611111111026</v>
      </c>
      <c r="B96" s="4">
        <f t="shared" si="31"/>
        <v>1553300870</v>
      </c>
      <c r="C96">
        <v>3</v>
      </c>
      <c r="D96">
        <v>90</v>
      </c>
      <c r="E96" t="e">
        <f t="shared" ca="1" si="42"/>
        <v>#N/A</v>
      </c>
      <c r="F96" t="e">
        <f t="shared" ca="1" si="43"/>
        <v>#N/A</v>
      </c>
      <c r="G96">
        <f t="shared" ca="1" si="44"/>
        <v>8229.6</v>
      </c>
      <c r="H96" s="13" t="e">
        <f t="shared" ca="1" si="45"/>
        <v>#N/A</v>
      </c>
      <c r="I96" s="13" t="e">
        <f t="shared" ca="1" si="45"/>
        <v>#N/A</v>
      </c>
      <c r="J96" s="13">
        <f t="shared" ca="1" si="45"/>
        <v>0</v>
      </c>
      <c r="K96" s="13" t="e">
        <f t="shared" ca="1" si="46"/>
        <v>#N/A</v>
      </c>
      <c r="L96" s="13" t="e">
        <f t="shared" ca="1" si="47"/>
        <v>#N/A</v>
      </c>
      <c r="M96" t="e">
        <f t="shared" ca="1" si="48"/>
        <v>#N/A</v>
      </c>
      <c r="N96" t="e">
        <f t="shared" ca="1" si="49"/>
        <v>#N/A</v>
      </c>
    </row>
    <row r="97" spans="1:14" x14ac:dyDescent="0.25">
      <c r="A97" s="8">
        <f t="shared" si="30"/>
        <v>0.42679398148148062</v>
      </c>
      <c r="B97" s="4">
        <f t="shared" si="31"/>
        <v>1553300875</v>
      </c>
      <c r="C97">
        <v>3</v>
      </c>
      <c r="D97">
        <v>90</v>
      </c>
      <c r="E97" t="e">
        <f t="shared" ca="1" si="42"/>
        <v>#N/A</v>
      </c>
      <c r="F97" t="e">
        <f t="shared" ca="1" si="43"/>
        <v>#N/A</v>
      </c>
      <c r="G97">
        <f t="shared" ca="1" si="44"/>
        <v>8229.6</v>
      </c>
      <c r="H97" s="13" t="e">
        <f t="shared" ca="1" si="45"/>
        <v>#N/A</v>
      </c>
      <c r="I97" s="13" t="e">
        <f t="shared" ca="1" si="45"/>
        <v>#N/A</v>
      </c>
      <c r="J97" s="13">
        <f t="shared" ca="1" si="45"/>
        <v>0</v>
      </c>
      <c r="K97" s="13" t="e">
        <f t="shared" ca="1" si="46"/>
        <v>#N/A</v>
      </c>
      <c r="L97" s="13" t="e">
        <f t="shared" ca="1" si="47"/>
        <v>#N/A</v>
      </c>
      <c r="M97" t="e">
        <f t="shared" ca="1" si="48"/>
        <v>#N/A</v>
      </c>
      <c r="N97" t="e">
        <f t="shared" ca="1" si="49"/>
        <v>#N/A</v>
      </c>
    </row>
    <row r="98" spans="1:14" x14ac:dyDescent="0.25">
      <c r="A98" s="8">
        <f t="shared" si="30"/>
        <v>0.42685185185185098</v>
      </c>
      <c r="B98" s="4">
        <f t="shared" si="31"/>
        <v>1553300880</v>
      </c>
      <c r="C98">
        <v>3</v>
      </c>
      <c r="D98">
        <v>90</v>
      </c>
      <c r="E98" t="e">
        <f t="shared" ca="1" si="42"/>
        <v>#N/A</v>
      </c>
      <c r="F98" t="e">
        <f t="shared" ca="1" si="43"/>
        <v>#N/A</v>
      </c>
      <c r="G98">
        <f t="shared" ca="1" si="44"/>
        <v>8229.6</v>
      </c>
      <c r="H98" s="13" t="e">
        <f t="shared" ca="1" si="45"/>
        <v>#N/A</v>
      </c>
      <c r="I98" s="13" t="e">
        <f t="shared" ca="1" si="45"/>
        <v>#N/A</v>
      </c>
      <c r="J98" s="13">
        <f t="shared" ca="1" si="45"/>
        <v>0</v>
      </c>
      <c r="K98" s="13" t="e">
        <f t="shared" ca="1" si="46"/>
        <v>#N/A</v>
      </c>
      <c r="L98" s="13" t="e">
        <f t="shared" ca="1" si="47"/>
        <v>#N/A</v>
      </c>
      <c r="M98" t="e">
        <f t="shared" ca="1" si="48"/>
        <v>#N/A</v>
      </c>
      <c r="N98" t="e">
        <f t="shared" ca="1" si="49"/>
        <v>#N/A</v>
      </c>
    </row>
    <row r="99" spans="1:14" x14ac:dyDescent="0.25">
      <c r="A99" s="8">
        <f t="shared" si="30"/>
        <v>0.42690972222222134</v>
      </c>
      <c r="B99" s="4">
        <f t="shared" si="31"/>
        <v>1553300885</v>
      </c>
      <c r="C99">
        <v>3</v>
      </c>
      <c r="D99">
        <v>90</v>
      </c>
      <c r="E99" t="e">
        <f t="shared" ca="1" si="42"/>
        <v>#N/A</v>
      </c>
      <c r="F99" t="e">
        <f t="shared" ca="1" si="43"/>
        <v>#N/A</v>
      </c>
      <c r="G99">
        <f t="shared" ca="1" si="44"/>
        <v>8229.6</v>
      </c>
      <c r="H99" s="13" t="e">
        <f t="shared" ca="1" si="45"/>
        <v>#N/A</v>
      </c>
      <c r="I99" s="13" t="e">
        <f t="shared" ca="1" si="45"/>
        <v>#N/A</v>
      </c>
      <c r="J99" s="13">
        <f t="shared" ca="1" si="45"/>
        <v>0</v>
      </c>
      <c r="K99" s="13" t="e">
        <f t="shared" ca="1" si="46"/>
        <v>#N/A</v>
      </c>
      <c r="L99" s="13" t="e">
        <f t="shared" ca="1" si="47"/>
        <v>#N/A</v>
      </c>
      <c r="M99" t="e">
        <f t="shared" ca="1" si="48"/>
        <v>#N/A</v>
      </c>
      <c r="N99" t="e">
        <f t="shared" ca="1" si="49"/>
        <v>#N/A</v>
      </c>
    </row>
    <row r="100" spans="1:14" x14ac:dyDescent="0.25">
      <c r="A100" s="8">
        <f t="shared" si="30"/>
        <v>0.4269675925925917</v>
      </c>
      <c r="B100" s="4">
        <f t="shared" si="31"/>
        <v>1553300890</v>
      </c>
      <c r="C100">
        <v>3</v>
      </c>
      <c r="D100">
        <v>90</v>
      </c>
      <c r="E100" t="e">
        <f t="shared" ca="1" si="42"/>
        <v>#N/A</v>
      </c>
      <c r="F100" t="e">
        <f t="shared" ca="1" si="43"/>
        <v>#N/A</v>
      </c>
      <c r="G100">
        <f t="shared" ca="1" si="44"/>
        <v>8229.6</v>
      </c>
      <c r="H100" s="13" t="e">
        <f t="shared" ca="1" si="45"/>
        <v>#N/A</v>
      </c>
      <c r="I100" s="13" t="e">
        <f t="shared" ca="1" si="45"/>
        <v>#N/A</v>
      </c>
      <c r="J100" s="13">
        <f t="shared" ca="1" si="45"/>
        <v>0</v>
      </c>
      <c r="K100" s="13" t="e">
        <f t="shared" ca="1" si="46"/>
        <v>#N/A</v>
      </c>
      <c r="L100" s="13" t="e">
        <f t="shared" ca="1" si="47"/>
        <v>#N/A</v>
      </c>
      <c r="M100" t="e">
        <f t="shared" ca="1" si="48"/>
        <v>#N/A</v>
      </c>
      <c r="N100" t="e">
        <f t="shared" ca="1" si="49"/>
        <v>#N/A</v>
      </c>
    </row>
    <row r="101" spans="1:14" x14ac:dyDescent="0.25">
      <c r="A101" s="8">
        <f t="shared" si="30"/>
        <v>0.42702546296296207</v>
      </c>
      <c r="B101" s="4">
        <f t="shared" si="31"/>
        <v>1553300895</v>
      </c>
      <c r="C101">
        <v>3</v>
      </c>
      <c r="D101">
        <v>90</v>
      </c>
      <c r="E101" t="e">
        <f t="shared" ca="1" si="42"/>
        <v>#N/A</v>
      </c>
      <c r="F101" t="e">
        <f t="shared" ca="1" si="43"/>
        <v>#N/A</v>
      </c>
      <c r="G101">
        <f t="shared" ca="1" si="44"/>
        <v>8229.6</v>
      </c>
      <c r="H101" s="13" t="e">
        <f t="shared" ca="1" si="45"/>
        <v>#N/A</v>
      </c>
      <c r="I101" s="13" t="e">
        <f t="shared" ca="1" si="45"/>
        <v>#N/A</v>
      </c>
      <c r="J101" s="13">
        <f t="shared" ca="1" si="45"/>
        <v>0</v>
      </c>
      <c r="K101" s="13" t="e">
        <f t="shared" ca="1" si="46"/>
        <v>#N/A</v>
      </c>
      <c r="L101" s="13" t="e">
        <f t="shared" ca="1" si="47"/>
        <v>#N/A</v>
      </c>
      <c r="M101" t="e">
        <f t="shared" ca="1" si="48"/>
        <v>#N/A</v>
      </c>
      <c r="N101" t="e">
        <f t="shared" ca="1" si="49"/>
        <v>#N/A</v>
      </c>
    </row>
    <row r="102" spans="1:14" x14ac:dyDescent="0.25">
      <c r="A102" s="8">
        <f t="shared" si="30"/>
        <v>0.42708333333333243</v>
      </c>
      <c r="B102" s="4">
        <f t="shared" si="31"/>
        <v>1553300900</v>
      </c>
      <c r="C102">
        <v>3</v>
      </c>
      <c r="D102">
        <v>90</v>
      </c>
      <c r="E102" t="e">
        <f t="shared" ca="1" si="42"/>
        <v>#N/A</v>
      </c>
      <c r="F102" t="e">
        <f t="shared" ca="1" si="43"/>
        <v>#N/A</v>
      </c>
      <c r="G102">
        <f t="shared" ca="1" si="44"/>
        <v>8229.6</v>
      </c>
      <c r="H102" s="13" t="e">
        <f t="shared" ca="1" si="45"/>
        <v>#N/A</v>
      </c>
      <c r="I102" s="13" t="e">
        <f t="shared" ca="1" si="45"/>
        <v>#N/A</v>
      </c>
      <c r="J102" s="13">
        <f t="shared" ca="1" si="45"/>
        <v>0</v>
      </c>
      <c r="K102" s="13" t="e">
        <f t="shared" ca="1" si="46"/>
        <v>#N/A</v>
      </c>
      <c r="L102" s="13" t="e">
        <f t="shared" ca="1" si="47"/>
        <v>#N/A</v>
      </c>
      <c r="M102" t="e">
        <f t="shared" ca="1" si="48"/>
        <v>#N/A</v>
      </c>
      <c r="N102" t="e">
        <f t="shared" ca="1" si="49"/>
        <v>#N/A</v>
      </c>
    </row>
    <row r="103" spans="1:14" x14ac:dyDescent="0.25">
      <c r="A103" s="8">
        <f>A102+5/24/3600</f>
        <v>0.42714120370370279</v>
      </c>
      <c r="B103" s="4">
        <f t="shared" si="31"/>
        <v>1553300905</v>
      </c>
      <c r="C103">
        <v>3</v>
      </c>
      <c r="D103">
        <v>90</v>
      </c>
      <c r="E103" t="e">
        <f t="shared" ca="1" si="42"/>
        <v>#N/A</v>
      </c>
      <c r="F103" t="e">
        <f t="shared" ca="1" si="43"/>
        <v>#N/A</v>
      </c>
      <c r="G103">
        <f t="shared" ca="1" si="44"/>
        <v>8229.6</v>
      </c>
      <c r="H103" s="13" t="e">
        <f t="shared" ca="1" si="45"/>
        <v>#N/A</v>
      </c>
      <c r="I103" s="13" t="e">
        <f t="shared" ca="1" si="45"/>
        <v>#N/A</v>
      </c>
      <c r="J103" s="13">
        <f t="shared" ca="1" si="45"/>
        <v>0</v>
      </c>
      <c r="K103" s="13" t="e">
        <f t="shared" ca="1" si="46"/>
        <v>#N/A</v>
      </c>
      <c r="L103" s="13" t="e">
        <f t="shared" ca="1" si="47"/>
        <v>#N/A</v>
      </c>
      <c r="M103" t="e">
        <f t="shared" ca="1" si="48"/>
        <v>#N/A</v>
      </c>
      <c r="N103" t="e">
        <f t="shared" ca="1" si="49"/>
        <v>#N/A</v>
      </c>
    </row>
    <row r="104" spans="1:14" x14ac:dyDescent="0.25">
      <c r="A104" s="8">
        <f t="shared" ref="A104:A120" si="50">A103+5/24/3600</f>
        <v>0.42719907407407315</v>
      </c>
      <c r="B104" s="4">
        <f t="shared" si="31"/>
        <v>1553300910</v>
      </c>
      <c r="C104">
        <v>3</v>
      </c>
      <c r="D104">
        <v>90</v>
      </c>
      <c r="E104" t="e">
        <f t="shared" ca="1" si="42"/>
        <v>#N/A</v>
      </c>
      <c r="F104" t="e">
        <f t="shared" ca="1" si="43"/>
        <v>#N/A</v>
      </c>
      <c r="G104">
        <f t="shared" ca="1" si="44"/>
        <v>8229.6</v>
      </c>
      <c r="H104" s="13" t="e">
        <f t="shared" ca="1" si="45"/>
        <v>#N/A</v>
      </c>
      <c r="I104" s="13" t="e">
        <f t="shared" ca="1" si="45"/>
        <v>#N/A</v>
      </c>
      <c r="J104" s="13">
        <f t="shared" ca="1" si="45"/>
        <v>0</v>
      </c>
      <c r="K104" s="13" t="e">
        <f t="shared" ca="1" si="46"/>
        <v>#N/A</v>
      </c>
      <c r="L104" s="13" t="e">
        <f t="shared" ca="1" si="47"/>
        <v>#N/A</v>
      </c>
      <c r="M104" t="e">
        <f t="shared" ca="1" si="48"/>
        <v>#N/A</v>
      </c>
      <c r="N104" t="e">
        <f t="shared" ca="1" si="49"/>
        <v>#N/A</v>
      </c>
    </row>
    <row r="105" spans="1:14" x14ac:dyDescent="0.25">
      <c r="A105" s="8">
        <f t="shared" si="50"/>
        <v>0.42725694444444351</v>
      </c>
      <c r="B105" s="4">
        <f t="shared" si="31"/>
        <v>1553300915</v>
      </c>
      <c r="C105">
        <v>3</v>
      </c>
      <c r="D105">
        <v>90</v>
      </c>
      <c r="E105" t="e">
        <f t="shared" ca="1" si="42"/>
        <v>#N/A</v>
      </c>
      <c r="F105" t="e">
        <f t="shared" ca="1" si="43"/>
        <v>#N/A</v>
      </c>
      <c r="G105">
        <f t="shared" ca="1" si="44"/>
        <v>8229.6</v>
      </c>
      <c r="H105" s="13" t="e">
        <f t="shared" ca="1" si="45"/>
        <v>#N/A</v>
      </c>
      <c r="I105" s="13" t="e">
        <f t="shared" ca="1" si="45"/>
        <v>#N/A</v>
      </c>
      <c r="J105" s="13">
        <f t="shared" ca="1" si="45"/>
        <v>0</v>
      </c>
      <c r="K105" s="13" t="e">
        <f t="shared" ca="1" si="46"/>
        <v>#N/A</v>
      </c>
      <c r="L105" s="13" t="e">
        <f t="shared" ca="1" si="47"/>
        <v>#N/A</v>
      </c>
      <c r="M105" t="e">
        <f t="shared" ca="1" si="48"/>
        <v>#N/A</v>
      </c>
      <c r="N105" t="e">
        <f t="shared" ca="1" si="49"/>
        <v>#N/A</v>
      </c>
    </row>
    <row r="106" spans="1:14" x14ac:dyDescent="0.25">
      <c r="A106" s="8">
        <f t="shared" si="50"/>
        <v>0.42731481481481387</v>
      </c>
      <c r="B106" s="4">
        <f t="shared" si="31"/>
        <v>1553300920</v>
      </c>
      <c r="C106">
        <v>3</v>
      </c>
      <c r="D106">
        <v>90</v>
      </c>
      <c r="E106" t="e">
        <f t="shared" ca="1" si="42"/>
        <v>#N/A</v>
      </c>
      <c r="F106" t="e">
        <f t="shared" ca="1" si="43"/>
        <v>#N/A</v>
      </c>
      <c r="G106">
        <f t="shared" ca="1" si="44"/>
        <v>8229.6</v>
      </c>
      <c r="H106" s="13" t="e">
        <f t="shared" ca="1" si="45"/>
        <v>#N/A</v>
      </c>
      <c r="I106" s="13" t="e">
        <f t="shared" ca="1" si="45"/>
        <v>#N/A</v>
      </c>
      <c r="J106" s="13">
        <f t="shared" ca="1" si="45"/>
        <v>0</v>
      </c>
      <c r="K106" s="13" t="e">
        <f t="shared" ca="1" si="46"/>
        <v>#N/A</v>
      </c>
      <c r="L106" s="13" t="e">
        <f t="shared" ca="1" si="47"/>
        <v>#N/A</v>
      </c>
      <c r="M106" t="e">
        <f t="shared" ca="1" si="48"/>
        <v>#N/A</v>
      </c>
      <c r="N106" t="e">
        <f t="shared" ca="1" si="49"/>
        <v>#N/A</v>
      </c>
    </row>
    <row r="107" spans="1:14" x14ac:dyDescent="0.25">
      <c r="A107" s="8">
        <f t="shared" si="50"/>
        <v>0.42737268518518423</v>
      </c>
      <c r="B107" s="4">
        <f t="shared" si="31"/>
        <v>1553300925</v>
      </c>
      <c r="C107">
        <v>3</v>
      </c>
      <c r="D107">
        <v>90</v>
      </c>
      <c r="E107" t="e">
        <f t="shared" ca="1" si="42"/>
        <v>#N/A</v>
      </c>
      <c r="F107" t="e">
        <f t="shared" ca="1" si="43"/>
        <v>#N/A</v>
      </c>
      <c r="G107">
        <f t="shared" ca="1" si="44"/>
        <v>8229.6</v>
      </c>
      <c r="H107" s="13" t="e">
        <f t="shared" ca="1" si="45"/>
        <v>#N/A</v>
      </c>
      <c r="I107" s="13" t="e">
        <f t="shared" ca="1" si="45"/>
        <v>#N/A</v>
      </c>
      <c r="J107" s="13">
        <f t="shared" ca="1" si="45"/>
        <v>0</v>
      </c>
      <c r="K107" s="13" t="e">
        <f t="shared" ca="1" si="46"/>
        <v>#N/A</v>
      </c>
      <c r="L107" s="13" t="e">
        <f t="shared" ca="1" si="47"/>
        <v>#N/A</v>
      </c>
      <c r="M107" t="e">
        <f t="shared" ca="1" si="48"/>
        <v>#N/A</v>
      </c>
      <c r="N107" t="e">
        <f t="shared" ca="1" si="49"/>
        <v>#N/A</v>
      </c>
    </row>
    <row r="108" spans="1:14" x14ac:dyDescent="0.25">
      <c r="A108" s="8">
        <f t="shared" si="50"/>
        <v>0.42743055555555459</v>
      </c>
      <c r="B108" s="4">
        <f t="shared" si="31"/>
        <v>1553300930</v>
      </c>
      <c r="C108">
        <v>3</v>
      </c>
      <c r="D108">
        <v>90</v>
      </c>
      <c r="E108" t="e">
        <f t="shared" ca="1" si="42"/>
        <v>#N/A</v>
      </c>
      <c r="F108" t="e">
        <f t="shared" ca="1" si="43"/>
        <v>#N/A</v>
      </c>
      <c r="G108">
        <f t="shared" ca="1" si="44"/>
        <v>8229.6</v>
      </c>
      <c r="H108" s="13" t="e">
        <f t="shared" ca="1" si="45"/>
        <v>#N/A</v>
      </c>
      <c r="I108" s="13" t="e">
        <f t="shared" ca="1" si="45"/>
        <v>#N/A</v>
      </c>
      <c r="J108" s="13">
        <f t="shared" ca="1" si="45"/>
        <v>0</v>
      </c>
      <c r="K108" s="13" t="e">
        <f t="shared" ca="1" si="46"/>
        <v>#N/A</v>
      </c>
      <c r="L108" s="13" t="e">
        <f t="shared" ca="1" si="47"/>
        <v>#N/A</v>
      </c>
      <c r="M108" t="e">
        <f t="shared" ca="1" si="48"/>
        <v>#N/A</v>
      </c>
      <c r="N108" t="e">
        <f t="shared" ca="1" si="49"/>
        <v>#N/A</v>
      </c>
    </row>
    <row r="109" spans="1:14" x14ac:dyDescent="0.25">
      <c r="A109" s="8">
        <f t="shared" si="50"/>
        <v>0.42748842592592495</v>
      </c>
      <c r="B109" s="4">
        <f t="shared" si="31"/>
        <v>1553300935</v>
      </c>
      <c r="C109">
        <v>3</v>
      </c>
      <c r="D109">
        <v>90</v>
      </c>
      <c r="E109" t="e">
        <f t="shared" ca="1" si="42"/>
        <v>#N/A</v>
      </c>
      <c r="F109" t="e">
        <f t="shared" ca="1" si="43"/>
        <v>#N/A</v>
      </c>
      <c r="G109">
        <f t="shared" ca="1" si="44"/>
        <v>8229.6</v>
      </c>
      <c r="H109" s="13" t="e">
        <f t="shared" ca="1" si="45"/>
        <v>#N/A</v>
      </c>
      <c r="I109" s="13" t="e">
        <f t="shared" ca="1" si="45"/>
        <v>#N/A</v>
      </c>
      <c r="J109" s="13">
        <f t="shared" ca="1" si="45"/>
        <v>0</v>
      </c>
      <c r="K109" s="13" t="e">
        <f t="shared" ca="1" si="46"/>
        <v>#N/A</v>
      </c>
      <c r="L109" s="13" t="e">
        <f t="shared" ca="1" si="47"/>
        <v>#N/A</v>
      </c>
      <c r="M109" t="e">
        <f t="shared" ca="1" si="48"/>
        <v>#N/A</v>
      </c>
      <c r="N109" t="e">
        <f t="shared" ca="1" si="49"/>
        <v>#N/A</v>
      </c>
    </row>
    <row r="110" spans="1:14" x14ac:dyDescent="0.25">
      <c r="A110" s="8">
        <f t="shared" si="50"/>
        <v>0.42754629629629531</v>
      </c>
      <c r="B110" s="4">
        <f t="shared" si="31"/>
        <v>1553300940</v>
      </c>
      <c r="C110">
        <v>3</v>
      </c>
      <c r="D110">
        <v>90</v>
      </c>
      <c r="E110" t="e">
        <f t="shared" ca="1" si="42"/>
        <v>#N/A</v>
      </c>
      <c r="F110" t="e">
        <f t="shared" ca="1" si="43"/>
        <v>#N/A</v>
      </c>
      <c r="G110">
        <f t="shared" ca="1" si="44"/>
        <v>8229.6</v>
      </c>
      <c r="H110" s="13" t="e">
        <f t="shared" ca="1" si="45"/>
        <v>#N/A</v>
      </c>
      <c r="I110" s="13" t="e">
        <f t="shared" ca="1" si="45"/>
        <v>#N/A</v>
      </c>
      <c r="J110" s="13">
        <f t="shared" ca="1" si="45"/>
        <v>0</v>
      </c>
      <c r="K110" s="13" t="e">
        <f t="shared" ca="1" si="46"/>
        <v>#N/A</v>
      </c>
      <c r="L110" s="13" t="e">
        <f t="shared" ca="1" si="47"/>
        <v>#N/A</v>
      </c>
      <c r="M110" t="e">
        <f t="shared" ca="1" si="48"/>
        <v>#N/A</v>
      </c>
      <c r="N110" t="e">
        <f t="shared" ca="1" si="49"/>
        <v>#N/A</v>
      </c>
    </row>
    <row r="111" spans="1:14" x14ac:dyDescent="0.25">
      <c r="A111" s="8">
        <f t="shared" si="50"/>
        <v>0.42760416666666567</v>
      </c>
      <c r="B111" s="4">
        <f t="shared" si="31"/>
        <v>1553300945</v>
      </c>
      <c r="C111">
        <v>3</v>
      </c>
      <c r="D111">
        <v>90</v>
      </c>
      <c r="E111" t="e">
        <f t="shared" ca="1" si="42"/>
        <v>#N/A</v>
      </c>
      <c r="F111" t="e">
        <f t="shared" ca="1" si="43"/>
        <v>#N/A</v>
      </c>
      <c r="G111">
        <f t="shared" ca="1" si="44"/>
        <v>8229.6</v>
      </c>
      <c r="H111" s="13" t="e">
        <f t="shared" ca="1" si="45"/>
        <v>#N/A</v>
      </c>
      <c r="I111" s="13" t="e">
        <f t="shared" ca="1" si="45"/>
        <v>#N/A</v>
      </c>
      <c r="J111" s="13">
        <f t="shared" ca="1" si="45"/>
        <v>0</v>
      </c>
      <c r="K111" s="13" t="e">
        <f t="shared" ca="1" si="46"/>
        <v>#N/A</v>
      </c>
      <c r="L111" s="13" t="e">
        <f t="shared" ca="1" si="47"/>
        <v>#N/A</v>
      </c>
      <c r="M111" t="e">
        <f t="shared" ca="1" si="48"/>
        <v>#N/A</v>
      </c>
      <c r="N111" t="e">
        <f t="shared" ca="1" si="49"/>
        <v>#N/A</v>
      </c>
    </row>
    <row r="112" spans="1:14" x14ac:dyDescent="0.25">
      <c r="A112" s="8">
        <f t="shared" si="50"/>
        <v>0.42766203703703604</v>
      </c>
      <c r="B112" s="4">
        <f t="shared" si="31"/>
        <v>1553300950</v>
      </c>
      <c r="C112">
        <v>3</v>
      </c>
      <c r="D112">
        <v>90</v>
      </c>
      <c r="E112" t="e">
        <f ca="1">INDIRECT("E$"&amp;C112)+INDIRECT("H$"&amp;C112)*($B112-INDIRECT("B$"&amp;D112))</f>
        <v>#N/A</v>
      </c>
      <c r="F112" t="e">
        <f ca="1">INDIRECT("F$"&amp;C112)+INDIRECT("I$"&amp;C112)*($B112-INDIRECT("B$"&amp;D112))</f>
        <v>#N/A</v>
      </c>
      <c r="G112">
        <f ca="1">INDIRECT("G$"&amp;C112)+INDIRECT("J$"&amp;C112)*($B112-INDIRECT("B$"&amp;D112))</f>
        <v>8229.6</v>
      </c>
      <c r="H112" s="13" t="e">
        <f t="shared" ca="1" si="45"/>
        <v>#N/A</v>
      </c>
      <c r="I112" s="13" t="e">
        <f t="shared" ca="1" si="45"/>
        <v>#N/A</v>
      </c>
      <c r="J112" s="13">
        <f t="shared" ca="1" si="45"/>
        <v>0</v>
      </c>
      <c r="K112" s="13" t="e">
        <f t="shared" ca="1" si="46"/>
        <v>#N/A</v>
      </c>
      <c r="L112" s="13" t="e">
        <f t="shared" ca="1" si="47"/>
        <v>#N/A</v>
      </c>
      <c r="M112" t="e">
        <f t="shared" ca="1" si="48"/>
        <v>#N/A</v>
      </c>
      <c r="N112" t="e">
        <f t="shared" ca="1" si="49"/>
        <v>#N/A</v>
      </c>
    </row>
    <row r="113" spans="1:14" x14ac:dyDescent="0.25">
      <c r="A113" s="8">
        <f t="shared" si="50"/>
        <v>0.4277199074074064</v>
      </c>
      <c r="B113" s="4">
        <f t="shared" si="31"/>
        <v>1553300955</v>
      </c>
      <c r="C113">
        <v>3</v>
      </c>
      <c r="D113">
        <v>90</v>
      </c>
      <c r="E113" t="e">
        <f t="shared" ref="E113:E116" ca="1" si="51">INDIRECT("E$"&amp;C113)+INDIRECT("H$"&amp;C113)*($B113-INDIRECT("B$"&amp;D113))</f>
        <v>#N/A</v>
      </c>
      <c r="F113" t="e">
        <f t="shared" ref="F113:F116" ca="1" si="52">INDIRECT("F$"&amp;C113)+INDIRECT("I$"&amp;C113)*($B113-INDIRECT("B$"&amp;D113))</f>
        <v>#N/A</v>
      </c>
      <c r="G113">
        <f t="shared" ref="G113:G116" ca="1" si="53">INDIRECT("G$"&amp;C113)+INDIRECT("J$"&amp;C113)*($B113-INDIRECT("B$"&amp;D113))</f>
        <v>8229.6</v>
      </c>
      <c r="H113" s="13" t="e">
        <f t="shared" ca="1" si="45"/>
        <v>#N/A</v>
      </c>
      <c r="I113" s="13" t="e">
        <f t="shared" ca="1" si="45"/>
        <v>#N/A</v>
      </c>
      <c r="J113" s="13">
        <f t="shared" ca="1" si="45"/>
        <v>0</v>
      </c>
      <c r="K113" s="13" t="e">
        <f t="shared" ca="1" si="46"/>
        <v>#N/A</v>
      </c>
      <c r="L113" s="13" t="e">
        <f t="shared" ca="1" si="47"/>
        <v>#N/A</v>
      </c>
      <c r="M113" t="e">
        <f t="shared" ca="1" si="48"/>
        <v>#N/A</v>
      </c>
      <c r="N113" t="e">
        <f t="shared" ca="1" si="49"/>
        <v>#N/A</v>
      </c>
    </row>
    <row r="114" spans="1:14" x14ac:dyDescent="0.25">
      <c r="A114" s="8">
        <f t="shared" si="50"/>
        <v>0.42777777777777676</v>
      </c>
      <c r="B114" s="4">
        <f t="shared" si="31"/>
        <v>1553300960</v>
      </c>
      <c r="C114">
        <v>3</v>
      </c>
      <c r="D114">
        <v>90</v>
      </c>
      <c r="E114" t="e">
        <f t="shared" ca="1" si="51"/>
        <v>#N/A</v>
      </c>
      <c r="F114" t="e">
        <f t="shared" ca="1" si="52"/>
        <v>#N/A</v>
      </c>
      <c r="G114">
        <f t="shared" ca="1" si="53"/>
        <v>8229.6</v>
      </c>
      <c r="H114" s="13" t="e">
        <f t="shared" ca="1" si="45"/>
        <v>#N/A</v>
      </c>
      <c r="I114" s="13" t="e">
        <f t="shared" ca="1" si="45"/>
        <v>#N/A</v>
      </c>
      <c r="J114" s="13">
        <f t="shared" ca="1" si="45"/>
        <v>0</v>
      </c>
      <c r="K114" s="13" t="e">
        <f t="shared" ca="1" si="46"/>
        <v>#N/A</v>
      </c>
      <c r="L114" s="13" t="e">
        <f t="shared" ca="1" si="47"/>
        <v>#N/A</v>
      </c>
      <c r="M114" t="e">
        <f t="shared" ca="1" si="48"/>
        <v>#N/A</v>
      </c>
      <c r="N114" t="e">
        <f t="shared" ca="1" si="49"/>
        <v>#N/A</v>
      </c>
    </row>
    <row r="115" spans="1:14" x14ac:dyDescent="0.25">
      <c r="A115" s="8">
        <f t="shared" si="50"/>
        <v>0.42783564814814712</v>
      </c>
      <c r="B115" s="4">
        <f t="shared" si="31"/>
        <v>1553300965</v>
      </c>
      <c r="C115">
        <v>3</v>
      </c>
      <c r="D115">
        <v>90</v>
      </c>
      <c r="E115" t="e">
        <f t="shared" ca="1" si="51"/>
        <v>#N/A</v>
      </c>
      <c r="F115" t="e">
        <f t="shared" ca="1" si="52"/>
        <v>#N/A</v>
      </c>
      <c r="G115">
        <f t="shared" ca="1" si="53"/>
        <v>8229.6</v>
      </c>
      <c r="H115" s="13" t="e">
        <f t="shared" ca="1" si="45"/>
        <v>#N/A</v>
      </c>
      <c r="I115" s="13" t="e">
        <f t="shared" ca="1" si="45"/>
        <v>#N/A</v>
      </c>
      <c r="J115" s="13">
        <f t="shared" ca="1" si="45"/>
        <v>0</v>
      </c>
      <c r="K115" s="13" t="e">
        <f t="shared" ca="1" si="46"/>
        <v>#N/A</v>
      </c>
      <c r="L115" s="13" t="e">
        <f t="shared" ca="1" si="47"/>
        <v>#N/A</v>
      </c>
      <c r="M115" t="e">
        <f t="shared" ca="1" si="48"/>
        <v>#N/A</v>
      </c>
      <c r="N115" t="e">
        <f t="shared" ca="1" si="49"/>
        <v>#N/A</v>
      </c>
    </row>
    <row r="116" spans="1:14" x14ac:dyDescent="0.25">
      <c r="A116" s="8">
        <f t="shared" si="50"/>
        <v>0.42789351851851748</v>
      </c>
      <c r="B116" s="4">
        <f t="shared" si="31"/>
        <v>1553300970</v>
      </c>
      <c r="C116">
        <v>3</v>
      </c>
      <c r="D116">
        <v>90</v>
      </c>
      <c r="E116" t="e">
        <f t="shared" ca="1" si="51"/>
        <v>#N/A</v>
      </c>
      <c r="F116" t="e">
        <f t="shared" ca="1" si="52"/>
        <v>#N/A</v>
      </c>
      <c r="G116">
        <f t="shared" ca="1" si="53"/>
        <v>8229.6</v>
      </c>
      <c r="H116" s="13" t="e">
        <f t="shared" ca="1" si="45"/>
        <v>#N/A</v>
      </c>
      <c r="I116" s="13" t="e">
        <f t="shared" ca="1" si="45"/>
        <v>#N/A</v>
      </c>
      <c r="J116" s="13">
        <f t="shared" ca="1" si="45"/>
        <v>0</v>
      </c>
      <c r="K116" s="13" t="e">
        <f t="shared" ca="1" si="46"/>
        <v>#N/A</v>
      </c>
      <c r="L116" s="13" t="e">
        <f t="shared" ca="1" si="47"/>
        <v>#N/A</v>
      </c>
      <c r="M116" t="e">
        <f t="shared" ca="1" si="48"/>
        <v>#N/A</v>
      </c>
      <c r="N116" t="e">
        <f t="shared" ca="1" si="49"/>
        <v>#N/A</v>
      </c>
    </row>
    <row r="117" spans="1:14" x14ac:dyDescent="0.25">
      <c r="A117" s="8">
        <f t="shared" si="50"/>
        <v>0.42795138888888784</v>
      </c>
      <c r="B117" s="4">
        <f t="shared" si="31"/>
        <v>1553300975</v>
      </c>
      <c r="C117">
        <v>3</v>
      </c>
      <c r="D117">
        <v>90</v>
      </c>
      <c r="E117" t="e">
        <f ca="1">INDIRECT("E$"&amp;C117)+INDIRECT("H$"&amp;C117)*($B117-INDIRECT("B$"&amp;D117))</f>
        <v>#N/A</v>
      </c>
      <c r="F117" t="e">
        <f ca="1">INDIRECT("F$"&amp;C117)+INDIRECT("I$"&amp;C117)*($B117-INDIRECT("B$"&amp;D117))</f>
        <v>#N/A</v>
      </c>
      <c r="G117">
        <f ca="1">INDIRECT("G$"&amp;C117)+INDIRECT("J$"&amp;C117)*($B117-INDIRECT("B$"&amp;D117))</f>
        <v>8229.6</v>
      </c>
      <c r="H117" s="13" t="e">
        <f t="shared" ca="1" si="45"/>
        <v>#N/A</v>
      </c>
      <c r="I117" s="13" t="e">
        <f t="shared" ca="1" si="45"/>
        <v>#N/A</v>
      </c>
      <c r="J117" s="13">
        <f t="shared" ca="1" si="45"/>
        <v>0</v>
      </c>
      <c r="K117" s="13" t="e">
        <f t="shared" ca="1" si="46"/>
        <v>#N/A</v>
      </c>
      <c r="L117" s="13" t="e">
        <f t="shared" ca="1" si="47"/>
        <v>#N/A</v>
      </c>
      <c r="M117" t="e">
        <f t="shared" ca="1" si="48"/>
        <v>#N/A</v>
      </c>
      <c r="N117" t="e">
        <f t="shared" ca="1" si="49"/>
        <v>#N/A</v>
      </c>
    </row>
    <row r="118" spans="1:14" x14ac:dyDescent="0.25">
      <c r="A118" s="8">
        <f t="shared" si="50"/>
        <v>0.4280092592592582</v>
      </c>
      <c r="B118" s="4">
        <f t="shared" si="31"/>
        <v>1553300980</v>
      </c>
      <c r="C118">
        <v>3</v>
      </c>
      <c r="D118">
        <v>90</v>
      </c>
      <c r="E118" t="e">
        <f t="shared" ref="E118:E136" ca="1" si="54">INDIRECT("E$"&amp;C118)+INDIRECT("H$"&amp;C118)*($B118-INDIRECT("B$"&amp;D118))</f>
        <v>#N/A</v>
      </c>
      <c r="F118" t="e">
        <f t="shared" ref="F118:F136" ca="1" si="55">INDIRECT("F$"&amp;C118)+INDIRECT("I$"&amp;C118)*($B118-INDIRECT("B$"&amp;D118))</f>
        <v>#N/A</v>
      </c>
      <c r="G118">
        <f t="shared" ref="G118:G136" ca="1" si="56">INDIRECT("G$"&amp;C118)+INDIRECT("J$"&amp;C118)*($B118-INDIRECT("B$"&amp;D118))</f>
        <v>8229.6</v>
      </c>
      <c r="H118" s="13" t="e">
        <f t="shared" ca="1" si="45"/>
        <v>#N/A</v>
      </c>
      <c r="I118" s="13" t="e">
        <f t="shared" ca="1" si="45"/>
        <v>#N/A</v>
      </c>
      <c r="J118" s="13">
        <f t="shared" ca="1" si="45"/>
        <v>0</v>
      </c>
      <c r="K118" s="13" t="e">
        <f t="shared" ca="1" si="46"/>
        <v>#N/A</v>
      </c>
      <c r="L118" s="13" t="e">
        <f t="shared" ca="1" si="47"/>
        <v>#N/A</v>
      </c>
      <c r="M118" t="e">
        <f t="shared" ca="1" si="48"/>
        <v>#N/A</v>
      </c>
      <c r="N118" t="e">
        <f t="shared" ca="1" si="49"/>
        <v>#N/A</v>
      </c>
    </row>
    <row r="119" spans="1:14" x14ac:dyDescent="0.25">
      <c r="A119" s="8">
        <f t="shared" si="50"/>
        <v>0.42806712962962856</v>
      </c>
      <c r="B119" s="4">
        <f t="shared" si="31"/>
        <v>1553300985</v>
      </c>
      <c r="C119">
        <v>3</v>
      </c>
      <c r="D119">
        <v>90</v>
      </c>
      <c r="E119" t="e">
        <f t="shared" ca="1" si="54"/>
        <v>#N/A</v>
      </c>
      <c r="F119" t="e">
        <f t="shared" ca="1" si="55"/>
        <v>#N/A</v>
      </c>
      <c r="G119">
        <f t="shared" ca="1" si="56"/>
        <v>8229.6</v>
      </c>
      <c r="H119" s="13" t="e">
        <f t="shared" ca="1" si="45"/>
        <v>#N/A</v>
      </c>
      <c r="I119" s="13" t="e">
        <f t="shared" ca="1" si="45"/>
        <v>#N/A</v>
      </c>
      <c r="J119" s="13">
        <f t="shared" ca="1" si="45"/>
        <v>0</v>
      </c>
      <c r="K119" s="13" t="e">
        <f t="shared" ca="1" si="46"/>
        <v>#N/A</v>
      </c>
      <c r="L119" s="13" t="e">
        <f t="shared" ca="1" si="47"/>
        <v>#N/A</v>
      </c>
      <c r="M119" t="e">
        <f t="shared" ca="1" si="48"/>
        <v>#N/A</v>
      </c>
      <c r="N119" t="e">
        <f t="shared" ca="1" si="49"/>
        <v>#N/A</v>
      </c>
    </row>
    <row r="120" spans="1:14" x14ac:dyDescent="0.25">
      <c r="A120" s="8">
        <f t="shared" si="50"/>
        <v>0.42812499999999892</v>
      </c>
      <c r="B120" s="4">
        <f t="shared" si="31"/>
        <v>1553300990</v>
      </c>
      <c r="C120">
        <v>3</v>
      </c>
      <c r="D120">
        <v>90</v>
      </c>
      <c r="E120" t="e">
        <f t="shared" ca="1" si="54"/>
        <v>#N/A</v>
      </c>
      <c r="F120" t="e">
        <f t="shared" ca="1" si="55"/>
        <v>#N/A</v>
      </c>
      <c r="G120">
        <f t="shared" ca="1" si="56"/>
        <v>8229.6</v>
      </c>
      <c r="H120" s="13" t="e">
        <f t="shared" ca="1" si="45"/>
        <v>#N/A</v>
      </c>
      <c r="I120" s="13" t="e">
        <f t="shared" ca="1" si="45"/>
        <v>#N/A</v>
      </c>
      <c r="J120" s="13">
        <f t="shared" ca="1" si="45"/>
        <v>0</v>
      </c>
      <c r="K120" s="13" t="e">
        <f t="shared" ca="1" si="46"/>
        <v>#N/A</v>
      </c>
      <c r="L120" s="13" t="e">
        <f t="shared" ca="1" si="47"/>
        <v>#N/A</v>
      </c>
      <c r="M120" t="e">
        <f t="shared" ca="1" si="48"/>
        <v>#N/A</v>
      </c>
      <c r="N120" t="e">
        <f t="shared" ca="1" si="49"/>
        <v>#N/A</v>
      </c>
    </row>
    <row r="121" spans="1:14" x14ac:dyDescent="0.25">
      <c r="A121" s="8">
        <f>A120+5/24/3600</f>
        <v>0.42818287037036928</v>
      </c>
      <c r="B121" s="4">
        <f t="shared" si="31"/>
        <v>1553300995</v>
      </c>
      <c r="C121">
        <v>3</v>
      </c>
      <c r="D121">
        <v>90</v>
      </c>
      <c r="E121" t="e">
        <f t="shared" ca="1" si="54"/>
        <v>#N/A</v>
      </c>
      <c r="F121" t="e">
        <f t="shared" ca="1" si="55"/>
        <v>#N/A</v>
      </c>
      <c r="G121">
        <f t="shared" ca="1" si="56"/>
        <v>8229.6</v>
      </c>
      <c r="H121" s="13" t="e">
        <f t="shared" ca="1" si="45"/>
        <v>#N/A</v>
      </c>
      <c r="I121" s="13" t="e">
        <f t="shared" ca="1" si="45"/>
        <v>#N/A</v>
      </c>
      <c r="J121" s="13">
        <f t="shared" ca="1" si="45"/>
        <v>0</v>
      </c>
      <c r="K121" s="13" t="e">
        <f t="shared" ca="1" si="46"/>
        <v>#N/A</v>
      </c>
      <c r="L121" s="13" t="e">
        <f t="shared" ca="1" si="47"/>
        <v>#N/A</v>
      </c>
      <c r="M121" t="e">
        <f t="shared" ca="1" si="48"/>
        <v>#N/A</v>
      </c>
      <c r="N121" t="e">
        <f t="shared" ca="1" si="49"/>
        <v>#N/A</v>
      </c>
    </row>
    <row r="122" spans="1:14" x14ac:dyDescent="0.25">
      <c r="A122" s="8">
        <f t="shared" ref="A122:A162" si="57">A121+5/24/3600</f>
        <v>0.42824074074073964</v>
      </c>
      <c r="B122" s="4">
        <f t="shared" si="31"/>
        <v>1553301000</v>
      </c>
      <c r="C122">
        <v>3</v>
      </c>
      <c r="D122">
        <v>90</v>
      </c>
      <c r="E122" t="e">
        <f t="shared" ca="1" si="54"/>
        <v>#N/A</v>
      </c>
      <c r="F122" t="e">
        <f t="shared" ca="1" si="55"/>
        <v>#N/A</v>
      </c>
      <c r="G122">
        <f t="shared" ca="1" si="56"/>
        <v>8229.6</v>
      </c>
      <c r="H122" s="13" t="e">
        <f t="shared" ca="1" si="45"/>
        <v>#N/A</v>
      </c>
      <c r="I122" s="13" t="e">
        <f t="shared" ca="1" si="45"/>
        <v>#N/A</v>
      </c>
      <c r="J122" s="13">
        <f t="shared" ca="1" si="45"/>
        <v>0</v>
      </c>
      <c r="K122" s="13" t="e">
        <f t="shared" ca="1" si="46"/>
        <v>#N/A</v>
      </c>
      <c r="L122" s="13" t="e">
        <f t="shared" ca="1" si="47"/>
        <v>#N/A</v>
      </c>
      <c r="M122" t="e">
        <f t="shared" ca="1" si="48"/>
        <v>#N/A</v>
      </c>
      <c r="N122" t="e">
        <f t="shared" ca="1" si="49"/>
        <v>#N/A</v>
      </c>
    </row>
    <row r="123" spans="1:14" x14ac:dyDescent="0.25">
      <c r="A123" s="8">
        <f t="shared" si="57"/>
        <v>0.42829861111111001</v>
      </c>
      <c r="B123" s="4">
        <f t="shared" si="31"/>
        <v>1553301005</v>
      </c>
      <c r="C123">
        <v>3</v>
      </c>
      <c r="D123">
        <v>90</v>
      </c>
      <c r="E123" t="e">
        <f t="shared" ca="1" si="54"/>
        <v>#N/A</v>
      </c>
      <c r="F123" t="e">
        <f t="shared" ca="1" si="55"/>
        <v>#N/A</v>
      </c>
      <c r="G123">
        <f t="shared" ca="1" si="56"/>
        <v>8229.6</v>
      </c>
      <c r="H123" s="13" t="e">
        <f t="shared" ca="1" si="45"/>
        <v>#N/A</v>
      </c>
      <c r="I123" s="13" t="e">
        <f t="shared" ca="1" si="45"/>
        <v>#N/A</v>
      </c>
      <c r="J123" s="13">
        <f t="shared" ca="1" si="45"/>
        <v>0</v>
      </c>
      <c r="K123" s="13" t="e">
        <f t="shared" ca="1" si="46"/>
        <v>#N/A</v>
      </c>
      <c r="L123" s="13" t="e">
        <f t="shared" ca="1" si="47"/>
        <v>#N/A</v>
      </c>
      <c r="M123" t="e">
        <f t="shared" ca="1" si="48"/>
        <v>#N/A</v>
      </c>
      <c r="N123" t="e">
        <f t="shared" ca="1" si="49"/>
        <v>#N/A</v>
      </c>
    </row>
    <row r="124" spans="1:14" x14ac:dyDescent="0.25">
      <c r="A124" s="8">
        <f t="shared" si="57"/>
        <v>0.42835648148148037</v>
      </c>
      <c r="B124" s="4">
        <f t="shared" si="31"/>
        <v>1553301010</v>
      </c>
      <c r="C124">
        <v>3</v>
      </c>
      <c r="D124">
        <v>90</v>
      </c>
      <c r="E124" t="e">
        <f t="shared" ca="1" si="54"/>
        <v>#N/A</v>
      </c>
      <c r="F124" t="e">
        <f t="shared" ca="1" si="55"/>
        <v>#N/A</v>
      </c>
      <c r="G124">
        <f t="shared" ca="1" si="56"/>
        <v>8229.6</v>
      </c>
      <c r="H124" s="13" t="e">
        <f t="shared" ca="1" si="45"/>
        <v>#N/A</v>
      </c>
      <c r="I124" s="13" t="e">
        <f t="shared" ca="1" si="45"/>
        <v>#N/A</v>
      </c>
      <c r="J124" s="13">
        <f t="shared" ca="1" si="45"/>
        <v>0</v>
      </c>
      <c r="K124" s="13" t="e">
        <f t="shared" ca="1" si="46"/>
        <v>#N/A</v>
      </c>
      <c r="L124" s="13" t="e">
        <f t="shared" ca="1" si="47"/>
        <v>#N/A</v>
      </c>
      <c r="M124" t="e">
        <f t="shared" ca="1" si="48"/>
        <v>#N/A</v>
      </c>
      <c r="N124" t="e">
        <f t="shared" ca="1" si="49"/>
        <v>#N/A</v>
      </c>
    </row>
    <row r="125" spans="1:14" x14ac:dyDescent="0.25">
      <c r="A125" s="8">
        <f t="shared" si="57"/>
        <v>0.42841435185185073</v>
      </c>
      <c r="B125" s="4">
        <f t="shared" si="31"/>
        <v>1553301015</v>
      </c>
      <c r="C125">
        <v>3</v>
      </c>
      <c r="D125">
        <v>90</v>
      </c>
      <c r="E125" t="e">
        <f t="shared" ca="1" si="54"/>
        <v>#N/A</v>
      </c>
      <c r="F125" t="e">
        <f t="shared" ca="1" si="55"/>
        <v>#N/A</v>
      </c>
      <c r="G125">
        <f t="shared" ca="1" si="56"/>
        <v>8229.6</v>
      </c>
      <c r="H125" s="13" t="e">
        <f t="shared" ca="1" si="45"/>
        <v>#N/A</v>
      </c>
      <c r="I125" s="13" t="e">
        <f t="shared" ca="1" si="45"/>
        <v>#N/A</v>
      </c>
      <c r="J125" s="13">
        <f t="shared" ca="1" si="45"/>
        <v>0</v>
      </c>
      <c r="K125" s="13" t="e">
        <f t="shared" ca="1" si="46"/>
        <v>#N/A</v>
      </c>
      <c r="L125" s="13" t="e">
        <f t="shared" ca="1" si="47"/>
        <v>#N/A</v>
      </c>
      <c r="M125" t="e">
        <f t="shared" ca="1" si="48"/>
        <v>#N/A</v>
      </c>
      <c r="N125" t="e">
        <f t="shared" ca="1" si="49"/>
        <v>#N/A</v>
      </c>
    </row>
    <row r="126" spans="1:14" x14ac:dyDescent="0.25">
      <c r="A126" s="8">
        <f t="shared" si="57"/>
        <v>0.42847222222222109</v>
      </c>
      <c r="B126" s="4">
        <f t="shared" si="31"/>
        <v>1553301020</v>
      </c>
      <c r="C126">
        <v>3</v>
      </c>
      <c r="D126">
        <v>90</v>
      </c>
      <c r="E126" t="e">
        <f t="shared" ca="1" si="54"/>
        <v>#N/A</v>
      </c>
      <c r="F126" t="e">
        <f t="shared" ca="1" si="55"/>
        <v>#N/A</v>
      </c>
      <c r="G126">
        <f t="shared" ca="1" si="56"/>
        <v>8229.6</v>
      </c>
      <c r="H126" s="13" t="e">
        <f t="shared" ca="1" si="45"/>
        <v>#N/A</v>
      </c>
      <c r="I126" s="13" t="e">
        <f t="shared" ca="1" si="45"/>
        <v>#N/A</v>
      </c>
      <c r="J126" s="13">
        <f t="shared" ca="1" si="45"/>
        <v>0</v>
      </c>
      <c r="K126" s="13" t="e">
        <f t="shared" ca="1" si="46"/>
        <v>#N/A</v>
      </c>
      <c r="L126" s="13" t="e">
        <f t="shared" ca="1" si="47"/>
        <v>#N/A</v>
      </c>
      <c r="M126" t="e">
        <f t="shared" ca="1" si="48"/>
        <v>#N/A</v>
      </c>
      <c r="N126" t="e">
        <f t="shared" ca="1" si="49"/>
        <v>#N/A</v>
      </c>
    </row>
    <row r="127" spans="1:14" x14ac:dyDescent="0.25">
      <c r="A127" s="8">
        <f t="shared" si="57"/>
        <v>0.42853009259259145</v>
      </c>
      <c r="B127" s="4">
        <f t="shared" si="31"/>
        <v>1553301025</v>
      </c>
      <c r="C127">
        <v>3</v>
      </c>
      <c r="D127">
        <v>90</v>
      </c>
      <c r="E127" t="e">
        <f t="shared" ca="1" si="54"/>
        <v>#N/A</v>
      </c>
      <c r="F127" t="e">
        <f t="shared" ca="1" si="55"/>
        <v>#N/A</v>
      </c>
      <c r="G127">
        <f t="shared" ca="1" si="56"/>
        <v>8229.6</v>
      </c>
      <c r="H127" s="13" t="e">
        <f t="shared" ca="1" si="45"/>
        <v>#N/A</v>
      </c>
      <c r="I127" s="13" t="e">
        <f t="shared" ca="1" si="45"/>
        <v>#N/A</v>
      </c>
      <c r="J127" s="13">
        <f t="shared" ca="1" si="45"/>
        <v>0</v>
      </c>
      <c r="K127" s="13" t="e">
        <f t="shared" ca="1" si="46"/>
        <v>#N/A</v>
      </c>
      <c r="L127" s="13" t="e">
        <f t="shared" ca="1" si="47"/>
        <v>#N/A</v>
      </c>
      <c r="M127" t="e">
        <f t="shared" ca="1" si="48"/>
        <v>#N/A</v>
      </c>
      <c r="N127" t="e">
        <f t="shared" ca="1" si="49"/>
        <v>#N/A</v>
      </c>
    </row>
    <row r="128" spans="1:14" x14ac:dyDescent="0.25">
      <c r="A128" s="8">
        <f t="shared" si="57"/>
        <v>0.42858796296296181</v>
      </c>
      <c r="B128" s="4">
        <f t="shared" si="31"/>
        <v>1553301030</v>
      </c>
      <c r="C128">
        <v>3</v>
      </c>
      <c r="D128">
        <v>90</v>
      </c>
      <c r="E128" t="e">
        <f t="shared" ca="1" si="54"/>
        <v>#N/A</v>
      </c>
      <c r="F128" t="e">
        <f t="shared" ca="1" si="55"/>
        <v>#N/A</v>
      </c>
      <c r="G128">
        <f t="shared" ca="1" si="56"/>
        <v>8229.6</v>
      </c>
      <c r="H128" s="13" t="e">
        <f t="shared" ca="1" si="45"/>
        <v>#N/A</v>
      </c>
      <c r="I128" s="13" t="e">
        <f t="shared" ca="1" si="45"/>
        <v>#N/A</v>
      </c>
      <c r="J128" s="13">
        <f t="shared" ca="1" si="45"/>
        <v>0</v>
      </c>
      <c r="K128" s="13" t="e">
        <f t="shared" ca="1" si="46"/>
        <v>#N/A</v>
      </c>
      <c r="L128" s="13" t="e">
        <f t="shared" ca="1" si="47"/>
        <v>#N/A</v>
      </c>
      <c r="M128" t="e">
        <f t="shared" ca="1" si="48"/>
        <v>#N/A</v>
      </c>
      <c r="N128" t="e">
        <f t="shared" ca="1" si="49"/>
        <v>#N/A</v>
      </c>
    </row>
    <row r="129" spans="1:14" x14ac:dyDescent="0.25">
      <c r="A129" s="8">
        <f t="shared" si="57"/>
        <v>0.42864583333333217</v>
      </c>
      <c r="B129" s="4">
        <f t="shared" si="31"/>
        <v>1553301035</v>
      </c>
      <c r="C129">
        <v>3</v>
      </c>
      <c r="D129">
        <v>90</v>
      </c>
      <c r="E129" t="e">
        <f t="shared" ca="1" si="54"/>
        <v>#N/A</v>
      </c>
      <c r="F129" t="e">
        <f t="shared" ca="1" si="55"/>
        <v>#N/A</v>
      </c>
      <c r="G129">
        <f t="shared" ca="1" si="56"/>
        <v>8229.6</v>
      </c>
      <c r="H129" s="13" t="e">
        <f t="shared" ca="1" si="45"/>
        <v>#N/A</v>
      </c>
      <c r="I129" s="13" t="e">
        <f t="shared" ca="1" si="45"/>
        <v>#N/A</v>
      </c>
      <c r="J129" s="13">
        <f t="shared" ca="1" si="45"/>
        <v>0</v>
      </c>
      <c r="K129" s="13" t="e">
        <f t="shared" ca="1" si="46"/>
        <v>#N/A</v>
      </c>
      <c r="L129" s="13" t="e">
        <f t="shared" ca="1" si="47"/>
        <v>#N/A</v>
      </c>
      <c r="M129" t="e">
        <f t="shared" ca="1" si="48"/>
        <v>#N/A</v>
      </c>
      <c r="N129" t="e">
        <f t="shared" ca="1" si="49"/>
        <v>#N/A</v>
      </c>
    </row>
    <row r="130" spans="1:14" x14ac:dyDescent="0.25">
      <c r="A130" s="8">
        <f t="shared" si="57"/>
        <v>0.42870370370370253</v>
      </c>
      <c r="B130" s="4">
        <f t="shared" si="31"/>
        <v>1553301040</v>
      </c>
      <c r="C130">
        <v>3</v>
      </c>
      <c r="D130">
        <v>90</v>
      </c>
      <c r="E130" t="e">
        <f t="shared" ca="1" si="54"/>
        <v>#N/A</v>
      </c>
      <c r="F130" t="e">
        <f t="shared" ca="1" si="55"/>
        <v>#N/A</v>
      </c>
      <c r="G130">
        <f t="shared" ca="1" si="56"/>
        <v>8229.6</v>
      </c>
      <c r="H130" s="13" t="e">
        <f t="shared" ca="1" si="45"/>
        <v>#N/A</v>
      </c>
      <c r="I130" s="13" t="e">
        <f t="shared" ca="1" si="45"/>
        <v>#N/A</v>
      </c>
      <c r="J130" s="13">
        <f t="shared" ca="1" si="45"/>
        <v>0</v>
      </c>
      <c r="K130" s="13" t="e">
        <f t="shared" ca="1" si="46"/>
        <v>#N/A</v>
      </c>
      <c r="L130" s="13" t="e">
        <f t="shared" ca="1" si="47"/>
        <v>#N/A</v>
      </c>
      <c r="M130" t="e">
        <f t="shared" ca="1" si="48"/>
        <v>#N/A</v>
      </c>
      <c r="N130" t="e">
        <f t="shared" ca="1" si="49"/>
        <v>#N/A</v>
      </c>
    </row>
    <row r="131" spans="1:14" x14ac:dyDescent="0.25">
      <c r="A131" s="8">
        <f t="shared" si="57"/>
        <v>0.42876157407407289</v>
      </c>
      <c r="B131" s="4">
        <f t="shared" si="31"/>
        <v>1553301045</v>
      </c>
      <c r="C131">
        <v>3</v>
      </c>
      <c r="D131">
        <v>90</v>
      </c>
      <c r="E131" t="e">
        <f t="shared" ca="1" si="54"/>
        <v>#N/A</v>
      </c>
      <c r="F131" t="e">
        <f t="shared" ca="1" si="55"/>
        <v>#N/A</v>
      </c>
      <c r="G131">
        <f t="shared" ca="1" si="56"/>
        <v>8229.6</v>
      </c>
      <c r="H131" s="13" t="e">
        <f t="shared" ca="1" si="45"/>
        <v>#N/A</v>
      </c>
      <c r="I131" s="13" t="e">
        <f t="shared" ca="1" si="45"/>
        <v>#N/A</v>
      </c>
      <c r="J131" s="13">
        <f t="shared" ca="1" si="45"/>
        <v>0</v>
      </c>
      <c r="K131" s="13" t="e">
        <f t="shared" ca="1" si="46"/>
        <v>#N/A</v>
      </c>
      <c r="L131" s="13" t="e">
        <f t="shared" ca="1" si="47"/>
        <v>#N/A</v>
      </c>
      <c r="M131" t="e">
        <f t="shared" ca="1" si="48"/>
        <v>#N/A</v>
      </c>
      <c r="N131" t="e">
        <f t="shared" ca="1" si="49"/>
        <v>#N/A</v>
      </c>
    </row>
    <row r="132" spans="1:14" x14ac:dyDescent="0.25">
      <c r="A132" s="8">
        <f t="shared" si="57"/>
        <v>0.42881944444444325</v>
      </c>
      <c r="B132" s="4">
        <f t="shared" si="31"/>
        <v>1553301050</v>
      </c>
      <c r="C132">
        <v>3</v>
      </c>
      <c r="D132">
        <v>90</v>
      </c>
      <c r="E132" t="e">
        <f t="shared" ca="1" si="54"/>
        <v>#N/A</v>
      </c>
      <c r="F132" t="e">
        <f t="shared" ca="1" si="55"/>
        <v>#N/A</v>
      </c>
      <c r="G132">
        <f t="shared" ca="1" si="56"/>
        <v>8229.6</v>
      </c>
      <c r="H132" s="13" t="e">
        <f t="shared" ca="1" si="45"/>
        <v>#N/A</v>
      </c>
      <c r="I132" s="13" t="e">
        <f t="shared" ca="1" si="45"/>
        <v>#N/A</v>
      </c>
      <c r="J132" s="13">
        <f t="shared" ca="1" si="45"/>
        <v>0</v>
      </c>
      <c r="K132" s="13" t="e">
        <f t="shared" ca="1" si="46"/>
        <v>#N/A</v>
      </c>
      <c r="L132" s="13" t="e">
        <f t="shared" ca="1" si="47"/>
        <v>#N/A</v>
      </c>
      <c r="M132" t="e">
        <f t="shared" ca="1" si="48"/>
        <v>#N/A</v>
      </c>
      <c r="N132" t="e">
        <f t="shared" ca="1" si="49"/>
        <v>#N/A</v>
      </c>
    </row>
    <row r="133" spans="1:14" x14ac:dyDescent="0.25">
      <c r="A133" s="8">
        <f t="shared" si="57"/>
        <v>0.42887731481481361</v>
      </c>
      <c r="B133" s="4">
        <f t="shared" si="31"/>
        <v>1553301055</v>
      </c>
      <c r="C133">
        <v>3</v>
      </c>
      <c r="D133">
        <v>90</v>
      </c>
      <c r="E133" t="e">
        <f t="shared" ca="1" si="54"/>
        <v>#N/A</v>
      </c>
      <c r="F133" t="e">
        <f t="shared" ca="1" si="55"/>
        <v>#N/A</v>
      </c>
      <c r="G133">
        <f t="shared" ca="1" si="56"/>
        <v>8229.6</v>
      </c>
      <c r="H133" s="13" t="e">
        <f t="shared" ca="1" si="45"/>
        <v>#N/A</v>
      </c>
      <c r="I133" s="13" t="e">
        <f t="shared" ca="1" si="45"/>
        <v>#N/A</v>
      </c>
      <c r="J133" s="13">
        <f t="shared" ca="1" si="45"/>
        <v>0</v>
      </c>
      <c r="K133" s="13" t="e">
        <f t="shared" ca="1" si="46"/>
        <v>#N/A</v>
      </c>
      <c r="L133" s="13" t="e">
        <f t="shared" ca="1" si="47"/>
        <v>#N/A</v>
      </c>
      <c r="M133" t="e">
        <f t="shared" ca="1" si="48"/>
        <v>#N/A</v>
      </c>
      <c r="N133" t="e">
        <f t="shared" ca="1" si="49"/>
        <v>#N/A</v>
      </c>
    </row>
    <row r="134" spans="1:14" x14ac:dyDescent="0.25">
      <c r="A134" s="8">
        <f t="shared" si="57"/>
        <v>0.42893518518518398</v>
      </c>
      <c r="B134" s="4">
        <f t="shared" si="31"/>
        <v>1553301060</v>
      </c>
      <c r="C134">
        <v>3</v>
      </c>
      <c r="D134">
        <v>90</v>
      </c>
      <c r="E134" t="e">
        <f t="shared" ca="1" si="54"/>
        <v>#N/A</v>
      </c>
      <c r="F134" t="e">
        <f t="shared" ca="1" si="55"/>
        <v>#N/A</v>
      </c>
      <c r="G134">
        <f t="shared" ca="1" si="56"/>
        <v>8229.6</v>
      </c>
      <c r="H134" s="13" t="e">
        <f t="shared" ca="1" si="45"/>
        <v>#N/A</v>
      </c>
      <c r="I134" s="13" t="e">
        <f t="shared" ca="1" si="45"/>
        <v>#N/A</v>
      </c>
      <c r="J134" s="13">
        <f t="shared" ca="1" si="45"/>
        <v>0</v>
      </c>
      <c r="K134" s="13" t="e">
        <f t="shared" ca="1" si="46"/>
        <v>#N/A</v>
      </c>
      <c r="L134" s="13" t="e">
        <f t="shared" ca="1" si="47"/>
        <v>#N/A</v>
      </c>
      <c r="M134" t="e">
        <f t="shared" ca="1" si="48"/>
        <v>#N/A</v>
      </c>
      <c r="N134" t="e">
        <f t="shared" ca="1" si="49"/>
        <v>#N/A</v>
      </c>
    </row>
    <row r="135" spans="1:14" x14ac:dyDescent="0.25">
      <c r="A135" s="8">
        <f t="shared" si="57"/>
        <v>0.42899305555555434</v>
      </c>
      <c r="B135" s="4">
        <f t="shared" si="31"/>
        <v>1553301065</v>
      </c>
      <c r="C135">
        <v>3</v>
      </c>
      <c r="D135">
        <v>90</v>
      </c>
      <c r="E135" t="e">
        <f t="shared" ca="1" si="54"/>
        <v>#N/A</v>
      </c>
      <c r="F135" t="e">
        <f t="shared" ca="1" si="55"/>
        <v>#N/A</v>
      </c>
      <c r="G135">
        <f t="shared" ca="1" si="56"/>
        <v>8229.6</v>
      </c>
      <c r="H135" s="13" t="e">
        <f t="shared" ref="H135:J137" ca="1" si="58">(E136-E135)/($B136-$B135)</f>
        <v>#N/A</v>
      </c>
      <c r="I135" s="13" t="e">
        <f t="shared" ca="1" si="58"/>
        <v>#N/A</v>
      </c>
      <c r="J135" s="13">
        <f t="shared" ca="1" si="58"/>
        <v>0</v>
      </c>
      <c r="K135" s="13" t="e">
        <f t="shared" ref="K135:K137" ca="1" si="59">SQRT(H135*H135+I135*I135)</f>
        <v>#N/A</v>
      </c>
      <c r="L135" s="13" t="e">
        <f t="shared" ca="1" si="47"/>
        <v>#N/A</v>
      </c>
      <c r="M135" t="e">
        <f t="shared" ca="1" si="48"/>
        <v>#N/A</v>
      </c>
      <c r="N135" t="e">
        <f t="shared" ca="1" si="49"/>
        <v>#N/A</v>
      </c>
    </row>
    <row r="136" spans="1:14" x14ac:dyDescent="0.25">
      <c r="A136" s="8">
        <f t="shared" si="57"/>
        <v>0.4290509259259247</v>
      </c>
      <c r="B136" s="4">
        <f t="shared" si="31"/>
        <v>1553301070</v>
      </c>
      <c r="C136">
        <v>3</v>
      </c>
      <c r="D136">
        <v>90</v>
      </c>
      <c r="E136" t="e">
        <f t="shared" ca="1" si="54"/>
        <v>#N/A</v>
      </c>
      <c r="F136" t="e">
        <f t="shared" ca="1" si="55"/>
        <v>#N/A</v>
      </c>
      <c r="G136">
        <f t="shared" ca="1" si="56"/>
        <v>8229.6</v>
      </c>
      <c r="H136" s="13" t="e">
        <f t="shared" ca="1" si="58"/>
        <v>#N/A</v>
      </c>
      <c r="I136" s="13" t="e">
        <f t="shared" ca="1" si="58"/>
        <v>#N/A</v>
      </c>
      <c r="J136" s="13">
        <f t="shared" ca="1" si="58"/>
        <v>0</v>
      </c>
      <c r="K136" s="13" t="e">
        <f t="shared" ca="1" si="59"/>
        <v>#N/A</v>
      </c>
      <c r="L136" s="13" t="e">
        <f t="shared" ca="1" si="47"/>
        <v>#N/A</v>
      </c>
      <c r="M136" t="e">
        <f t="shared" ca="1" si="48"/>
        <v>#N/A</v>
      </c>
      <c r="N136" t="e">
        <f t="shared" ca="1" si="49"/>
        <v>#N/A</v>
      </c>
    </row>
    <row r="137" spans="1:14" x14ac:dyDescent="0.25">
      <c r="A137" s="8">
        <f t="shared" si="57"/>
        <v>0.42910879629629506</v>
      </c>
      <c r="B137" s="4">
        <f t="shared" ref="B137:B138" si="60">B136+SECOND(A137-A136)</f>
        <v>1553301075</v>
      </c>
      <c r="C137">
        <v>3</v>
      </c>
      <c r="D137">
        <v>90</v>
      </c>
      <c r="E137" t="e">
        <f ca="1">INDIRECT("E$"&amp;C137)+INDIRECT("H$"&amp;C137)*($B137-INDIRECT("B$"&amp;D137))</f>
        <v>#N/A</v>
      </c>
      <c r="F137" t="e">
        <f ca="1">INDIRECT("F$"&amp;C137)+INDIRECT("I$"&amp;C137)*($B137-INDIRECT("B$"&amp;D137))</f>
        <v>#N/A</v>
      </c>
      <c r="G137">
        <f ca="1">INDIRECT("G$"&amp;C137)+INDIRECT("J$"&amp;C137)*($B137-INDIRECT("B$"&amp;D137))</f>
        <v>8229.6</v>
      </c>
      <c r="H137" s="13" t="e">
        <f t="shared" ca="1" si="58"/>
        <v>#N/A</v>
      </c>
      <c r="I137" s="13" t="e">
        <f t="shared" ca="1" si="58"/>
        <v>#N/A</v>
      </c>
      <c r="J137" s="13">
        <f t="shared" ca="1" si="58"/>
        <v>0</v>
      </c>
      <c r="K137" s="13" t="e">
        <f t="shared" ca="1" si="59"/>
        <v>#N/A</v>
      </c>
      <c r="L137" s="13" t="e">
        <f t="shared" ca="1" si="47"/>
        <v>#N/A</v>
      </c>
      <c r="M137" t="e">
        <f t="shared" ca="1" si="48"/>
        <v>#N/A</v>
      </c>
      <c r="N137" t="e">
        <f t="shared" ca="1" si="49"/>
        <v>#N/A</v>
      </c>
    </row>
    <row r="138" spans="1:14" x14ac:dyDescent="0.25">
      <c r="A138" s="12">
        <f t="shared" si="57"/>
        <v>0.42916666666666542</v>
      </c>
      <c r="B138" s="4">
        <f t="shared" si="60"/>
        <v>1553301080</v>
      </c>
      <c r="C138">
        <v>3</v>
      </c>
      <c r="D138">
        <v>90</v>
      </c>
      <c r="E138" t="e">
        <f t="shared" ref="E138:E141" ca="1" si="61">INDIRECT("E$"&amp;C138)+INDIRECT("H$"&amp;C138)*($B138-INDIRECT("B$"&amp;D138))</f>
        <v>#N/A</v>
      </c>
      <c r="F138" t="e">
        <f t="shared" ref="F138:F141" ca="1" si="62">INDIRECT("F$"&amp;C138)+INDIRECT("I$"&amp;C138)*($B138-INDIRECT("B$"&amp;D138))</f>
        <v>#N/A</v>
      </c>
      <c r="G138">
        <f t="shared" ref="G138:G141" ca="1" si="63">INDIRECT("G$"&amp;C138)+INDIRECT("J$"&amp;C138)*($B138-INDIRECT("B$"&amp;D138))</f>
        <v>8229.6</v>
      </c>
      <c r="H138" s="13" t="e">
        <f t="shared" ref="H138:H161" ca="1" si="64">(E139-E138)/($B139-$B138)</f>
        <v>#N/A</v>
      </c>
      <c r="I138" s="13" t="e">
        <f t="shared" ref="I138:I161" ca="1" si="65">(F139-F138)/($B139-$B138)</f>
        <v>#N/A</v>
      </c>
      <c r="J138" s="13">
        <f t="shared" ref="J138:J161" ca="1" si="66">(G139-G138)/($B139-$B138)</f>
        <v>0</v>
      </c>
      <c r="K138" s="13" t="e">
        <f t="shared" ref="K138:K161" ca="1" si="67">SQRT(H138*H138+I138*I138)</f>
        <v>#N/A</v>
      </c>
      <c r="L138" s="13" t="e">
        <f t="shared" ref="L138:L161" ca="1" si="68">DEGREES(ATAN2(I138,H138))</f>
        <v>#N/A</v>
      </c>
      <c r="M138" t="e">
        <f t="shared" ca="1" si="48"/>
        <v>#N/A</v>
      </c>
      <c r="N138" t="e">
        <f t="shared" ca="1" si="49"/>
        <v>#N/A</v>
      </c>
    </row>
    <row r="139" spans="1:14" x14ac:dyDescent="0.25">
      <c r="A139" s="12">
        <f t="shared" si="57"/>
        <v>0.42922453703703578</v>
      </c>
      <c r="B139" s="4">
        <f t="shared" ref="B139:B157" si="69">B138+SECOND(A139-A138)</f>
        <v>1553301085</v>
      </c>
      <c r="C139">
        <v>3</v>
      </c>
      <c r="D139">
        <v>90</v>
      </c>
      <c r="E139" t="e">
        <f t="shared" ca="1" si="61"/>
        <v>#N/A</v>
      </c>
      <c r="F139" t="e">
        <f t="shared" ca="1" si="62"/>
        <v>#N/A</v>
      </c>
      <c r="G139">
        <f t="shared" ca="1" si="63"/>
        <v>8229.6</v>
      </c>
      <c r="H139" s="13" t="e">
        <f t="shared" ca="1" si="64"/>
        <v>#N/A</v>
      </c>
      <c r="I139" s="13" t="e">
        <f t="shared" ca="1" si="65"/>
        <v>#N/A</v>
      </c>
      <c r="J139" s="13">
        <f t="shared" ca="1" si="66"/>
        <v>0</v>
      </c>
      <c r="K139" s="13" t="e">
        <f t="shared" ca="1" si="67"/>
        <v>#N/A</v>
      </c>
      <c r="L139" s="13" t="e">
        <f t="shared" ca="1" si="68"/>
        <v>#N/A</v>
      </c>
      <c r="M139" t="e">
        <f t="shared" ca="1" si="48"/>
        <v>#N/A</v>
      </c>
      <c r="N139" t="e">
        <f t="shared" ca="1" si="49"/>
        <v>#N/A</v>
      </c>
    </row>
    <row r="140" spans="1:14" x14ac:dyDescent="0.25">
      <c r="A140" s="12">
        <f t="shared" si="57"/>
        <v>0.42928240740740614</v>
      </c>
      <c r="B140" s="4">
        <f t="shared" si="69"/>
        <v>1553301090</v>
      </c>
      <c r="C140">
        <v>3</v>
      </c>
      <c r="D140">
        <v>90</v>
      </c>
      <c r="E140" t="e">
        <f t="shared" ca="1" si="61"/>
        <v>#N/A</v>
      </c>
      <c r="F140" t="e">
        <f t="shared" ca="1" si="62"/>
        <v>#N/A</v>
      </c>
      <c r="G140">
        <f t="shared" ca="1" si="63"/>
        <v>8229.6</v>
      </c>
      <c r="H140" s="13" t="e">
        <f t="shared" ca="1" si="64"/>
        <v>#N/A</v>
      </c>
      <c r="I140" s="13" t="e">
        <f t="shared" ca="1" si="65"/>
        <v>#N/A</v>
      </c>
      <c r="J140" s="13">
        <f t="shared" ca="1" si="66"/>
        <v>0</v>
      </c>
      <c r="K140" s="13" t="e">
        <f t="shared" ca="1" si="67"/>
        <v>#N/A</v>
      </c>
      <c r="L140" s="13" t="e">
        <f t="shared" ca="1" si="68"/>
        <v>#N/A</v>
      </c>
      <c r="M140" t="e">
        <f t="shared" ca="1" si="48"/>
        <v>#N/A</v>
      </c>
      <c r="N140" t="e">
        <f t="shared" ca="1" si="49"/>
        <v>#N/A</v>
      </c>
    </row>
    <row r="141" spans="1:14" x14ac:dyDescent="0.25">
      <c r="A141" s="12">
        <f t="shared" si="57"/>
        <v>0.4293402777777765</v>
      </c>
      <c r="B141" s="4">
        <f t="shared" si="69"/>
        <v>1553301095</v>
      </c>
      <c r="C141">
        <v>3</v>
      </c>
      <c r="D141">
        <v>90</v>
      </c>
      <c r="E141" t="e">
        <f t="shared" ca="1" si="61"/>
        <v>#N/A</v>
      </c>
      <c r="F141" t="e">
        <f t="shared" ca="1" si="62"/>
        <v>#N/A</v>
      </c>
      <c r="G141">
        <f t="shared" ca="1" si="63"/>
        <v>8229.6</v>
      </c>
      <c r="H141" s="13" t="e">
        <f t="shared" ca="1" si="64"/>
        <v>#N/A</v>
      </c>
      <c r="I141" s="13" t="e">
        <f t="shared" ca="1" si="65"/>
        <v>#N/A</v>
      </c>
      <c r="J141" s="13">
        <f t="shared" ca="1" si="66"/>
        <v>0</v>
      </c>
      <c r="K141" s="13" t="e">
        <f t="shared" ca="1" si="67"/>
        <v>#N/A</v>
      </c>
      <c r="L141" s="13" t="e">
        <f t="shared" ca="1" si="68"/>
        <v>#N/A</v>
      </c>
      <c r="M141" t="e">
        <f t="shared" ca="1" si="48"/>
        <v>#N/A</v>
      </c>
      <c r="N141" t="e">
        <f t="shared" ca="1" si="49"/>
        <v>#N/A</v>
      </c>
    </row>
    <row r="142" spans="1:14" x14ac:dyDescent="0.25">
      <c r="A142" s="12">
        <f t="shared" si="57"/>
        <v>0.42939814814814686</v>
      </c>
      <c r="B142" s="4">
        <f t="shared" si="69"/>
        <v>1553301100</v>
      </c>
      <c r="C142">
        <v>3</v>
      </c>
      <c r="D142">
        <v>90</v>
      </c>
      <c r="E142" t="e">
        <f ca="1">INDIRECT("E$"&amp;C142)+INDIRECT("H$"&amp;C142)*($B142-INDIRECT("B$"&amp;D142))</f>
        <v>#N/A</v>
      </c>
      <c r="F142" t="e">
        <f ca="1">INDIRECT("F$"&amp;C142)+INDIRECT("I$"&amp;C142)*($B142-INDIRECT("B$"&amp;D142))</f>
        <v>#N/A</v>
      </c>
      <c r="G142">
        <f ca="1">INDIRECT("G$"&amp;C142)+INDIRECT("J$"&amp;C142)*($B142-INDIRECT("B$"&amp;D142))</f>
        <v>8229.6</v>
      </c>
      <c r="H142" s="13" t="e">
        <f t="shared" ca="1" si="64"/>
        <v>#N/A</v>
      </c>
      <c r="I142" s="13" t="e">
        <f t="shared" ca="1" si="65"/>
        <v>#N/A</v>
      </c>
      <c r="J142" s="13">
        <f t="shared" ca="1" si="66"/>
        <v>0</v>
      </c>
      <c r="K142" s="13" t="e">
        <f t="shared" ca="1" si="67"/>
        <v>#N/A</v>
      </c>
      <c r="L142" s="13" t="e">
        <f t="shared" ca="1" si="68"/>
        <v>#N/A</v>
      </c>
      <c r="M142" t="e">
        <f t="shared" ca="1" si="48"/>
        <v>#N/A</v>
      </c>
      <c r="N142" t="e">
        <f t="shared" ca="1" si="49"/>
        <v>#N/A</v>
      </c>
    </row>
    <row r="143" spans="1:14" x14ac:dyDescent="0.25">
      <c r="A143" s="12">
        <f t="shared" si="57"/>
        <v>0.42945601851851722</v>
      </c>
      <c r="B143" s="4">
        <f t="shared" si="69"/>
        <v>1553301105</v>
      </c>
      <c r="C143">
        <v>3</v>
      </c>
      <c r="D143">
        <v>90</v>
      </c>
      <c r="E143" t="e">
        <f t="shared" ref="E143:E161" ca="1" si="70">INDIRECT("E$"&amp;C143)+INDIRECT("H$"&amp;C143)*($B143-INDIRECT("B$"&amp;D143))</f>
        <v>#N/A</v>
      </c>
      <c r="F143" t="e">
        <f t="shared" ref="F143:F161" ca="1" si="71">INDIRECT("F$"&amp;C143)+INDIRECT("I$"&amp;C143)*($B143-INDIRECT("B$"&amp;D143))</f>
        <v>#N/A</v>
      </c>
      <c r="G143">
        <f t="shared" ref="G143:G161" ca="1" si="72">INDIRECT("G$"&amp;C143)+INDIRECT("J$"&amp;C143)*($B143-INDIRECT("B$"&amp;D143))</f>
        <v>8229.6</v>
      </c>
      <c r="H143" s="13" t="e">
        <f t="shared" ca="1" si="64"/>
        <v>#N/A</v>
      </c>
      <c r="I143" s="13" t="e">
        <f t="shared" ca="1" si="65"/>
        <v>#N/A</v>
      </c>
      <c r="J143" s="13">
        <f t="shared" ca="1" si="66"/>
        <v>0</v>
      </c>
      <c r="K143" s="13" t="e">
        <f t="shared" ca="1" si="67"/>
        <v>#N/A</v>
      </c>
      <c r="L143" s="13" t="e">
        <f t="shared" ca="1" si="68"/>
        <v>#N/A</v>
      </c>
      <c r="M143" t="e">
        <f t="shared" ca="1" si="48"/>
        <v>#N/A</v>
      </c>
      <c r="N143" t="e">
        <f t="shared" ca="1" si="49"/>
        <v>#N/A</v>
      </c>
    </row>
    <row r="144" spans="1:14" x14ac:dyDescent="0.25">
      <c r="A144" s="12">
        <f t="shared" si="57"/>
        <v>0.42951388888888758</v>
      </c>
      <c r="B144" s="4">
        <f t="shared" si="69"/>
        <v>1553301110</v>
      </c>
      <c r="C144">
        <v>3</v>
      </c>
      <c r="D144">
        <v>90</v>
      </c>
      <c r="E144" t="e">
        <f t="shared" ca="1" si="70"/>
        <v>#N/A</v>
      </c>
      <c r="F144" t="e">
        <f t="shared" ca="1" si="71"/>
        <v>#N/A</v>
      </c>
      <c r="G144">
        <f t="shared" ca="1" si="72"/>
        <v>8229.6</v>
      </c>
      <c r="H144" s="13" t="e">
        <f t="shared" ca="1" si="64"/>
        <v>#N/A</v>
      </c>
      <c r="I144" s="13" t="e">
        <f t="shared" ca="1" si="65"/>
        <v>#N/A</v>
      </c>
      <c r="J144" s="13">
        <f t="shared" ca="1" si="66"/>
        <v>0</v>
      </c>
      <c r="K144" s="13" t="e">
        <f t="shared" ca="1" si="67"/>
        <v>#N/A</v>
      </c>
      <c r="L144" s="13" t="e">
        <f t="shared" ca="1" si="68"/>
        <v>#N/A</v>
      </c>
      <c r="M144" t="e">
        <f t="shared" ca="1" si="48"/>
        <v>#N/A</v>
      </c>
      <c r="N144" t="e">
        <f t="shared" ca="1" si="49"/>
        <v>#N/A</v>
      </c>
    </row>
    <row r="145" spans="1:14" x14ac:dyDescent="0.25">
      <c r="A145" s="12">
        <f t="shared" si="57"/>
        <v>0.42957175925925795</v>
      </c>
      <c r="B145" s="4">
        <f t="shared" si="69"/>
        <v>1553301115</v>
      </c>
      <c r="C145">
        <v>3</v>
      </c>
      <c r="D145">
        <v>90</v>
      </c>
      <c r="E145" t="e">
        <f t="shared" ca="1" si="70"/>
        <v>#N/A</v>
      </c>
      <c r="F145" t="e">
        <f t="shared" ca="1" si="71"/>
        <v>#N/A</v>
      </c>
      <c r="G145">
        <f t="shared" ca="1" si="72"/>
        <v>8229.6</v>
      </c>
      <c r="H145" s="13" t="e">
        <f t="shared" ca="1" si="64"/>
        <v>#N/A</v>
      </c>
      <c r="I145" s="13" t="e">
        <f t="shared" ca="1" si="65"/>
        <v>#N/A</v>
      </c>
      <c r="J145" s="13">
        <f t="shared" ca="1" si="66"/>
        <v>0</v>
      </c>
      <c r="K145" s="13" t="e">
        <f t="shared" ca="1" si="67"/>
        <v>#N/A</v>
      </c>
      <c r="L145" s="13" t="e">
        <f t="shared" ca="1" si="68"/>
        <v>#N/A</v>
      </c>
      <c r="M145" t="e">
        <f t="shared" ca="1" si="48"/>
        <v>#N/A</v>
      </c>
      <c r="N145" t="e">
        <f t="shared" ca="1" si="49"/>
        <v>#N/A</v>
      </c>
    </row>
    <row r="146" spans="1:14" x14ac:dyDescent="0.25">
      <c r="A146" s="12">
        <f t="shared" si="57"/>
        <v>0.42962962962962831</v>
      </c>
      <c r="B146" s="4">
        <f t="shared" si="69"/>
        <v>1553301120</v>
      </c>
      <c r="C146">
        <v>3</v>
      </c>
      <c r="D146">
        <v>90</v>
      </c>
      <c r="E146" t="e">
        <f t="shared" ca="1" si="70"/>
        <v>#N/A</v>
      </c>
      <c r="F146" t="e">
        <f t="shared" ca="1" si="71"/>
        <v>#N/A</v>
      </c>
      <c r="G146">
        <f t="shared" ca="1" si="72"/>
        <v>8229.6</v>
      </c>
      <c r="H146" s="13" t="e">
        <f t="shared" ca="1" si="64"/>
        <v>#N/A</v>
      </c>
      <c r="I146" s="13" t="e">
        <f t="shared" ca="1" si="65"/>
        <v>#N/A</v>
      </c>
      <c r="J146" s="13">
        <f t="shared" ca="1" si="66"/>
        <v>0</v>
      </c>
      <c r="K146" s="13" t="e">
        <f t="shared" ca="1" si="67"/>
        <v>#N/A</v>
      </c>
      <c r="L146" s="13" t="e">
        <f t="shared" ca="1" si="68"/>
        <v>#N/A</v>
      </c>
      <c r="M146" t="e">
        <f t="shared" ca="1" si="48"/>
        <v>#N/A</v>
      </c>
      <c r="N146" t="e">
        <f t="shared" ca="1" si="49"/>
        <v>#N/A</v>
      </c>
    </row>
    <row r="147" spans="1:14" x14ac:dyDescent="0.25">
      <c r="A147" s="12">
        <f t="shared" si="57"/>
        <v>0.42968749999999867</v>
      </c>
      <c r="B147" s="4">
        <f t="shared" si="69"/>
        <v>1553301125</v>
      </c>
      <c r="C147">
        <v>3</v>
      </c>
      <c r="D147">
        <v>90</v>
      </c>
      <c r="E147" t="e">
        <f t="shared" ca="1" si="70"/>
        <v>#N/A</v>
      </c>
      <c r="F147" t="e">
        <f t="shared" ca="1" si="71"/>
        <v>#N/A</v>
      </c>
      <c r="G147">
        <f t="shared" ca="1" si="72"/>
        <v>8229.6</v>
      </c>
      <c r="H147" s="13" t="e">
        <f t="shared" ca="1" si="64"/>
        <v>#N/A</v>
      </c>
      <c r="I147" s="13" t="e">
        <f t="shared" ca="1" si="65"/>
        <v>#N/A</v>
      </c>
      <c r="J147" s="13">
        <f t="shared" ca="1" si="66"/>
        <v>0</v>
      </c>
      <c r="K147" s="13" t="e">
        <f t="shared" ca="1" si="67"/>
        <v>#N/A</v>
      </c>
      <c r="L147" s="13" t="e">
        <f t="shared" ca="1" si="68"/>
        <v>#N/A</v>
      </c>
      <c r="M147" t="e">
        <f t="shared" ca="1" si="48"/>
        <v>#N/A</v>
      </c>
      <c r="N147" t="e">
        <f t="shared" ca="1" si="49"/>
        <v>#N/A</v>
      </c>
    </row>
    <row r="148" spans="1:14" x14ac:dyDescent="0.25">
      <c r="A148" s="12">
        <f t="shared" si="57"/>
        <v>0.42974537037036903</v>
      </c>
      <c r="B148" s="4">
        <f t="shared" si="69"/>
        <v>1553301130</v>
      </c>
      <c r="C148">
        <v>3</v>
      </c>
      <c r="D148">
        <v>90</v>
      </c>
      <c r="E148" t="e">
        <f t="shared" ca="1" si="70"/>
        <v>#N/A</v>
      </c>
      <c r="F148" t="e">
        <f t="shared" ca="1" si="71"/>
        <v>#N/A</v>
      </c>
      <c r="G148">
        <f t="shared" ca="1" si="72"/>
        <v>8229.6</v>
      </c>
      <c r="H148" s="13" t="e">
        <f t="shared" ca="1" si="64"/>
        <v>#N/A</v>
      </c>
      <c r="I148" s="13" t="e">
        <f t="shared" ca="1" si="65"/>
        <v>#N/A</v>
      </c>
      <c r="J148" s="13">
        <f t="shared" ca="1" si="66"/>
        <v>0</v>
      </c>
      <c r="K148" s="13" t="e">
        <f t="shared" ca="1" si="67"/>
        <v>#N/A</v>
      </c>
      <c r="L148" s="13" t="e">
        <f t="shared" ca="1" si="68"/>
        <v>#N/A</v>
      </c>
      <c r="M148" t="e">
        <f t="shared" ca="1" si="48"/>
        <v>#N/A</v>
      </c>
      <c r="N148" t="e">
        <f t="shared" ca="1" si="49"/>
        <v>#N/A</v>
      </c>
    </row>
    <row r="149" spans="1:14" x14ac:dyDescent="0.25">
      <c r="A149" s="12">
        <f t="shared" si="57"/>
        <v>0.42980324074073939</v>
      </c>
      <c r="B149" s="4">
        <f t="shared" si="69"/>
        <v>1553301135</v>
      </c>
      <c r="C149">
        <v>3</v>
      </c>
      <c r="D149">
        <v>90</v>
      </c>
      <c r="E149" t="e">
        <f t="shared" ca="1" si="70"/>
        <v>#N/A</v>
      </c>
      <c r="F149" t="e">
        <f t="shared" ca="1" si="71"/>
        <v>#N/A</v>
      </c>
      <c r="G149">
        <f t="shared" ca="1" si="72"/>
        <v>8229.6</v>
      </c>
      <c r="H149" s="13" t="e">
        <f t="shared" ca="1" si="64"/>
        <v>#N/A</v>
      </c>
      <c r="I149" s="13" t="e">
        <f t="shared" ca="1" si="65"/>
        <v>#N/A</v>
      </c>
      <c r="J149" s="13">
        <f t="shared" ca="1" si="66"/>
        <v>0</v>
      </c>
      <c r="K149" s="13" t="e">
        <f t="shared" ca="1" si="67"/>
        <v>#N/A</v>
      </c>
      <c r="L149" s="13" t="e">
        <f t="shared" ca="1" si="68"/>
        <v>#N/A</v>
      </c>
      <c r="M149" t="e">
        <f t="shared" ca="1" si="48"/>
        <v>#N/A</v>
      </c>
      <c r="N149" t="e">
        <f t="shared" ca="1" si="49"/>
        <v>#N/A</v>
      </c>
    </row>
    <row r="150" spans="1:14" x14ac:dyDescent="0.25">
      <c r="A150" s="12">
        <f t="shared" si="57"/>
        <v>0.42986111111110975</v>
      </c>
      <c r="B150" s="4">
        <f t="shared" si="69"/>
        <v>1553301140</v>
      </c>
      <c r="C150">
        <v>3</v>
      </c>
      <c r="D150">
        <v>90</v>
      </c>
      <c r="E150" t="e">
        <f t="shared" ca="1" si="70"/>
        <v>#N/A</v>
      </c>
      <c r="F150" t="e">
        <f t="shared" ca="1" si="71"/>
        <v>#N/A</v>
      </c>
      <c r="G150">
        <f t="shared" ca="1" si="72"/>
        <v>8229.6</v>
      </c>
      <c r="H150" s="13" t="e">
        <f t="shared" ca="1" si="64"/>
        <v>#N/A</v>
      </c>
      <c r="I150" s="13" t="e">
        <f t="shared" ca="1" si="65"/>
        <v>#N/A</v>
      </c>
      <c r="J150" s="13">
        <f t="shared" ca="1" si="66"/>
        <v>0</v>
      </c>
      <c r="K150" s="13" t="e">
        <f t="shared" ca="1" si="67"/>
        <v>#N/A</v>
      </c>
      <c r="L150" s="13" t="e">
        <f t="shared" ca="1" si="68"/>
        <v>#N/A</v>
      </c>
      <c r="M150" t="e">
        <f t="shared" ca="1" si="48"/>
        <v>#N/A</v>
      </c>
      <c r="N150" t="e">
        <f t="shared" ca="1" si="49"/>
        <v>#N/A</v>
      </c>
    </row>
    <row r="151" spans="1:14" x14ac:dyDescent="0.25">
      <c r="A151" s="12">
        <f t="shared" si="57"/>
        <v>0.42991898148148011</v>
      </c>
      <c r="B151" s="4">
        <f t="shared" si="69"/>
        <v>1553301145</v>
      </c>
      <c r="C151">
        <v>3</v>
      </c>
      <c r="D151">
        <v>90</v>
      </c>
      <c r="E151" t="e">
        <f t="shared" ca="1" si="70"/>
        <v>#N/A</v>
      </c>
      <c r="F151" t="e">
        <f t="shared" ca="1" si="71"/>
        <v>#N/A</v>
      </c>
      <c r="G151">
        <f t="shared" ca="1" si="72"/>
        <v>8229.6</v>
      </c>
      <c r="H151" s="13" t="e">
        <f t="shared" ca="1" si="64"/>
        <v>#N/A</v>
      </c>
      <c r="I151" s="13" t="e">
        <f t="shared" ca="1" si="65"/>
        <v>#N/A</v>
      </c>
      <c r="J151" s="13">
        <f t="shared" ca="1" si="66"/>
        <v>0</v>
      </c>
      <c r="K151" s="13" t="e">
        <f t="shared" ca="1" si="67"/>
        <v>#N/A</v>
      </c>
      <c r="L151" s="13" t="e">
        <f t="shared" ca="1" si="68"/>
        <v>#N/A</v>
      </c>
      <c r="M151" t="e">
        <f t="shared" ca="1" si="48"/>
        <v>#N/A</v>
      </c>
      <c r="N151" t="e">
        <f t="shared" ca="1" si="49"/>
        <v>#N/A</v>
      </c>
    </row>
    <row r="152" spans="1:14" x14ac:dyDescent="0.25">
      <c r="A152" s="12">
        <f t="shared" si="57"/>
        <v>0.42997685185185047</v>
      </c>
      <c r="B152" s="4">
        <f t="shared" si="69"/>
        <v>1553301150</v>
      </c>
      <c r="C152">
        <v>3</v>
      </c>
      <c r="D152">
        <v>90</v>
      </c>
      <c r="E152" t="e">
        <f t="shared" ca="1" si="70"/>
        <v>#N/A</v>
      </c>
      <c r="F152" t="e">
        <f t="shared" ca="1" si="71"/>
        <v>#N/A</v>
      </c>
      <c r="G152">
        <f t="shared" ca="1" si="72"/>
        <v>8229.6</v>
      </c>
      <c r="H152" s="13" t="e">
        <f t="shared" ca="1" si="64"/>
        <v>#N/A</v>
      </c>
      <c r="I152" s="13" t="e">
        <f t="shared" ca="1" si="65"/>
        <v>#N/A</v>
      </c>
      <c r="J152" s="13">
        <f t="shared" ca="1" si="66"/>
        <v>0</v>
      </c>
      <c r="K152" s="13" t="e">
        <f t="shared" ca="1" si="67"/>
        <v>#N/A</v>
      </c>
      <c r="L152" s="13" t="e">
        <f t="shared" ca="1" si="68"/>
        <v>#N/A</v>
      </c>
      <c r="M152" t="e">
        <f t="shared" ca="1" si="48"/>
        <v>#N/A</v>
      </c>
      <c r="N152" t="e">
        <f t="shared" ca="1" si="49"/>
        <v>#N/A</v>
      </c>
    </row>
    <row r="153" spans="1:14" x14ac:dyDescent="0.25">
      <c r="A153" s="12">
        <f t="shared" si="57"/>
        <v>0.43003472222222083</v>
      </c>
      <c r="B153" s="4">
        <f t="shared" si="69"/>
        <v>1553301155</v>
      </c>
      <c r="C153">
        <v>3</v>
      </c>
      <c r="D153">
        <v>90</v>
      </c>
      <c r="E153" t="e">
        <f t="shared" ca="1" si="70"/>
        <v>#N/A</v>
      </c>
      <c r="F153" t="e">
        <f t="shared" ca="1" si="71"/>
        <v>#N/A</v>
      </c>
      <c r="G153">
        <f t="shared" ca="1" si="72"/>
        <v>8229.6</v>
      </c>
      <c r="H153" s="13" t="e">
        <f t="shared" ca="1" si="64"/>
        <v>#N/A</v>
      </c>
      <c r="I153" s="13" t="e">
        <f t="shared" ca="1" si="65"/>
        <v>#N/A</v>
      </c>
      <c r="J153" s="13">
        <f t="shared" ca="1" si="66"/>
        <v>0</v>
      </c>
      <c r="K153" s="13" t="e">
        <f t="shared" ca="1" si="67"/>
        <v>#N/A</v>
      </c>
      <c r="L153" s="13" t="e">
        <f t="shared" ca="1" si="68"/>
        <v>#N/A</v>
      </c>
      <c r="M153" t="e">
        <f t="shared" ca="1" si="48"/>
        <v>#N/A</v>
      </c>
      <c r="N153" t="e">
        <f t="shared" ca="1" si="49"/>
        <v>#N/A</v>
      </c>
    </row>
    <row r="154" spans="1:14" x14ac:dyDescent="0.25">
      <c r="A154" s="12">
        <f t="shared" si="57"/>
        <v>0.43009259259259119</v>
      </c>
      <c r="B154" s="4">
        <f t="shared" si="69"/>
        <v>1553301160</v>
      </c>
      <c r="C154">
        <v>3</v>
      </c>
      <c r="D154">
        <v>90</v>
      </c>
      <c r="E154" t="e">
        <f t="shared" ca="1" si="70"/>
        <v>#N/A</v>
      </c>
      <c r="F154" t="e">
        <f t="shared" ca="1" si="71"/>
        <v>#N/A</v>
      </c>
      <c r="G154">
        <f t="shared" ca="1" si="72"/>
        <v>8229.6</v>
      </c>
      <c r="H154" s="13" t="e">
        <f t="shared" ca="1" si="64"/>
        <v>#N/A</v>
      </c>
      <c r="I154" s="13" t="e">
        <f t="shared" ca="1" si="65"/>
        <v>#N/A</v>
      </c>
      <c r="J154" s="13">
        <f t="shared" ca="1" si="66"/>
        <v>0</v>
      </c>
      <c r="K154" s="13" t="e">
        <f t="shared" ca="1" si="67"/>
        <v>#N/A</v>
      </c>
      <c r="L154" s="13" t="e">
        <f t="shared" ca="1" si="68"/>
        <v>#N/A</v>
      </c>
      <c r="M154" t="e">
        <f t="shared" ca="1" si="48"/>
        <v>#N/A</v>
      </c>
      <c r="N154" t="e">
        <f t="shared" ca="1" si="49"/>
        <v>#N/A</v>
      </c>
    </row>
    <row r="155" spans="1:14" x14ac:dyDescent="0.25">
      <c r="A155" s="12">
        <f t="shared" si="57"/>
        <v>0.43015046296296156</v>
      </c>
      <c r="B155" s="4">
        <f t="shared" si="69"/>
        <v>1553301165</v>
      </c>
      <c r="C155">
        <v>3</v>
      </c>
      <c r="D155">
        <v>90</v>
      </c>
      <c r="E155" t="e">
        <f t="shared" ca="1" si="70"/>
        <v>#N/A</v>
      </c>
      <c r="F155" t="e">
        <f t="shared" ca="1" si="71"/>
        <v>#N/A</v>
      </c>
      <c r="G155">
        <f t="shared" ca="1" si="72"/>
        <v>8229.6</v>
      </c>
      <c r="H155" s="13" t="e">
        <f t="shared" ca="1" si="64"/>
        <v>#N/A</v>
      </c>
      <c r="I155" s="13" t="e">
        <f t="shared" ca="1" si="65"/>
        <v>#N/A</v>
      </c>
      <c r="J155" s="13">
        <f t="shared" ca="1" si="66"/>
        <v>0</v>
      </c>
      <c r="K155" s="13" t="e">
        <f t="shared" ca="1" si="67"/>
        <v>#N/A</v>
      </c>
      <c r="L155" s="13" t="e">
        <f t="shared" ca="1" si="68"/>
        <v>#N/A</v>
      </c>
      <c r="M155" t="e">
        <f t="shared" ca="1" si="48"/>
        <v>#N/A</v>
      </c>
      <c r="N155" t="e">
        <f t="shared" ca="1" si="49"/>
        <v>#N/A</v>
      </c>
    </row>
    <row r="156" spans="1:14" x14ac:dyDescent="0.25">
      <c r="A156" s="12">
        <f t="shared" si="57"/>
        <v>0.43020833333333192</v>
      </c>
      <c r="B156" s="4">
        <f t="shared" si="69"/>
        <v>1553301170</v>
      </c>
      <c r="C156">
        <v>3</v>
      </c>
      <c r="D156">
        <v>90</v>
      </c>
      <c r="E156" t="e">
        <f t="shared" ca="1" si="70"/>
        <v>#N/A</v>
      </c>
      <c r="F156" t="e">
        <f t="shared" ca="1" si="71"/>
        <v>#N/A</v>
      </c>
      <c r="G156">
        <f t="shared" ca="1" si="72"/>
        <v>8229.6</v>
      </c>
      <c r="H156" s="13" t="e">
        <f t="shared" ca="1" si="64"/>
        <v>#N/A</v>
      </c>
      <c r="I156" s="13" t="e">
        <f t="shared" ca="1" si="65"/>
        <v>#N/A</v>
      </c>
      <c r="J156" s="13">
        <f t="shared" ca="1" si="66"/>
        <v>0</v>
      </c>
      <c r="K156" s="13" t="e">
        <f t="shared" ca="1" si="67"/>
        <v>#N/A</v>
      </c>
      <c r="L156" s="13" t="e">
        <f t="shared" ca="1" si="68"/>
        <v>#N/A</v>
      </c>
      <c r="M156" t="e">
        <f t="shared" ca="1" si="48"/>
        <v>#N/A</v>
      </c>
      <c r="N156" t="e">
        <f t="shared" ca="1" si="49"/>
        <v>#N/A</v>
      </c>
    </row>
    <row r="157" spans="1:14" x14ac:dyDescent="0.25">
      <c r="A157" s="12">
        <f t="shared" si="57"/>
        <v>0.43026620370370228</v>
      </c>
      <c r="B157" s="4">
        <f t="shared" si="69"/>
        <v>1553301175</v>
      </c>
      <c r="C157">
        <v>3</v>
      </c>
      <c r="D157">
        <v>90</v>
      </c>
      <c r="E157" t="e">
        <f t="shared" ca="1" si="70"/>
        <v>#N/A</v>
      </c>
      <c r="F157" t="e">
        <f t="shared" ca="1" si="71"/>
        <v>#N/A</v>
      </c>
      <c r="G157">
        <f t="shared" ca="1" si="72"/>
        <v>8229.6</v>
      </c>
      <c r="H157" s="13" t="e">
        <f t="shared" ca="1" si="64"/>
        <v>#N/A</v>
      </c>
      <c r="I157" s="13" t="e">
        <f t="shared" ca="1" si="65"/>
        <v>#N/A</v>
      </c>
      <c r="J157" s="13">
        <f t="shared" ca="1" si="66"/>
        <v>0</v>
      </c>
      <c r="K157" s="13" t="e">
        <f t="shared" ca="1" si="67"/>
        <v>#N/A</v>
      </c>
      <c r="L157" s="13" t="e">
        <f t="shared" ca="1" si="68"/>
        <v>#N/A</v>
      </c>
      <c r="M157" t="e">
        <f t="shared" ref="M157:M162" ca="1" si="73">INDIRECT("M$"&amp;C157)+INDIRECT("O$"&amp;C157)*($B157-INDIRECT("B$"&amp;D157))</f>
        <v>#N/A</v>
      </c>
      <c r="N157" t="e">
        <f t="shared" ref="N157:N162" ca="1" si="74">INDIRECT("N$"&amp;C157)+INDIRECT("P$"&amp;C157)*($B157-INDIRECT("B$"&amp;D157))</f>
        <v>#N/A</v>
      </c>
    </row>
    <row r="158" spans="1:14" x14ac:dyDescent="0.25">
      <c r="A158" s="12">
        <f t="shared" si="57"/>
        <v>0.43032407407407264</v>
      </c>
      <c r="B158" s="4">
        <f t="shared" ref="B158:B162" si="75">B157+SECOND(A158-A157)</f>
        <v>1553301180</v>
      </c>
      <c r="C158">
        <v>3</v>
      </c>
      <c r="D158">
        <v>90</v>
      </c>
      <c r="E158" t="e">
        <f t="shared" ca="1" si="70"/>
        <v>#N/A</v>
      </c>
      <c r="F158" t="e">
        <f t="shared" ca="1" si="71"/>
        <v>#N/A</v>
      </c>
      <c r="G158">
        <f t="shared" ca="1" si="72"/>
        <v>8229.6</v>
      </c>
      <c r="H158" s="13" t="e">
        <f t="shared" ca="1" si="64"/>
        <v>#N/A</v>
      </c>
      <c r="I158" s="13" t="e">
        <f t="shared" ca="1" si="65"/>
        <v>#N/A</v>
      </c>
      <c r="J158" s="13">
        <f t="shared" ca="1" si="66"/>
        <v>0</v>
      </c>
      <c r="K158" s="13" t="e">
        <f t="shared" ca="1" si="67"/>
        <v>#N/A</v>
      </c>
      <c r="L158" s="13" t="e">
        <f t="shared" ca="1" si="68"/>
        <v>#N/A</v>
      </c>
      <c r="M158" t="e">
        <f t="shared" ca="1" si="73"/>
        <v>#N/A</v>
      </c>
      <c r="N158" t="e">
        <f t="shared" ca="1" si="74"/>
        <v>#N/A</v>
      </c>
    </row>
    <row r="159" spans="1:14" x14ac:dyDescent="0.25">
      <c r="A159" s="12">
        <f t="shared" si="57"/>
        <v>0.430381944444443</v>
      </c>
      <c r="B159" s="4">
        <f t="shared" si="75"/>
        <v>1553301185</v>
      </c>
      <c r="C159">
        <v>3</v>
      </c>
      <c r="D159">
        <v>90</v>
      </c>
      <c r="E159" t="e">
        <f t="shared" ca="1" si="70"/>
        <v>#N/A</v>
      </c>
      <c r="F159" t="e">
        <f t="shared" ca="1" si="71"/>
        <v>#N/A</v>
      </c>
      <c r="G159">
        <f t="shared" ca="1" si="72"/>
        <v>8229.6</v>
      </c>
      <c r="H159" s="13" t="e">
        <f t="shared" ca="1" si="64"/>
        <v>#N/A</v>
      </c>
      <c r="I159" s="13" t="e">
        <f t="shared" ca="1" si="65"/>
        <v>#N/A</v>
      </c>
      <c r="J159" s="13">
        <f t="shared" ca="1" si="66"/>
        <v>0</v>
      </c>
      <c r="K159" s="13" t="e">
        <f t="shared" ca="1" si="67"/>
        <v>#N/A</v>
      </c>
      <c r="L159" s="13" t="e">
        <f t="shared" ca="1" si="68"/>
        <v>#N/A</v>
      </c>
      <c r="M159" t="e">
        <f t="shared" ca="1" si="73"/>
        <v>#N/A</v>
      </c>
      <c r="N159" t="e">
        <f t="shared" ca="1" si="74"/>
        <v>#N/A</v>
      </c>
    </row>
    <row r="160" spans="1:14" x14ac:dyDescent="0.25">
      <c r="A160" s="12">
        <f t="shared" si="57"/>
        <v>0.43043981481481336</v>
      </c>
      <c r="B160" s="4">
        <f t="shared" si="75"/>
        <v>1553301190</v>
      </c>
      <c r="C160">
        <v>3</v>
      </c>
      <c r="D160">
        <v>90</v>
      </c>
      <c r="E160" t="e">
        <f t="shared" ca="1" si="70"/>
        <v>#N/A</v>
      </c>
      <c r="F160" t="e">
        <f t="shared" ca="1" si="71"/>
        <v>#N/A</v>
      </c>
      <c r="G160">
        <f t="shared" ca="1" si="72"/>
        <v>8229.6</v>
      </c>
      <c r="H160" s="13" t="e">
        <f t="shared" ca="1" si="64"/>
        <v>#N/A</v>
      </c>
      <c r="I160" s="13" t="e">
        <f t="shared" ca="1" si="65"/>
        <v>#N/A</v>
      </c>
      <c r="J160" s="13">
        <f t="shared" ca="1" si="66"/>
        <v>0</v>
      </c>
      <c r="K160" s="13" t="e">
        <f t="shared" ca="1" si="67"/>
        <v>#N/A</v>
      </c>
      <c r="L160" s="13" t="e">
        <f t="shared" ca="1" si="68"/>
        <v>#N/A</v>
      </c>
      <c r="M160" t="e">
        <f t="shared" ca="1" si="73"/>
        <v>#N/A</v>
      </c>
      <c r="N160" t="e">
        <f t="shared" ca="1" si="74"/>
        <v>#N/A</v>
      </c>
    </row>
    <row r="161" spans="1:14" x14ac:dyDescent="0.25">
      <c r="A161" s="12">
        <f t="shared" si="57"/>
        <v>0.43049768518518372</v>
      </c>
      <c r="B161" s="4">
        <f t="shared" si="75"/>
        <v>1553301195</v>
      </c>
      <c r="C161">
        <v>3</v>
      </c>
      <c r="D161">
        <v>90</v>
      </c>
      <c r="E161" t="e">
        <f t="shared" ca="1" si="70"/>
        <v>#N/A</v>
      </c>
      <c r="F161" t="e">
        <f t="shared" ca="1" si="71"/>
        <v>#N/A</v>
      </c>
      <c r="G161">
        <f t="shared" ca="1" si="72"/>
        <v>8229.6</v>
      </c>
      <c r="H161" s="13" t="e">
        <f t="shared" ca="1" si="64"/>
        <v>#N/A</v>
      </c>
      <c r="I161" s="13" t="e">
        <f t="shared" ca="1" si="65"/>
        <v>#N/A</v>
      </c>
      <c r="J161" s="13">
        <f t="shared" ca="1" si="66"/>
        <v>0</v>
      </c>
      <c r="K161" s="13" t="e">
        <f t="shared" ca="1" si="67"/>
        <v>#N/A</v>
      </c>
      <c r="L161" s="13" t="e">
        <f t="shared" ca="1" si="68"/>
        <v>#N/A</v>
      </c>
      <c r="M161" t="e">
        <f t="shared" ca="1" si="73"/>
        <v>#N/A</v>
      </c>
      <c r="N161" t="e">
        <f t="shared" ca="1" si="74"/>
        <v>#N/A</v>
      </c>
    </row>
    <row r="162" spans="1:14" x14ac:dyDescent="0.25">
      <c r="A162" s="9">
        <f t="shared" si="57"/>
        <v>0.43055555555555408</v>
      </c>
      <c r="B162" s="4">
        <f t="shared" si="75"/>
        <v>1553301200</v>
      </c>
      <c r="C162">
        <v>4</v>
      </c>
      <c r="D162">
        <v>162</v>
      </c>
      <c r="E162" t="e">
        <f ca="1">INDIRECT("E$"&amp;C162)+INDIRECT("H$"&amp;C162)*($B162-INDIRECT("B$"&amp;D162))</f>
        <v>#N/A</v>
      </c>
      <c r="F162" t="e">
        <f ca="1">INDIRECT("F$"&amp;C162)+INDIRECT("I$"&amp;C162)*($B162-INDIRECT("B$"&amp;D162))</f>
        <v>#N/A</v>
      </c>
      <c r="G162">
        <f ca="1">INDIRECT("G$"&amp;C162)+INDIRECT("J$"&amp;C162)*($B162-INDIRECT("B$"&amp;D162))</f>
        <v>8229.6</v>
      </c>
      <c r="H162" s="13" t="e">
        <f t="shared" ref="H162" ca="1" si="76">H161</f>
        <v>#N/A</v>
      </c>
      <c r="I162" s="13" t="e">
        <f t="shared" ref="I162" ca="1" si="77">I161</f>
        <v>#N/A</v>
      </c>
      <c r="J162" s="13">
        <f t="shared" ref="J162" ca="1" si="78">J161</f>
        <v>0</v>
      </c>
      <c r="K162" s="13" t="e">
        <f t="shared" ref="K162" ca="1" si="79">K161</f>
        <v>#N/A</v>
      </c>
      <c r="L162" s="13" t="e">
        <f t="shared" ref="L162" ca="1" si="80">DEGREES(ATAN2(I162,H162))</f>
        <v>#N/A</v>
      </c>
      <c r="M162" t="e">
        <f t="shared" ca="1" si="73"/>
        <v>#N/A</v>
      </c>
      <c r="N162" t="e">
        <f t="shared" ca="1" si="74"/>
        <v>#N/A</v>
      </c>
    </row>
    <row r="163" spans="1:14" x14ac:dyDescent="0.25">
      <c r="A163" t="s">
        <v>48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T153"/>
  <sheetViews>
    <sheetView topLeftCell="A72" workbookViewId="0">
      <selection activeCell="P85" sqref="P85"/>
    </sheetView>
  </sheetViews>
  <sheetFormatPr defaultRowHeight="15" x14ac:dyDescent="0.25"/>
  <cols>
    <col min="2" max="2" width="13.85546875" bestFit="1" customWidth="1"/>
    <col min="3" max="3" width="4" bestFit="1" customWidth="1"/>
  </cols>
  <sheetData>
    <row r="1" spans="1:20" x14ac:dyDescent="0.25">
      <c r="A1" t="s">
        <v>33</v>
      </c>
      <c r="B1">
        <v>424203</v>
      </c>
      <c r="C1" t="s">
        <v>29</v>
      </c>
      <c r="E1" t="s">
        <v>21</v>
      </c>
      <c r="F1" t="s">
        <v>22</v>
      </c>
      <c r="G1" t="s">
        <v>30</v>
      </c>
      <c r="H1" t="s">
        <v>44</v>
      </c>
      <c r="I1" t="s">
        <v>45</v>
      </c>
      <c r="J1" t="s">
        <v>47</v>
      </c>
      <c r="K1" t="s">
        <v>43</v>
      </c>
      <c r="L1" t="s">
        <v>46</v>
      </c>
      <c r="M1" t="s">
        <v>50</v>
      </c>
      <c r="N1" t="s">
        <v>51</v>
      </c>
      <c r="O1" t="s">
        <v>81</v>
      </c>
      <c r="P1" t="s">
        <v>82</v>
      </c>
    </row>
    <row r="2" spans="1:20" x14ac:dyDescent="0.25">
      <c r="A2" s="1">
        <v>0.42152777777777778</v>
      </c>
      <c r="B2" s="1" t="s">
        <v>39</v>
      </c>
      <c r="C2">
        <v>0</v>
      </c>
      <c r="E2" s="11" t="e">
        <f>VLOOKUP($B2,Beacons!$A$7:$J$50,9,FALSE)</f>
        <v>#N/A</v>
      </c>
      <c r="F2" s="11" t="e">
        <f>VLOOKUP($B2,Beacons!$A$7:$J$50,10,FALSE)</f>
        <v>#N/A</v>
      </c>
      <c r="G2" s="11">
        <f>C2*Beacons!$R$2</f>
        <v>0</v>
      </c>
      <c r="H2" s="13" t="e">
        <f t="shared" ref="H2:J5" si="0">(E3-E2)/(MINUTE($A3-$A2)*60+SECOND($A3-$A2))</f>
        <v>#N/A</v>
      </c>
      <c r="I2" s="13" t="e">
        <f t="shared" si="0"/>
        <v>#N/A</v>
      </c>
      <c r="J2" s="13">
        <f t="shared" si="0"/>
        <v>10.16</v>
      </c>
      <c r="K2" s="13" t="e">
        <f>SQRT(H2*H2+I2*I2)</f>
        <v>#N/A</v>
      </c>
      <c r="L2" s="13" t="e">
        <f>DEGREES(ATAN2(I2,H2))</f>
        <v>#N/A</v>
      </c>
      <c r="M2" s="11" t="e">
        <f>VLOOKUP($B2,Beacons!$A$7:$J$50,7,FALSE)</f>
        <v>#N/A</v>
      </c>
      <c r="N2" s="11" t="e">
        <f>VLOOKUP($B2,Beacons!$A$7:$J$50,6,FALSE)</f>
        <v>#N/A</v>
      </c>
      <c r="O2" s="14" t="e">
        <f>(M3-M2)/(MINUTE($A3-$A2)*60+SECOND($A3-$A2))</f>
        <v>#N/A</v>
      </c>
      <c r="P2" s="14" t="e">
        <f>(N3-N2)/(MINUTE($A3-$A2)*60+SECOND($A3-$A2))</f>
        <v>#N/A</v>
      </c>
    </row>
    <row r="3" spans="1:20" x14ac:dyDescent="0.25">
      <c r="A3" s="1">
        <v>0.42291666666666666</v>
      </c>
      <c r="B3" t="s">
        <v>83</v>
      </c>
      <c r="C3">
        <v>40</v>
      </c>
      <c r="E3" t="e">
        <f>VLOOKUP($B3,Beacons!$A$7:$J$50,9,FALSE)</f>
        <v>#N/A</v>
      </c>
      <c r="F3" t="e">
        <f>VLOOKUP($B3,Beacons!$A$7:$J$50,10,FALSE)</f>
        <v>#N/A</v>
      </c>
      <c r="G3" s="11">
        <f>C3*Beacons!$R$2</f>
        <v>1219.2</v>
      </c>
      <c r="H3" s="13" t="e">
        <f t="shared" si="0"/>
        <v>#N/A</v>
      </c>
      <c r="I3" s="13" t="e">
        <f t="shared" si="0"/>
        <v>#N/A</v>
      </c>
      <c r="J3" s="13">
        <f t="shared" si="0"/>
        <v>33.020000000000003</v>
      </c>
      <c r="K3" s="13" t="e">
        <f>SQRT(H3*H3+I3*I3)</f>
        <v>#N/A</v>
      </c>
      <c r="L3" s="13" t="e">
        <f>DEGREES(ATAN2(I3,H3))</f>
        <v>#N/A</v>
      </c>
      <c r="M3" s="11" t="e">
        <f>VLOOKUP($B3,Beacons!$A$7:$J$50,7,FALSE)</f>
        <v>#N/A</v>
      </c>
      <c r="N3" s="11" t="e">
        <f>VLOOKUP($B3,Beacons!$A$7:$J$50,6,FALSE)</f>
        <v>#N/A</v>
      </c>
      <c r="O3" s="14" t="e">
        <f t="shared" ref="O3:O5" si="1">(M4-M3)/(MINUTE($A4-$A3)*60+SECOND($A4-$A3))</f>
        <v>#N/A</v>
      </c>
      <c r="P3" s="14" t="e">
        <f t="shared" ref="P3:P5" si="2">(N4-N3)/(MINUTE($A4-$A3)*60+SECOND($A4-$A3))</f>
        <v>#N/A</v>
      </c>
    </row>
    <row r="4" spans="1:20" x14ac:dyDescent="0.25">
      <c r="A4" s="1">
        <v>0.42430555555555555</v>
      </c>
      <c r="B4" s="1" t="s">
        <v>3</v>
      </c>
      <c r="C4">
        <v>170</v>
      </c>
      <c r="E4" t="e">
        <f>VLOOKUP($B4,Beacons!$A$7:$J$47,9,FALSE)</f>
        <v>#N/A</v>
      </c>
      <c r="F4" t="e">
        <f>VLOOKUP($B4,Beacons!$A$7:$J$47,10,FALSE)</f>
        <v>#N/A</v>
      </c>
      <c r="G4">
        <f>C4*Beacons!$R$2</f>
        <v>5181.6000000000004</v>
      </c>
      <c r="H4" s="13" t="e">
        <f t="shared" si="0"/>
        <v>#N/A</v>
      </c>
      <c r="I4" s="13" t="e">
        <f t="shared" si="0"/>
        <v>#N/A</v>
      </c>
      <c r="J4" s="13">
        <f t="shared" si="0"/>
        <v>11.85333333333333</v>
      </c>
      <c r="K4" s="13" t="e">
        <f>SQRT(H4*H4+I4*I4)</f>
        <v>#N/A</v>
      </c>
      <c r="L4" s="13" t="e">
        <f>DEGREES(ATAN2(I4,H4))</f>
        <v>#N/A</v>
      </c>
      <c r="M4" s="11" t="e">
        <f>VLOOKUP($B4,Beacons!$A$7:$J$50,7,FALSE)</f>
        <v>#N/A</v>
      </c>
      <c r="N4" s="11" t="e">
        <f>VLOOKUP($B4,Beacons!$A$7:$J$50,6,FALSE)</f>
        <v>#N/A</v>
      </c>
      <c r="O4" s="14" t="e">
        <f t="shared" si="1"/>
        <v>#N/A</v>
      </c>
      <c r="P4" s="14" t="e">
        <f t="shared" si="2"/>
        <v>#N/A</v>
      </c>
    </row>
    <row r="5" spans="1:20" x14ac:dyDescent="0.25">
      <c r="A5" s="6">
        <v>0.42638888888888887</v>
      </c>
      <c r="B5" s="6" t="s">
        <v>84</v>
      </c>
      <c r="C5" s="5">
        <v>240</v>
      </c>
      <c r="D5" s="5"/>
      <c r="E5" s="5" t="e">
        <f>VLOOKUP($B5,Beacons!$A$7:$J$54,9,FALSE)</f>
        <v>#N/A</v>
      </c>
      <c r="F5" s="5" t="e">
        <f>VLOOKUP($B5,Beacons!$A$7:$J$54,10,FALSE)</f>
        <v>#N/A</v>
      </c>
      <c r="G5" s="5">
        <f>C5*Beacons!$R$2</f>
        <v>7315.2</v>
      </c>
      <c r="H5" s="13" t="e">
        <f t="shared" si="0"/>
        <v>#N/A</v>
      </c>
      <c r="I5" s="13" t="e">
        <f t="shared" si="0"/>
        <v>#N/A</v>
      </c>
      <c r="J5" s="13">
        <f t="shared" si="0"/>
        <v>0</v>
      </c>
      <c r="K5" s="13" t="e">
        <f>SQRT(H5*H5+I5*I5)</f>
        <v>#N/A</v>
      </c>
      <c r="L5" s="13" t="e">
        <f>DEGREES(ATAN2(I5,H5))</f>
        <v>#N/A</v>
      </c>
      <c r="M5" t="e">
        <f>VLOOKUP($B5,Beacons!$A$7:$J$54,7,FALSE)</f>
        <v>#N/A</v>
      </c>
      <c r="N5" t="e">
        <f>VLOOKUP($B5,Beacons!$A$7:$J$54,6,FALSE)</f>
        <v>#N/A</v>
      </c>
      <c r="O5" s="14" t="e">
        <f t="shared" si="1"/>
        <v>#N/A</v>
      </c>
      <c r="P5" s="14" t="e">
        <f t="shared" si="2"/>
        <v>#N/A</v>
      </c>
      <c r="Q5" s="7" t="s">
        <v>34</v>
      </c>
      <c r="R5" s="5">
        <v>-35000</v>
      </c>
      <c r="S5" s="5">
        <v>-44000</v>
      </c>
      <c r="T5" s="5" t="e">
        <f>P5*Beacons!$R$2</f>
        <v>#N/A</v>
      </c>
    </row>
    <row r="6" spans="1:20" x14ac:dyDescent="0.25">
      <c r="A6" s="1">
        <v>0.42986111111111108</v>
      </c>
      <c r="B6" s="1" t="s">
        <v>0</v>
      </c>
      <c r="C6">
        <v>240</v>
      </c>
      <c r="E6" t="e">
        <f>VLOOKUP($B6,Beacons!$A$7:$J$47,9,FALSE)</f>
        <v>#N/A</v>
      </c>
      <c r="F6" t="e">
        <f>VLOOKUP($B6,Beacons!$A$7:$J$47,10,FALSE)</f>
        <v>#N/A</v>
      </c>
      <c r="G6">
        <f>C6*Beacons!$R$2</f>
        <v>7315.2</v>
      </c>
      <c r="M6" t="e">
        <f>VLOOKUP($B6,Beacons!$A$7:$J$54,7,FALSE)</f>
        <v>#N/A</v>
      </c>
      <c r="N6" t="e">
        <f>VLOOKUP($B6,Beacons!$A$7:$J$54,6,FALSE)</f>
        <v>#N/A</v>
      </c>
    </row>
    <row r="8" spans="1:20" x14ac:dyDescent="0.25">
      <c r="A8" t="s">
        <v>49</v>
      </c>
      <c r="B8" s="8"/>
      <c r="E8" t="s">
        <v>21</v>
      </c>
      <c r="F8" t="s">
        <v>22</v>
      </c>
      <c r="G8" t="s">
        <v>30</v>
      </c>
      <c r="M8" t="s">
        <v>50</v>
      </c>
      <c r="N8" t="s">
        <v>51</v>
      </c>
    </row>
    <row r="9" spans="1:20" x14ac:dyDescent="0.25">
      <c r="A9" s="8">
        <f>A2</f>
        <v>0.42152777777777778</v>
      </c>
      <c r="B9" s="4">
        <f>Params!D30+MINUTE(A9-Params!C30)*60+SECOND(A9-Params!C30)</f>
        <v>420</v>
      </c>
      <c r="C9">
        <v>2</v>
      </c>
      <c r="D9">
        <v>9</v>
      </c>
      <c r="E9" t="e">
        <f ca="1">INDIRECT("E$"&amp;C9)+INDIRECT("H$"&amp;C9)*($B9-INDIRECT("B$"&amp;D9))</f>
        <v>#N/A</v>
      </c>
      <c r="F9" t="e">
        <f ca="1">INDIRECT("F$"&amp;C9)+INDIRECT("I$"&amp;C9)*($B9-INDIRECT("B$"&amp;D9))</f>
        <v>#N/A</v>
      </c>
      <c r="G9">
        <f ca="1">INDIRECT("G$"&amp;C9)+INDIRECT("J$"&amp;C9)*($B9-INDIRECT("B$"&amp;D9))</f>
        <v>0</v>
      </c>
      <c r="H9" s="13" t="e">
        <f ca="1">(E10-E9)/($B10-$B9)</f>
        <v>#N/A</v>
      </c>
      <c r="I9" s="13" t="e">
        <f ca="1">(F10-F9)/($B10-$B9)</f>
        <v>#N/A</v>
      </c>
      <c r="J9" s="13">
        <f ca="1">(G10-G9)/($B10-$B9)</f>
        <v>10.16</v>
      </c>
      <c r="K9" s="13" t="e">
        <f ca="1">SQRT(H9*H9+I9*I9)</f>
        <v>#N/A</v>
      </c>
      <c r="L9" s="13" t="e">
        <f ca="1">DEGREES(ATAN2(I9,H9))</f>
        <v>#N/A</v>
      </c>
      <c r="M9" t="e">
        <f ca="1">INDIRECT("M$"&amp;C9)+INDIRECT("O$"&amp;C9)*($B9-INDIRECT("B$"&amp;D9))</f>
        <v>#N/A</v>
      </c>
      <c r="N9" t="e">
        <f ca="1">INDIRECT("N$"&amp;C9)+INDIRECT("P$"&amp;C9)*($B9-INDIRECT("B$"&amp;D9))</f>
        <v>#N/A</v>
      </c>
    </row>
    <row r="10" spans="1:20" x14ac:dyDescent="0.25">
      <c r="A10" s="8">
        <f>A9+5/24/3600</f>
        <v>0.42158564814814814</v>
      </c>
      <c r="B10" s="4">
        <f>B9+SECOND(A10-A9)</f>
        <v>425</v>
      </c>
      <c r="C10">
        <v>2</v>
      </c>
      <c r="D10">
        <v>9</v>
      </c>
      <c r="E10" t="e">
        <f ca="1">INDIRECT("E$"&amp;C10)+INDIRECT("H$"&amp;C10)*($B10-INDIRECT("B$"&amp;D10))</f>
        <v>#N/A</v>
      </c>
      <c r="F10" t="e">
        <f ca="1">INDIRECT("F$"&amp;C10)+INDIRECT("I$"&amp;C10)*($B10-INDIRECT("B$"&amp;D10))</f>
        <v>#N/A</v>
      </c>
      <c r="G10">
        <f t="shared" ref="G10:G11" ca="1" si="3">INDIRECT("G$"&amp;C10)+INDIRECT("J$"&amp;C10)*($B10-INDIRECT("B$"&amp;D10))</f>
        <v>50.8</v>
      </c>
      <c r="H10" s="13" t="e">
        <f t="shared" ref="H10:J11" ca="1" si="4">(E11-E10)/($B11-$B10)</f>
        <v>#N/A</v>
      </c>
      <c r="I10" s="13" t="e">
        <f t="shared" ca="1" si="4"/>
        <v>#N/A</v>
      </c>
      <c r="J10" s="13">
        <f t="shared" ca="1" si="4"/>
        <v>10.16</v>
      </c>
      <c r="K10" s="13" t="e">
        <f t="shared" ref="K10:K11" ca="1" si="5">SQRT(H10*H10+I10*I10)</f>
        <v>#N/A</v>
      </c>
      <c r="L10" s="13" t="e">
        <f t="shared" ref="L10:L11" ca="1" si="6">DEGREES(ATAN2(I10,H10))</f>
        <v>#N/A</v>
      </c>
      <c r="M10" t="e">
        <f t="shared" ref="M10:M11" ca="1" si="7">INDIRECT("M$"&amp;C10)+INDIRECT("O$"&amp;C10)*($B10-INDIRECT("B$"&amp;D10))</f>
        <v>#N/A</v>
      </c>
      <c r="N10" t="e">
        <f t="shared" ref="N10:N11" ca="1" si="8">INDIRECT("N$"&amp;C10)+INDIRECT("P$"&amp;C10)*($B10-INDIRECT("B$"&amp;D10))</f>
        <v>#N/A</v>
      </c>
    </row>
    <row r="11" spans="1:20" x14ac:dyDescent="0.25">
      <c r="A11" s="8">
        <f>A10+5/24/3600</f>
        <v>0.4216435185185185</v>
      </c>
      <c r="B11" s="4">
        <f>B10+SECOND(A11-A10)</f>
        <v>430</v>
      </c>
      <c r="C11">
        <v>2</v>
      </c>
      <c r="D11">
        <v>9</v>
      </c>
      <c r="E11" t="e">
        <f t="shared" ref="E11:E12" ca="1" si="9">INDIRECT("E$"&amp;C11)+INDIRECT("H$"&amp;C11)*($B11-INDIRECT("B$"&amp;D11))</f>
        <v>#N/A</v>
      </c>
      <c r="F11" t="e">
        <f t="shared" ref="F11:F12" ca="1" si="10">INDIRECT("F$"&amp;C11)+INDIRECT("I$"&amp;C11)*($B11-INDIRECT("B$"&amp;D11))</f>
        <v>#N/A</v>
      </c>
      <c r="G11">
        <f t="shared" ca="1" si="3"/>
        <v>101.6</v>
      </c>
      <c r="H11" s="13" t="e">
        <f t="shared" ca="1" si="4"/>
        <v>#N/A</v>
      </c>
      <c r="I11" s="13" t="e">
        <f t="shared" ca="1" si="4"/>
        <v>#N/A</v>
      </c>
      <c r="J11" s="13">
        <f t="shared" ca="1" si="4"/>
        <v>10.160000000000002</v>
      </c>
      <c r="K11" s="13" t="e">
        <f t="shared" ca="1" si="5"/>
        <v>#N/A</v>
      </c>
      <c r="L11" s="13" t="e">
        <f t="shared" ca="1" si="6"/>
        <v>#N/A</v>
      </c>
      <c r="M11" t="e">
        <f t="shared" ca="1" si="7"/>
        <v>#N/A</v>
      </c>
      <c r="N11" t="e">
        <f t="shared" ca="1" si="8"/>
        <v>#N/A</v>
      </c>
    </row>
    <row r="12" spans="1:20" x14ac:dyDescent="0.25">
      <c r="A12" s="8">
        <f t="shared" ref="A12:A20" si="11">A11+5/24/3600</f>
        <v>0.42170138888888886</v>
      </c>
      <c r="B12" s="4">
        <f t="shared" ref="B12:B20" si="12">B11+SECOND(A12-A11)</f>
        <v>435</v>
      </c>
      <c r="C12">
        <v>2</v>
      </c>
      <c r="D12">
        <v>9</v>
      </c>
      <c r="E12" t="e">
        <f t="shared" ca="1" si="9"/>
        <v>#N/A</v>
      </c>
      <c r="F12" t="e">
        <f t="shared" ca="1" si="10"/>
        <v>#N/A</v>
      </c>
      <c r="G12">
        <f t="shared" ref="G12:G20" ca="1" si="13">INDIRECT("G$"&amp;C12)+INDIRECT("J$"&amp;C12)*($B12-INDIRECT("B$"&amp;D12))</f>
        <v>152.4</v>
      </c>
      <c r="H12" s="13" t="e">
        <f t="shared" ref="H12:H20" ca="1" si="14">(E13-E12)/($B13-$B12)</f>
        <v>#N/A</v>
      </c>
      <c r="I12" s="13" t="e">
        <f t="shared" ref="I12:I20" ca="1" si="15">(F13-F12)/($B13-$B12)</f>
        <v>#N/A</v>
      </c>
      <c r="J12" s="13">
        <f t="shared" ref="J12:J20" ca="1" si="16">(G13-G12)/($B13-$B12)</f>
        <v>10.159999999999997</v>
      </c>
      <c r="K12" s="13" t="e">
        <f t="shared" ref="K12:K20" ca="1" si="17">SQRT(H12*H12+I12*I12)</f>
        <v>#N/A</v>
      </c>
      <c r="L12" s="13" t="e">
        <f t="shared" ref="L12:L20" ca="1" si="18">DEGREES(ATAN2(I12,H12))</f>
        <v>#N/A</v>
      </c>
      <c r="M12" t="e">
        <f t="shared" ref="M12:M20" ca="1" si="19">INDIRECT("M$"&amp;C12)+INDIRECT("O$"&amp;C12)*($B12-INDIRECT("B$"&amp;D12))</f>
        <v>#N/A</v>
      </c>
      <c r="N12" t="e">
        <f t="shared" ref="N12:N20" ca="1" si="20">INDIRECT("N$"&amp;C12)+INDIRECT("P$"&amp;C12)*($B12-INDIRECT("B$"&amp;D12))</f>
        <v>#N/A</v>
      </c>
    </row>
    <row r="13" spans="1:20" x14ac:dyDescent="0.25">
      <c r="A13" s="8">
        <f t="shared" si="11"/>
        <v>0.42175925925925922</v>
      </c>
      <c r="B13" s="4">
        <f t="shared" si="12"/>
        <v>440</v>
      </c>
      <c r="C13">
        <v>2</v>
      </c>
      <c r="D13">
        <v>9</v>
      </c>
      <c r="E13" t="e">
        <f t="shared" ref="E13:E20" ca="1" si="21">INDIRECT("E$"&amp;C13)+INDIRECT("H$"&amp;C13)*($B13-INDIRECT("B$"&amp;D13))</f>
        <v>#N/A</v>
      </c>
      <c r="F13" t="e">
        <f t="shared" ref="F13:F20" ca="1" si="22">INDIRECT("F$"&amp;C13)+INDIRECT("I$"&amp;C13)*($B13-INDIRECT("B$"&amp;D13))</f>
        <v>#N/A</v>
      </c>
      <c r="G13">
        <f t="shared" ca="1" si="13"/>
        <v>203.2</v>
      </c>
      <c r="H13" s="13" t="e">
        <f t="shared" ca="1" si="14"/>
        <v>#N/A</v>
      </c>
      <c r="I13" s="13" t="e">
        <f t="shared" ca="1" si="15"/>
        <v>#N/A</v>
      </c>
      <c r="J13" s="13">
        <f t="shared" ca="1" si="16"/>
        <v>10.160000000000002</v>
      </c>
      <c r="K13" s="13" t="e">
        <f t="shared" ca="1" si="17"/>
        <v>#N/A</v>
      </c>
      <c r="L13" s="13" t="e">
        <f t="shared" ca="1" si="18"/>
        <v>#N/A</v>
      </c>
      <c r="M13" t="e">
        <f t="shared" ca="1" si="19"/>
        <v>#N/A</v>
      </c>
      <c r="N13" t="e">
        <f t="shared" ca="1" si="20"/>
        <v>#N/A</v>
      </c>
    </row>
    <row r="14" spans="1:20" x14ac:dyDescent="0.25">
      <c r="A14" s="8">
        <f t="shared" si="11"/>
        <v>0.42181712962962958</v>
      </c>
      <c r="B14" s="4">
        <f t="shared" si="12"/>
        <v>445</v>
      </c>
      <c r="C14">
        <v>2</v>
      </c>
      <c r="D14">
        <v>9</v>
      </c>
      <c r="E14" t="e">
        <f t="shared" ca="1" si="21"/>
        <v>#N/A</v>
      </c>
      <c r="F14" t="e">
        <f t="shared" ca="1" si="22"/>
        <v>#N/A</v>
      </c>
      <c r="G14">
        <f t="shared" ca="1" si="13"/>
        <v>254</v>
      </c>
      <c r="H14" s="13" t="e">
        <f t="shared" ca="1" si="14"/>
        <v>#N/A</v>
      </c>
      <c r="I14" s="13" t="e">
        <f t="shared" ca="1" si="15"/>
        <v>#N/A</v>
      </c>
      <c r="J14" s="13">
        <f t="shared" ca="1" si="16"/>
        <v>10.160000000000002</v>
      </c>
      <c r="K14" s="13" t="e">
        <f t="shared" ca="1" si="17"/>
        <v>#N/A</v>
      </c>
      <c r="L14" s="13" t="e">
        <f t="shared" ca="1" si="18"/>
        <v>#N/A</v>
      </c>
      <c r="M14" t="e">
        <f t="shared" ca="1" si="19"/>
        <v>#N/A</v>
      </c>
      <c r="N14" t="e">
        <f t="shared" ca="1" si="20"/>
        <v>#N/A</v>
      </c>
    </row>
    <row r="15" spans="1:20" x14ac:dyDescent="0.25">
      <c r="A15" s="8">
        <f t="shared" si="11"/>
        <v>0.42187499999999994</v>
      </c>
      <c r="B15" s="4">
        <f t="shared" si="12"/>
        <v>450</v>
      </c>
      <c r="C15">
        <v>2</v>
      </c>
      <c r="D15">
        <v>9</v>
      </c>
      <c r="E15" t="e">
        <f t="shared" ca="1" si="21"/>
        <v>#N/A</v>
      </c>
      <c r="F15" t="e">
        <f t="shared" ca="1" si="22"/>
        <v>#N/A</v>
      </c>
      <c r="G15">
        <f t="shared" ca="1" si="13"/>
        <v>304.8</v>
      </c>
      <c r="H15" s="13" t="e">
        <f t="shared" ca="1" si="14"/>
        <v>#N/A</v>
      </c>
      <c r="I15" s="13" t="e">
        <f t="shared" ca="1" si="15"/>
        <v>#N/A</v>
      </c>
      <c r="J15" s="13">
        <f t="shared" ca="1" si="16"/>
        <v>10.160000000000002</v>
      </c>
      <c r="K15" s="13" t="e">
        <f t="shared" ca="1" si="17"/>
        <v>#N/A</v>
      </c>
      <c r="L15" s="13" t="e">
        <f t="shared" ca="1" si="18"/>
        <v>#N/A</v>
      </c>
      <c r="M15" t="e">
        <f t="shared" ca="1" si="19"/>
        <v>#N/A</v>
      </c>
      <c r="N15" t="e">
        <f t="shared" ca="1" si="20"/>
        <v>#N/A</v>
      </c>
    </row>
    <row r="16" spans="1:20" x14ac:dyDescent="0.25">
      <c r="A16" s="8">
        <f t="shared" si="11"/>
        <v>0.42193287037037031</v>
      </c>
      <c r="B16" s="4">
        <f t="shared" si="12"/>
        <v>455</v>
      </c>
      <c r="C16">
        <v>2</v>
      </c>
      <c r="D16">
        <v>9</v>
      </c>
      <c r="E16" t="e">
        <f t="shared" ca="1" si="21"/>
        <v>#N/A</v>
      </c>
      <c r="F16" t="e">
        <f t="shared" ca="1" si="22"/>
        <v>#N/A</v>
      </c>
      <c r="G16">
        <f t="shared" ca="1" si="13"/>
        <v>355.6</v>
      </c>
      <c r="H16" s="13" t="e">
        <f t="shared" ca="1" si="14"/>
        <v>#N/A</v>
      </c>
      <c r="I16" s="13" t="e">
        <f t="shared" ca="1" si="15"/>
        <v>#N/A</v>
      </c>
      <c r="J16" s="13">
        <f t="shared" ca="1" si="16"/>
        <v>10.159999999999991</v>
      </c>
      <c r="K16" s="13" t="e">
        <f t="shared" ca="1" si="17"/>
        <v>#N/A</v>
      </c>
      <c r="L16" s="13" t="e">
        <f t="shared" ca="1" si="18"/>
        <v>#N/A</v>
      </c>
      <c r="M16" t="e">
        <f t="shared" ca="1" si="19"/>
        <v>#N/A</v>
      </c>
      <c r="N16" t="e">
        <f t="shared" ca="1" si="20"/>
        <v>#N/A</v>
      </c>
    </row>
    <row r="17" spans="1:19" x14ac:dyDescent="0.25">
      <c r="A17" s="8">
        <f t="shared" si="11"/>
        <v>0.42199074074074067</v>
      </c>
      <c r="B17" s="4">
        <f t="shared" si="12"/>
        <v>460</v>
      </c>
      <c r="C17">
        <v>2</v>
      </c>
      <c r="D17">
        <v>9</v>
      </c>
      <c r="E17" t="e">
        <f t="shared" ca="1" si="21"/>
        <v>#N/A</v>
      </c>
      <c r="F17" t="e">
        <f t="shared" ca="1" si="22"/>
        <v>#N/A</v>
      </c>
      <c r="G17">
        <f t="shared" ca="1" si="13"/>
        <v>406.4</v>
      </c>
      <c r="H17" s="13" t="e">
        <f t="shared" ca="1" si="14"/>
        <v>#N/A</v>
      </c>
      <c r="I17" s="13" t="e">
        <f t="shared" ca="1" si="15"/>
        <v>#N/A</v>
      </c>
      <c r="J17" s="13">
        <f t="shared" ca="1" si="16"/>
        <v>10.160000000000002</v>
      </c>
      <c r="K17" s="13" t="e">
        <f t="shared" ca="1" si="17"/>
        <v>#N/A</v>
      </c>
      <c r="L17" s="13" t="e">
        <f t="shared" ca="1" si="18"/>
        <v>#N/A</v>
      </c>
      <c r="M17" t="e">
        <f t="shared" ca="1" si="19"/>
        <v>#N/A</v>
      </c>
      <c r="N17" t="e">
        <f t="shared" ca="1" si="20"/>
        <v>#N/A</v>
      </c>
    </row>
    <row r="18" spans="1:19" x14ac:dyDescent="0.25">
      <c r="A18" s="8">
        <f t="shared" si="11"/>
        <v>0.42204861111111103</v>
      </c>
      <c r="B18" s="4">
        <f t="shared" si="12"/>
        <v>465</v>
      </c>
      <c r="C18">
        <v>2</v>
      </c>
      <c r="D18">
        <v>9</v>
      </c>
      <c r="E18" t="e">
        <f t="shared" ca="1" si="21"/>
        <v>#N/A</v>
      </c>
      <c r="F18" t="e">
        <f t="shared" ca="1" si="22"/>
        <v>#N/A</v>
      </c>
      <c r="G18">
        <f t="shared" ca="1" si="13"/>
        <v>457.2</v>
      </c>
      <c r="H18" s="13" t="e">
        <f t="shared" ca="1" si="14"/>
        <v>#N/A</v>
      </c>
      <c r="I18" s="13" t="e">
        <f t="shared" ca="1" si="15"/>
        <v>#N/A</v>
      </c>
      <c r="J18" s="13">
        <f t="shared" ca="1" si="16"/>
        <v>10.160000000000002</v>
      </c>
      <c r="K18" s="13" t="e">
        <f t="shared" ca="1" si="17"/>
        <v>#N/A</v>
      </c>
      <c r="L18" s="13" t="e">
        <f t="shared" ca="1" si="18"/>
        <v>#N/A</v>
      </c>
      <c r="M18" t="e">
        <f t="shared" ca="1" si="19"/>
        <v>#N/A</v>
      </c>
      <c r="N18" t="e">
        <f t="shared" ca="1" si="20"/>
        <v>#N/A</v>
      </c>
    </row>
    <row r="19" spans="1:19" x14ac:dyDescent="0.25">
      <c r="A19" s="8">
        <f t="shared" si="11"/>
        <v>0.42210648148148139</v>
      </c>
      <c r="B19" s="4">
        <f t="shared" si="12"/>
        <v>470</v>
      </c>
      <c r="C19">
        <v>2</v>
      </c>
      <c r="D19">
        <v>9</v>
      </c>
      <c r="E19" t="e">
        <f t="shared" ca="1" si="21"/>
        <v>#N/A</v>
      </c>
      <c r="F19" t="e">
        <f t="shared" ca="1" si="22"/>
        <v>#N/A</v>
      </c>
      <c r="G19">
        <f t="shared" ca="1" si="13"/>
        <v>508</v>
      </c>
      <c r="H19" s="13" t="e">
        <f t="shared" ca="1" si="14"/>
        <v>#N/A</v>
      </c>
      <c r="I19" s="13" t="e">
        <f t="shared" ca="1" si="15"/>
        <v>#N/A</v>
      </c>
      <c r="J19" s="13">
        <f t="shared" ca="1" si="16"/>
        <v>10.159999999999991</v>
      </c>
      <c r="K19" s="13" t="e">
        <f t="shared" ca="1" si="17"/>
        <v>#N/A</v>
      </c>
      <c r="L19" s="13" t="e">
        <f t="shared" ca="1" si="18"/>
        <v>#N/A</v>
      </c>
      <c r="M19" t="e">
        <f t="shared" ca="1" si="19"/>
        <v>#N/A</v>
      </c>
      <c r="N19" t="e">
        <f t="shared" ca="1" si="20"/>
        <v>#N/A</v>
      </c>
    </row>
    <row r="20" spans="1:19" x14ac:dyDescent="0.25">
      <c r="A20" s="8">
        <f t="shared" si="11"/>
        <v>0.42216435185185175</v>
      </c>
      <c r="B20" s="4">
        <f t="shared" si="12"/>
        <v>475</v>
      </c>
      <c r="C20">
        <v>2</v>
      </c>
      <c r="D20">
        <v>9</v>
      </c>
      <c r="E20" t="e">
        <f t="shared" ca="1" si="21"/>
        <v>#N/A</v>
      </c>
      <c r="F20" t="e">
        <f t="shared" ca="1" si="22"/>
        <v>#N/A</v>
      </c>
      <c r="G20">
        <f t="shared" ca="1" si="13"/>
        <v>558.79999999999995</v>
      </c>
      <c r="H20" s="13" t="e">
        <f t="shared" ca="1" si="14"/>
        <v>#N/A</v>
      </c>
      <c r="I20" s="13" t="e">
        <f t="shared" ca="1" si="15"/>
        <v>#N/A</v>
      </c>
      <c r="J20" s="13">
        <f t="shared" ca="1" si="16"/>
        <v>10.160000000000014</v>
      </c>
      <c r="K20" s="13" t="e">
        <f t="shared" ca="1" si="17"/>
        <v>#N/A</v>
      </c>
      <c r="L20" s="13" t="e">
        <f t="shared" ca="1" si="18"/>
        <v>#N/A</v>
      </c>
      <c r="M20" t="e">
        <f t="shared" ca="1" si="19"/>
        <v>#N/A</v>
      </c>
      <c r="N20" t="e">
        <f t="shared" ca="1" si="20"/>
        <v>#N/A</v>
      </c>
    </row>
    <row r="21" spans="1:19" x14ac:dyDescent="0.25">
      <c r="A21" s="12">
        <f t="shared" ref="A21:A29" si="23">A20+5/24/3600</f>
        <v>0.42222222222222211</v>
      </c>
      <c r="B21" s="4">
        <f t="shared" ref="B21:B29" si="24">B20+SECOND(A21-A20)</f>
        <v>480</v>
      </c>
      <c r="C21">
        <v>2</v>
      </c>
      <c r="D21">
        <v>9</v>
      </c>
      <c r="E21" t="e">
        <f t="shared" ref="E21:E29" ca="1" si="25">INDIRECT("E$"&amp;C21)+INDIRECT("H$"&amp;C21)*($B21-INDIRECT("B$"&amp;D21))</f>
        <v>#N/A</v>
      </c>
      <c r="F21" t="e">
        <f t="shared" ref="F21:F29" ca="1" si="26">INDIRECT("F$"&amp;C21)+INDIRECT("I$"&amp;C21)*($B21-INDIRECT("B$"&amp;D21))</f>
        <v>#N/A</v>
      </c>
      <c r="G21">
        <f t="shared" ref="G21:G29" ca="1" si="27">INDIRECT("G$"&amp;C21)+INDIRECT("J$"&amp;C21)*($B21-INDIRECT("B$"&amp;D21))</f>
        <v>609.6</v>
      </c>
      <c r="H21" s="13" t="e">
        <f t="shared" ref="H21:H29" ca="1" si="28">(E22-E21)/($B22-$B21)</f>
        <v>#N/A</v>
      </c>
      <c r="I21" s="13" t="e">
        <f t="shared" ref="I21:I29" ca="1" si="29">(F22-F21)/($B22-$B21)</f>
        <v>#N/A</v>
      </c>
      <c r="J21" s="13">
        <f t="shared" ref="J21:J29" ca="1" si="30">(G22-G21)/($B22-$B21)</f>
        <v>10.159999999999991</v>
      </c>
      <c r="K21" s="13" t="e">
        <f t="shared" ref="K21:K29" ca="1" si="31">SQRT(H21*H21+I21*I21)</f>
        <v>#N/A</v>
      </c>
      <c r="L21" s="13" t="e">
        <f t="shared" ref="L21:L29" ca="1" si="32">DEGREES(ATAN2(I21,H21))</f>
        <v>#N/A</v>
      </c>
      <c r="M21" t="e">
        <f t="shared" ref="M21:M29" ca="1" si="33">INDIRECT("M$"&amp;C21)+INDIRECT("O$"&amp;C21)*($B21-INDIRECT("B$"&amp;D21))</f>
        <v>#N/A</v>
      </c>
      <c r="N21" t="e">
        <f t="shared" ref="N21:N29" ca="1" si="34">INDIRECT("N$"&amp;C21)+INDIRECT("P$"&amp;C21)*($B21-INDIRECT("B$"&amp;D21))</f>
        <v>#N/A</v>
      </c>
    </row>
    <row r="22" spans="1:19" x14ac:dyDescent="0.25">
      <c r="A22" s="8">
        <f t="shared" si="23"/>
        <v>0.42228009259259247</v>
      </c>
      <c r="B22" s="4">
        <f t="shared" si="24"/>
        <v>485</v>
      </c>
      <c r="C22">
        <v>2</v>
      </c>
      <c r="D22">
        <v>9</v>
      </c>
      <c r="E22" t="e">
        <f t="shared" ca="1" si="25"/>
        <v>#N/A</v>
      </c>
      <c r="F22" t="e">
        <f t="shared" ca="1" si="26"/>
        <v>#N/A</v>
      </c>
      <c r="G22">
        <f t="shared" ca="1" si="27"/>
        <v>660.4</v>
      </c>
      <c r="H22" s="13" t="e">
        <f t="shared" ca="1" si="28"/>
        <v>#N/A</v>
      </c>
      <c r="I22" s="13" t="e">
        <f t="shared" ca="1" si="29"/>
        <v>#N/A</v>
      </c>
      <c r="J22" s="13">
        <f t="shared" ca="1" si="30"/>
        <v>10.160000000000014</v>
      </c>
      <c r="K22" s="13" t="e">
        <f t="shared" ca="1" si="31"/>
        <v>#N/A</v>
      </c>
      <c r="L22" s="13" t="e">
        <f t="shared" ca="1" si="32"/>
        <v>#N/A</v>
      </c>
      <c r="M22" t="e">
        <f t="shared" ca="1" si="33"/>
        <v>#N/A</v>
      </c>
      <c r="N22" t="e">
        <f t="shared" ca="1" si="34"/>
        <v>#N/A</v>
      </c>
    </row>
    <row r="23" spans="1:19" x14ac:dyDescent="0.25">
      <c r="A23" s="8">
        <f t="shared" si="23"/>
        <v>0.42233796296296283</v>
      </c>
      <c r="B23" s="4">
        <f t="shared" si="24"/>
        <v>490</v>
      </c>
      <c r="C23">
        <v>2</v>
      </c>
      <c r="D23">
        <v>9</v>
      </c>
      <c r="E23" t="e">
        <f t="shared" ca="1" si="25"/>
        <v>#N/A</v>
      </c>
      <c r="F23" t="e">
        <f t="shared" ca="1" si="26"/>
        <v>#N/A</v>
      </c>
      <c r="G23">
        <f t="shared" ca="1" si="27"/>
        <v>711.2</v>
      </c>
      <c r="H23" s="13" t="e">
        <f t="shared" ca="1" si="28"/>
        <v>#N/A</v>
      </c>
      <c r="I23" s="13" t="e">
        <f t="shared" ca="1" si="29"/>
        <v>#N/A</v>
      </c>
      <c r="J23" s="13">
        <f t="shared" ca="1" si="30"/>
        <v>10.159999999999991</v>
      </c>
      <c r="K23" s="13" t="e">
        <f t="shared" ca="1" si="31"/>
        <v>#N/A</v>
      </c>
      <c r="L23" s="13" t="e">
        <f t="shared" ca="1" si="32"/>
        <v>#N/A</v>
      </c>
      <c r="M23" t="e">
        <f t="shared" ca="1" si="33"/>
        <v>#N/A</v>
      </c>
      <c r="N23" t="e">
        <f t="shared" ca="1" si="34"/>
        <v>#N/A</v>
      </c>
    </row>
    <row r="24" spans="1:19" x14ac:dyDescent="0.25">
      <c r="A24" s="8">
        <f t="shared" si="23"/>
        <v>0.42239583333333319</v>
      </c>
      <c r="B24" s="4">
        <f t="shared" si="24"/>
        <v>495</v>
      </c>
      <c r="C24">
        <v>2</v>
      </c>
      <c r="D24">
        <v>9</v>
      </c>
      <c r="E24" t="e">
        <f t="shared" ca="1" si="25"/>
        <v>#N/A</v>
      </c>
      <c r="F24" t="e">
        <f t="shared" ca="1" si="26"/>
        <v>#N/A</v>
      </c>
      <c r="G24">
        <f t="shared" ca="1" si="27"/>
        <v>762</v>
      </c>
      <c r="H24" s="13" t="e">
        <f t="shared" ca="1" si="28"/>
        <v>#N/A</v>
      </c>
      <c r="I24" s="13" t="e">
        <f t="shared" ca="1" si="29"/>
        <v>#N/A</v>
      </c>
      <c r="J24" s="13">
        <f t="shared" ca="1" si="30"/>
        <v>10.159999999999991</v>
      </c>
      <c r="K24" s="13" t="e">
        <f t="shared" ca="1" si="31"/>
        <v>#N/A</v>
      </c>
      <c r="L24" s="13" t="e">
        <f t="shared" ca="1" si="32"/>
        <v>#N/A</v>
      </c>
      <c r="M24" t="e">
        <f t="shared" ca="1" si="33"/>
        <v>#N/A</v>
      </c>
      <c r="N24" t="e">
        <f t="shared" ca="1" si="34"/>
        <v>#N/A</v>
      </c>
    </row>
    <row r="25" spans="1:19" x14ac:dyDescent="0.25">
      <c r="A25" s="8">
        <f t="shared" si="23"/>
        <v>0.42245370370370355</v>
      </c>
      <c r="B25" s="4">
        <f t="shared" si="24"/>
        <v>500</v>
      </c>
      <c r="C25">
        <v>2</v>
      </c>
      <c r="D25">
        <v>9</v>
      </c>
      <c r="E25" t="e">
        <f t="shared" ca="1" si="25"/>
        <v>#N/A</v>
      </c>
      <c r="F25" t="e">
        <f t="shared" ca="1" si="26"/>
        <v>#N/A</v>
      </c>
      <c r="G25">
        <f t="shared" ca="1" si="27"/>
        <v>812.8</v>
      </c>
      <c r="H25" s="13" t="e">
        <f t="shared" ca="1" si="28"/>
        <v>#N/A</v>
      </c>
      <c r="I25" s="13" t="e">
        <f t="shared" ca="1" si="29"/>
        <v>#N/A</v>
      </c>
      <c r="J25" s="13">
        <f t="shared" ca="1" si="30"/>
        <v>10.160000000000014</v>
      </c>
      <c r="K25" s="13" t="e">
        <f t="shared" ca="1" si="31"/>
        <v>#N/A</v>
      </c>
      <c r="L25" s="13" t="e">
        <f t="shared" ca="1" si="32"/>
        <v>#N/A</v>
      </c>
      <c r="M25" t="e">
        <f t="shared" ca="1" si="33"/>
        <v>#N/A</v>
      </c>
      <c r="N25" t="e">
        <f t="shared" ca="1" si="34"/>
        <v>#N/A</v>
      </c>
    </row>
    <row r="26" spans="1:19" x14ac:dyDescent="0.25">
      <c r="A26" s="8">
        <f t="shared" si="23"/>
        <v>0.42251157407407391</v>
      </c>
      <c r="B26" s="4">
        <f t="shared" si="24"/>
        <v>505</v>
      </c>
      <c r="C26">
        <v>2</v>
      </c>
      <c r="D26">
        <v>9</v>
      </c>
      <c r="E26" t="e">
        <f t="shared" ca="1" si="25"/>
        <v>#N/A</v>
      </c>
      <c r="F26" t="e">
        <f t="shared" ca="1" si="26"/>
        <v>#N/A</v>
      </c>
      <c r="G26">
        <f t="shared" ca="1" si="27"/>
        <v>863.6</v>
      </c>
      <c r="H26" s="13" t="e">
        <f t="shared" ca="1" si="28"/>
        <v>#N/A</v>
      </c>
      <c r="I26" s="13" t="e">
        <f t="shared" ca="1" si="29"/>
        <v>#N/A</v>
      </c>
      <c r="J26" s="13">
        <f t="shared" ca="1" si="30"/>
        <v>10.159999999999991</v>
      </c>
      <c r="K26" s="13" t="e">
        <f t="shared" ca="1" si="31"/>
        <v>#N/A</v>
      </c>
      <c r="L26" s="13" t="e">
        <f t="shared" ca="1" si="32"/>
        <v>#N/A</v>
      </c>
      <c r="M26" t="e">
        <f t="shared" ca="1" si="33"/>
        <v>#N/A</v>
      </c>
      <c r="N26" t="e">
        <f t="shared" ca="1" si="34"/>
        <v>#N/A</v>
      </c>
    </row>
    <row r="27" spans="1:19" x14ac:dyDescent="0.25">
      <c r="A27" s="8">
        <f t="shared" si="23"/>
        <v>0.42256944444444428</v>
      </c>
      <c r="B27" s="4">
        <f t="shared" si="24"/>
        <v>510</v>
      </c>
      <c r="C27">
        <v>2</v>
      </c>
      <c r="D27">
        <v>9</v>
      </c>
      <c r="E27" t="e">
        <f t="shared" ca="1" si="25"/>
        <v>#N/A</v>
      </c>
      <c r="F27" t="e">
        <f t="shared" ca="1" si="26"/>
        <v>#N/A</v>
      </c>
      <c r="G27">
        <f t="shared" ca="1" si="27"/>
        <v>914.4</v>
      </c>
      <c r="H27" s="13" t="e">
        <f t="shared" ca="1" si="28"/>
        <v>#N/A</v>
      </c>
      <c r="I27" s="13" t="e">
        <f t="shared" ca="1" si="29"/>
        <v>#N/A</v>
      </c>
      <c r="J27" s="13">
        <f t="shared" ca="1" si="30"/>
        <v>10.160000000000014</v>
      </c>
      <c r="K27" s="13" t="e">
        <f t="shared" ca="1" si="31"/>
        <v>#N/A</v>
      </c>
      <c r="L27" s="13" t="e">
        <f t="shared" ca="1" si="32"/>
        <v>#N/A</v>
      </c>
      <c r="M27" t="e">
        <f t="shared" ca="1" si="33"/>
        <v>#N/A</v>
      </c>
      <c r="N27" t="e">
        <f t="shared" ca="1" si="34"/>
        <v>#N/A</v>
      </c>
    </row>
    <row r="28" spans="1:19" x14ac:dyDescent="0.25">
      <c r="A28" s="8">
        <f t="shared" si="23"/>
        <v>0.42262731481481464</v>
      </c>
      <c r="B28" s="4">
        <f t="shared" si="24"/>
        <v>515</v>
      </c>
      <c r="C28">
        <v>2</v>
      </c>
      <c r="D28">
        <v>9</v>
      </c>
      <c r="E28" t="e">
        <f t="shared" ca="1" si="25"/>
        <v>#N/A</v>
      </c>
      <c r="F28" t="e">
        <f t="shared" ca="1" si="26"/>
        <v>#N/A</v>
      </c>
      <c r="G28">
        <f t="shared" ca="1" si="27"/>
        <v>965.2</v>
      </c>
      <c r="H28" s="13" t="e">
        <f t="shared" ca="1" si="28"/>
        <v>#N/A</v>
      </c>
      <c r="I28" s="13" t="e">
        <f t="shared" ca="1" si="29"/>
        <v>#N/A</v>
      </c>
      <c r="J28" s="13">
        <f t="shared" ca="1" si="30"/>
        <v>10.159999999999991</v>
      </c>
      <c r="K28" s="13" t="e">
        <f t="shared" ca="1" si="31"/>
        <v>#N/A</v>
      </c>
      <c r="L28" s="13" t="e">
        <f t="shared" ca="1" si="32"/>
        <v>#N/A</v>
      </c>
      <c r="M28" t="e">
        <f t="shared" ca="1" si="33"/>
        <v>#N/A</v>
      </c>
      <c r="N28" t="e">
        <f t="shared" ca="1" si="34"/>
        <v>#N/A</v>
      </c>
    </row>
    <row r="29" spans="1:19" x14ac:dyDescent="0.25">
      <c r="A29" s="8">
        <f t="shared" si="23"/>
        <v>0.422685185185185</v>
      </c>
      <c r="B29" s="4">
        <f t="shared" si="24"/>
        <v>520</v>
      </c>
      <c r="C29">
        <v>2</v>
      </c>
      <c r="D29">
        <v>9</v>
      </c>
      <c r="E29" t="e">
        <f t="shared" ca="1" si="25"/>
        <v>#N/A</v>
      </c>
      <c r="F29" t="e">
        <f t="shared" ca="1" si="26"/>
        <v>#N/A</v>
      </c>
      <c r="G29">
        <f t="shared" ca="1" si="27"/>
        <v>1016</v>
      </c>
      <c r="H29" s="13" t="e">
        <f t="shared" ca="1" si="28"/>
        <v>#N/A</v>
      </c>
      <c r="I29" s="13" t="e">
        <f t="shared" ca="1" si="29"/>
        <v>#N/A</v>
      </c>
      <c r="J29" s="13">
        <f t="shared" ca="1" si="30"/>
        <v>10.159999999999991</v>
      </c>
      <c r="K29" s="13" t="e">
        <f t="shared" ca="1" si="31"/>
        <v>#N/A</v>
      </c>
      <c r="L29" s="13" t="e">
        <f t="shared" ca="1" si="32"/>
        <v>#N/A</v>
      </c>
      <c r="M29" t="e">
        <f t="shared" ca="1" si="33"/>
        <v>#N/A</v>
      </c>
      <c r="N29" t="e">
        <f t="shared" ca="1" si="34"/>
        <v>#N/A</v>
      </c>
    </row>
    <row r="30" spans="1:19" x14ac:dyDescent="0.25">
      <c r="A30" s="8">
        <f t="shared" ref="A30:A36" si="35">A29+5/24/3600</f>
        <v>0.42274305555555536</v>
      </c>
      <c r="B30" s="4">
        <f t="shared" ref="B30:B36" si="36">B29+SECOND(A30-A29)</f>
        <v>525</v>
      </c>
      <c r="C30">
        <v>2</v>
      </c>
      <c r="D30">
        <v>9</v>
      </c>
      <c r="E30" t="e">
        <f t="shared" ref="E30:E36" ca="1" si="37">INDIRECT("E$"&amp;C30)+INDIRECT("H$"&amp;C30)*($B30-INDIRECT("B$"&amp;D30))</f>
        <v>#N/A</v>
      </c>
      <c r="F30" t="e">
        <f t="shared" ref="F30:F36" ca="1" si="38">INDIRECT("F$"&amp;C30)+INDIRECT("I$"&amp;C30)*($B30-INDIRECT("B$"&amp;D30))</f>
        <v>#N/A</v>
      </c>
      <c r="G30">
        <f t="shared" ref="G30:G36" ca="1" si="39">INDIRECT("G$"&amp;C30)+INDIRECT("J$"&amp;C30)*($B30-INDIRECT("B$"&amp;D30))</f>
        <v>1066.8</v>
      </c>
      <c r="H30" s="13" t="e">
        <f t="shared" ref="H30:H36" ca="1" si="40">(E31-E30)/($B31-$B30)</f>
        <v>#N/A</v>
      </c>
      <c r="I30" s="13" t="e">
        <f t="shared" ref="I30:I36" ca="1" si="41">(F31-F30)/($B31-$B30)</f>
        <v>#N/A</v>
      </c>
      <c r="J30" s="13">
        <f t="shared" ref="J30:J36" ca="1" si="42">(G31-G30)/($B31-$B30)</f>
        <v>10.159999999999991</v>
      </c>
      <c r="K30" s="13" t="e">
        <f t="shared" ref="K30:K36" ca="1" si="43">SQRT(H30*H30+I30*I30)</f>
        <v>#N/A</v>
      </c>
      <c r="L30" s="13" t="e">
        <f t="shared" ref="L30:L36" ca="1" si="44">DEGREES(ATAN2(I30,H30))</f>
        <v>#N/A</v>
      </c>
      <c r="M30" t="e">
        <f t="shared" ref="M30:M36" ca="1" si="45">INDIRECT("M$"&amp;C30)+INDIRECT("O$"&amp;C30)*($B30-INDIRECT("B$"&amp;D30))</f>
        <v>#N/A</v>
      </c>
      <c r="N30" t="e">
        <f t="shared" ref="N30:N36" ca="1" si="46">INDIRECT("N$"&amp;C30)+INDIRECT("P$"&amp;C30)*($B30-INDIRECT("B$"&amp;D30))</f>
        <v>#N/A</v>
      </c>
      <c r="P30" t="s">
        <v>21</v>
      </c>
      <c r="Q30" t="s">
        <v>30</v>
      </c>
      <c r="R30" t="s">
        <v>50</v>
      </c>
      <c r="S30" t="s">
        <v>51</v>
      </c>
    </row>
    <row r="31" spans="1:19" x14ac:dyDescent="0.25">
      <c r="A31" s="8">
        <f t="shared" si="35"/>
        <v>0.42280092592592572</v>
      </c>
      <c r="B31" s="4">
        <f t="shared" si="36"/>
        <v>530</v>
      </c>
      <c r="C31">
        <v>2</v>
      </c>
      <c r="D31">
        <v>9</v>
      </c>
      <c r="E31" t="e">
        <f t="shared" ca="1" si="37"/>
        <v>#N/A</v>
      </c>
      <c r="F31" t="e">
        <f t="shared" ca="1" si="38"/>
        <v>#N/A</v>
      </c>
      <c r="G31">
        <f t="shared" ca="1" si="39"/>
        <v>1117.5999999999999</v>
      </c>
      <c r="H31" s="13" t="e">
        <f t="shared" ca="1" si="40"/>
        <v>#N/A</v>
      </c>
      <c r="I31" s="13" t="e">
        <f t="shared" ca="1" si="41"/>
        <v>#N/A</v>
      </c>
      <c r="J31" s="13">
        <f t="shared" ca="1" si="42"/>
        <v>10.160000000000036</v>
      </c>
      <c r="K31" s="13" t="e">
        <f t="shared" ca="1" si="43"/>
        <v>#N/A</v>
      </c>
      <c r="L31" s="13" t="e">
        <f t="shared" ca="1" si="44"/>
        <v>#N/A</v>
      </c>
      <c r="M31" t="e">
        <f t="shared" ca="1" si="45"/>
        <v>#N/A</v>
      </c>
      <c r="N31" t="e">
        <f t="shared" ca="1" si="46"/>
        <v>#N/A</v>
      </c>
      <c r="O31">
        <f>(B31-B31)/(B35-B31)</f>
        <v>0</v>
      </c>
      <c r="P31" t="e">
        <f ca="1">(1-$O31)*(1-$O31)*E$31+2*$O31*(1-$O31)*E$3+$O31*$O31*E$35</f>
        <v>#N/A</v>
      </c>
      <c r="Q31" t="e">
        <f ca="1">(1-$O31)*(1-$O31)*F$31+2*$O31*(1-$O31)*F$3+$O31*$O31*F$35</f>
        <v>#N/A</v>
      </c>
      <c r="R31" t="e">
        <f ca="1">(1-$O31)*(1-$O31)*M$31+2*$O31*(1-$O31)*M$3+$O31*$O31*M$35</f>
        <v>#N/A</v>
      </c>
      <c r="S31" t="e">
        <f ca="1">(1-$O31)*(1-$O31)*N$31+2*$O31*(1-$O31)*N$3+$O31*$O31*N$35</f>
        <v>#N/A</v>
      </c>
    </row>
    <row r="32" spans="1:19" x14ac:dyDescent="0.25">
      <c r="A32" s="8">
        <f t="shared" si="35"/>
        <v>0.42285879629629608</v>
      </c>
      <c r="B32" s="4">
        <f t="shared" si="36"/>
        <v>535</v>
      </c>
      <c r="C32">
        <v>2</v>
      </c>
      <c r="D32">
        <v>9</v>
      </c>
      <c r="E32" t="e">
        <f t="shared" ref="E32:F34" ca="1" si="47">P32</f>
        <v>#N/A</v>
      </c>
      <c r="F32" t="e">
        <f t="shared" ca="1" si="47"/>
        <v>#N/A</v>
      </c>
      <c r="G32">
        <f>G$2+J$2*($B32-$B$9)</f>
        <v>1168.4000000000001</v>
      </c>
      <c r="H32" s="13" t="e">
        <f t="shared" ca="1" si="40"/>
        <v>#N/A</v>
      </c>
      <c r="I32" s="13" t="e">
        <f t="shared" ca="1" si="41"/>
        <v>#N/A</v>
      </c>
      <c r="J32" s="13">
        <f t="shared" si="42"/>
        <v>10.159999999999991</v>
      </c>
      <c r="K32" s="13" t="e">
        <f t="shared" ca="1" si="43"/>
        <v>#N/A</v>
      </c>
      <c r="L32" s="13" t="e">
        <f t="shared" ca="1" si="44"/>
        <v>#N/A</v>
      </c>
      <c r="M32" t="e">
        <f ca="1">R32</f>
        <v>#N/A</v>
      </c>
      <c r="N32" t="e">
        <f ca="1">S32</f>
        <v>#N/A</v>
      </c>
      <c r="O32">
        <f>(B32-B31)/(B35-B31)</f>
        <v>0.25</v>
      </c>
      <c r="P32" t="e">
        <f t="shared" ref="P32:P35" ca="1" si="48">(1-$O32)*(1-$O32)*E$31+2*$O32*(1-$O32)*E$3+$O32*$O32*E$35</f>
        <v>#N/A</v>
      </c>
      <c r="Q32" t="e">
        <f t="shared" ref="Q32:Q35" ca="1" si="49">(1-$O32)*(1-$O32)*F$31+2*$O32*(1-$O32)*F$3+$O32*$O32*F$35</f>
        <v>#N/A</v>
      </c>
      <c r="R32" t="e">
        <f t="shared" ref="R32:R35" ca="1" si="50">(1-$O32)*(1-$O32)*M$31+2*$O32*(1-$O32)*M$3+$O32*$O32*M$35</f>
        <v>#N/A</v>
      </c>
      <c r="S32" t="e">
        <f t="shared" ref="S32:S35" ca="1" si="51">(1-$O32)*(1-$O32)*N$31+2*$O32*(1-$O32)*N$3+$O32*$O32*N$35</f>
        <v>#N/A</v>
      </c>
    </row>
    <row r="33" spans="1:19" x14ac:dyDescent="0.25">
      <c r="A33" s="9">
        <f t="shared" si="35"/>
        <v>0.42291666666666644</v>
      </c>
      <c r="B33" s="4">
        <f t="shared" si="36"/>
        <v>540</v>
      </c>
      <c r="C33">
        <v>3</v>
      </c>
      <c r="D33">
        <v>33</v>
      </c>
      <c r="E33" t="e">
        <f t="shared" ca="1" si="47"/>
        <v>#N/A</v>
      </c>
      <c r="F33" t="e">
        <f t="shared" ca="1" si="47"/>
        <v>#N/A</v>
      </c>
      <c r="G33">
        <f>G$3</f>
        <v>1219.2</v>
      </c>
      <c r="H33" s="13" t="e">
        <f t="shared" ca="1" si="40"/>
        <v>#N/A</v>
      </c>
      <c r="I33" s="13" t="e">
        <f t="shared" ca="1" si="41"/>
        <v>#N/A</v>
      </c>
      <c r="J33" s="13">
        <f t="shared" si="42"/>
        <v>33.020000000000024</v>
      </c>
      <c r="K33" s="13" t="e">
        <f t="shared" ca="1" si="43"/>
        <v>#N/A</v>
      </c>
      <c r="L33" s="13" t="e">
        <f t="shared" ca="1" si="44"/>
        <v>#N/A</v>
      </c>
      <c r="M33" t="e">
        <f t="shared" ref="M33:N34" ca="1" si="52">R33</f>
        <v>#N/A</v>
      </c>
      <c r="N33" t="e">
        <f t="shared" ca="1" si="52"/>
        <v>#N/A</v>
      </c>
      <c r="O33">
        <f>(B33-B31)/(B35-B31)</f>
        <v>0.5</v>
      </c>
      <c r="P33" t="e">
        <f t="shared" ca="1" si="48"/>
        <v>#N/A</v>
      </c>
      <c r="Q33" t="e">
        <f t="shared" ca="1" si="49"/>
        <v>#N/A</v>
      </c>
      <c r="R33" t="e">
        <f t="shared" ca="1" si="50"/>
        <v>#N/A</v>
      </c>
      <c r="S33" t="e">
        <f t="shared" ca="1" si="51"/>
        <v>#N/A</v>
      </c>
    </row>
    <row r="34" spans="1:19" x14ac:dyDescent="0.25">
      <c r="A34" s="8">
        <f t="shared" si="35"/>
        <v>0.4229745370370368</v>
      </c>
      <c r="B34" s="4">
        <f t="shared" si="36"/>
        <v>545</v>
      </c>
      <c r="C34">
        <v>3</v>
      </c>
      <c r="D34">
        <v>33</v>
      </c>
      <c r="E34" t="e">
        <f t="shared" ca="1" si="47"/>
        <v>#N/A</v>
      </c>
      <c r="F34" t="e">
        <f t="shared" ca="1" si="47"/>
        <v>#N/A</v>
      </c>
      <c r="G34">
        <f>G$3+J$3*($B34-$B$33)</f>
        <v>1384.3000000000002</v>
      </c>
      <c r="H34" s="13" t="e">
        <f t="shared" ca="1" si="40"/>
        <v>#N/A</v>
      </c>
      <c r="I34" s="13" t="e">
        <f t="shared" ca="1" si="41"/>
        <v>#N/A</v>
      </c>
      <c r="J34" s="13">
        <f t="shared" ca="1" si="42"/>
        <v>33.019999999999982</v>
      </c>
      <c r="K34" s="13" t="e">
        <f t="shared" ca="1" si="43"/>
        <v>#N/A</v>
      </c>
      <c r="L34" s="13" t="e">
        <f t="shared" ca="1" si="44"/>
        <v>#N/A</v>
      </c>
      <c r="M34" t="e">
        <f t="shared" ca="1" si="52"/>
        <v>#N/A</v>
      </c>
      <c r="N34" t="e">
        <f t="shared" ca="1" si="52"/>
        <v>#N/A</v>
      </c>
      <c r="O34">
        <f>(B34-B31)/(B35-B31)</f>
        <v>0.75</v>
      </c>
      <c r="P34" t="e">
        <f t="shared" ca="1" si="48"/>
        <v>#N/A</v>
      </c>
      <c r="Q34" t="e">
        <f t="shared" ca="1" si="49"/>
        <v>#N/A</v>
      </c>
      <c r="R34" t="e">
        <f t="shared" ca="1" si="50"/>
        <v>#N/A</v>
      </c>
      <c r="S34" t="e">
        <f t="shared" ca="1" si="51"/>
        <v>#N/A</v>
      </c>
    </row>
    <row r="35" spans="1:19" x14ac:dyDescent="0.25">
      <c r="A35" s="8">
        <f t="shared" si="35"/>
        <v>0.42303240740740716</v>
      </c>
      <c r="B35" s="4">
        <f t="shared" si="36"/>
        <v>550</v>
      </c>
      <c r="C35">
        <v>3</v>
      </c>
      <c r="D35">
        <v>33</v>
      </c>
      <c r="E35" t="e">
        <f t="shared" ca="1" si="37"/>
        <v>#N/A</v>
      </c>
      <c r="F35" t="e">
        <f t="shared" ca="1" si="38"/>
        <v>#N/A</v>
      </c>
      <c r="G35">
        <f t="shared" ca="1" si="39"/>
        <v>1549.4</v>
      </c>
      <c r="H35" s="13" t="e">
        <f t="shared" ca="1" si="40"/>
        <v>#N/A</v>
      </c>
      <c r="I35" s="13" t="e">
        <f t="shared" ca="1" si="41"/>
        <v>#N/A</v>
      </c>
      <c r="J35" s="13">
        <f t="shared" ca="1" si="42"/>
        <v>33.019999999999982</v>
      </c>
      <c r="K35" s="13" t="e">
        <f t="shared" ca="1" si="43"/>
        <v>#N/A</v>
      </c>
      <c r="L35" s="13" t="e">
        <f t="shared" ca="1" si="44"/>
        <v>#N/A</v>
      </c>
      <c r="M35" t="e">
        <f t="shared" ca="1" si="45"/>
        <v>#N/A</v>
      </c>
      <c r="N35" t="e">
        <f t="shared" ca="1" si="46"/>
        <v>#N/A</v>
      </c>
      <c r="O35">
        <f>(B35-B31)/(B35-B31)</f>
        <v>1</v>
      </c>
      <c r="P35" t="e">
        <f t="shared" ca="1" si="48"/>
        <v>#N/A</v>
      </c>
      <c r="Q35" t="e">
        <f t="shared" ca="1" si="49"/>
        <v>#N/A</v>
      </c>
      <c r="R35" t="e">
        <f t="shared" ca="1" si="50"/>
        <v>#N/A</v>
      </c>
      <c r="S35" t="e">
        <f t="shared" ca="1" si="51"/>
        <v>#N/A</v>
      </c>
    </row>
    <row r="36" spans="1:19" x14ac:dyDescent="0.25">
      <c r="A36" s="8">
        <f t="shared" si="35"/>
        <v>0.42309027777777752</v>
      </c>
      <c r="B36" s="4">
        <f t="shared" si="36"/>
        <v>555</v>
      </c>
      <c r="C36">
        <v>3</v>
      </c>
      <c r="D36">
        <v>33</v>
      </c>
      <c r="E36" t="e">
        <f t="shared" ca="1" si="37"/>
        <v>#N/A</v>
      </c>
      <c r="F36" t="e">
        <f t="shared" ca="1" si="38"/>
        <v>#N/A</v>
      </c>
      <c r="G36">
        <f t="shared" ca="1" si="39"/>
        <v>1714.5</v>
      </c>
      <c r="H36" s="13" t="e">
        <f t="shared" ca="1" si="40"/>
        <v>#N/A</v>
      </c>
      <c r="I36" s="13" t="e">
        <f t="shared" ca="1" si="41"/>
        <v>#N/A</v>
      </c>
      <c r="J36" s="13">
        <f t="shared" ca="1" si="42"/>
        <v>33.020000000000024</v>
      </c>
      <c r="K36" s="13" t="e">
        <f t="shared" ca="1" si="43"/>
        <v>#N/A</v>
      </c>
      <c r="L36" s="13" t="e">
        <f t="shared" ca="1" si="44"/>
        <v>#N/A</v>
      </c>
      <c r="M36" t="e">
        <f t="shared" ca="1" si="45"/>
        <v>#N/A</v>
      </c>
      <c r="N36" t="e">
        <f t="shared" ca="1" si="46"/>
        <v>#N/A</v>
      </c>
    </row>
    <row r="37" spans="1:19" x14ac:dyDescent="0.25">
      <c r="A37" s="8">
        <f t="shared" ref="A37:A38" si="53">A36+5/24/3600</f>
        <v>0.42314814814814788</v>
      </c>
      <c r="B37" s="4">
        <f t="shared" ref="B37:B38" si="54">B36+SECOND(A37-A36)</f>
        <v>560</v>
      </c>
      <c r="C37">
        <v>3</v>
      </c>
      <c r="D37">
        <v>33</v>
      </c>
      <c r="E37" t="e">
        <f t="shared" ref="E37:E38" ca="1" si="55">INDIRECT("E$"&amp;C37)+INDIRECT("H$"&amp;C37)*($B37-INDIRECT("B$"&amp;D37))</f>
        <v>#N/A</v>
      </c>
      <c r="F37" t="e">
        <f t="shared" ref="F37:F38" ca="1" si="56">INDIRECT("F$"&amp;C37)+INDIRECT("I$"&amp;C37)*($B37-INDIRECT("B$"&amp;D37))</f>
        <v>#N/A</v>
      </c>
      <c r="G37">
        <f t="shared" ref="G37:G38" ca="1" si="57">INDIRECT("G$"&amp;C37)+INDIRECT("J$"&amp;C37)*($B37-INDIRECT("B$"&amp;D37))</f>
        <v>1879.6000000000001</v>
      </c>
      <c r="H37" s="13" t="e">
        <f t="shared" ref="H37:H38" ca="1" si="58">(E38-E37)/($B38-$B37)</f>
        <v>#N/A</v>
      </c>
      <c r="I37" s="13" t="e">
        <f t="shared" ref="I37:I38" ca="1" si="59">(F38-F37)/($B38-$B37)</f>
        <v>#N/A</v>
      </c>
      <c r="J37" s="13">
        <f t="shared" ref="J37:J38" ca="1" si="60">(G38-G37)/($B38-$B37)</f>
        <v>33.020000000000024</v>
      </c>
      <c r="K37" s="13" t="e">
        <f t="shared" ref="K37:K38" ca="1" si="61">SQRT(H37*H37+I37*I37)</f>
        <v>#N/A</v>
      </c>
      <c r="L37" s="13" t="e">
        <f t="shared" ref="L37:L38" ca="1" si="62">DEGREES(ATAN2(I37,H37))</f>
        <v>#N/A</v>
      </c>
      <c r="M37" t="e">
        <f t="shared" ref="M37:M38" ca="1" si="63">INDIRECT("M$"&amp;C37)+INDIRECT("O$"&amp;C37)*($B37-INDIRECT("B$"&amp;D37))</f>
        <v>#N/A</v>
      </c>
      <c r="N37" t="e">
        <f t="shared" ref="N37:N38" ca="1" si="64">INDIRECT("N$"&amp;C37)+INDIRECT("P$"&amp;C37)*($B37-INDIRECT("B$"&amp;D37))</f>
        <v>#N/A</v>
      </c>
    </row>
    <row r="38" spans="1:19" x14ac:dyDescent="0.25">
      <c r="A38" s="8">
        <f t="shared" si="53"/>
        <v>0.42320601851851825</v>
      </c>
      <c r="B38" s="4">
        <f t="shared" si="54"/>
        <v>565</v>
      </c>
      <c r="C38">
        <v>3</v>
      </c>
      <c r="D38">
        <v>33</v>
      </c>
      <c r="E38" t="e">
        <f t="shared" ca="1" si="55"/>
        <v>#N/A</v>
      </c>
      <c r="F38" t="e">
        <f t="shared" ca="1" si="56"/>
        <v>#N/A</v>
      </c>
      <c r="G38">
        <f t="shared" ca="1" si="57"/>
        <v>2044.7000000000003</v>
      </c>
      <c r="H38" s="13" t="e">
        <f t="shared" ca="1" si="58"/>
        <v>#N/A</v>
      </c>
      <c r="I38" s="13" t="e">
        <f t="shared" ca="1" si="59"/>
        <v>#N/A</v>
      </c>
      <c r="J38" s="13">
        <f t="shared" ca="1" si="60"/>
        <v>33.019999999999982</v>
      </c>
      <c r="K38" s="13" t="e">
        <f t="shared" ca="1" si="61"/>
        <v>#N/A</v>
      </c>
      <c r="L38" s="13" t="e">
        <f t="shared" ca="1" si="62"/>
        <v>#N/A</v>
      </c>
      <c r="M38" t="e">
        <f t="shared" ca="1" si="63"/>
        <v>#N/A</v>
      </c>
      <c r="N38" t="e">
        <f t="shared" ca="1" si="64"/>
        <v>#N/A</v>
      </c>
    </row>
    <row r="39" spans="1:19" x14ac:dyDescent="0.25">
      <c r="A39" s="8">
        <f t="shared" ref="A39:A46" si="65">A38+5/24/3600</f>
        <v>0.42326388888888861</v>
      </c>
      <c r="B39" s="4">
        <f t="shared" ref="B39:B46" si="66">B38+SECOND(A39-A38)</f>
        <v>570</v>
      </c>
      <c r="C39">
        <v>3</v>
      </c>
      <c r="D39">
        <v>33</v>
      </c>
      <c r="E39" t="e">
        <f t="shared" ref="E39:E46" ca="1" si="67">INDIRECT("E$"&amp;C39)+INDIRECT("H$"&amp;C39)*($B39-INDIRECT("B$"&amp;D39))</f>
        <v>#N/A</v>
      </c>
      <c r="F39" t="e">
        <f t="shared" ref="F39:F46" ca="1" si="68">INDIRECT("F$"&amp;C39)+INDIRECT("I$"&amp;C39)*($B39-INDIRECT("B$"&amp;D39))</f>
        <v>#N/A</v>
      </c>
      <c r="G39">
        <f t="shared" ref="G39:G46" ca="1" si="69">INDIRECT("G$"&amp;C39)+INDIRECT("J$"&amp;C39)*($B39-INDIRECT("B$"&amp;D39))</f>
        <v>2209.8000000000002</v>
      </c>
      <c r="H39" s="13" t="e">
        <f t="shared" ref="H39:H46" ca="1" si="70">(E40-E39)/($B40-$B39)</f>
        <v>#N/A</v>
      </c>
      <c r="I39" s="13" t="e">
        <f t="shared" ref="I39:I46" ca="1" si="71">(F40-F39)/($B40-$B39)</f>
        <v>#N/A</v>
      </c>
      <c r="J39" s="13">
        <f t="shared" ref="J39:J46" ca="1" si="72">(G40-G39)/($B40-$B39)</f>
        <v>33.019999999999982</v>
      </c>
      <c r="K39" s="13" t="e">
        <f t="shared" ref="K39:K46" ca="1" si="73">SQRT(H39*H39+I39*I39)</f>
        <v>#N/A</v>
      </c>
      <c r="L39" s="13" t="e">
        <f t="shared" ref="L39:L46" ca="1" si="74">DEGREES(ATAN2(I39,H39))</f>
        <v>#N/A</v>
      </c>
      <c r="M39" t="e">
        <f t="shared" ref="M39:M46" ca="1" si="75">INDIRECT("M$"&amp;C39)+INDIRECT("O$"&amp;C39)*($B39-INDIRECT("B$"&amp;D39))</f>
        <v>#N/A</v>
      </c>
      <c r="N39" t="e">
        <f t="shared" ref="N39:N46" ca="1" si="76">INDIRECT("N$"&amp;C39)+INDIRECT("P$"&amp;C39)*($B39-INDIRECT("B$"&amp;D39))</f>
        <v>#N/A</v>
      </c>
    </row>
    <row r="40" spans="1:19" x14ac:dyDescent="0.25">
      <c r="A40" s="8">
        <f t="shared" si="65"/>
        <v>0.42332175925925897</v>
      </c>
      <c r="B40" s="4">
        <f t="shared" si="66"/>
        <v>575</v>
      </c>
      <c r="C40">
        <v>3</v>
      </c>
      <c r="D40">
        <v>33</v>
      </c>
      <c r="E40" t="e">
        <f t="shared" ca="1" si="67"/>
        <v>#N/A</v>
      </c>
      <c r="F40" t="e">
        <f t="shared" ca="1" si="68"/>
        <v>#N/A</v>
      </c>
      <c r="G40">
        <f t="shared" ca="1" si="69"/>
        <v>2374.9</v>
      </c>
      <c r="H40" s="13" t="e">
        <f t="shared" ca="1" si="70"/>
        <v>#N/A</v>
      </c>
      <c r="I40" s="13" t="e">
        <f t="shared" ca="1" si="71"/>
        <v>#N/A</v>
      </c>
      <c r="J40" s="13">
        <f t="shared" ca="1" si="72"/>
        <v>33.019999999999982</v>
      </c>
      <c r="K40" s="13" t="e">
        <f t="shared" ca="1" si="73"/>
        <v>#N/A</v>
      </c>
      <c r="L40" s="13" t="e">
        <f t="shared" ca="1" si="74"/>
        <v>#N/A</v>
      </c>
      <c r="M40" t="e">
        <f t="shared" ca="1" si="75"/>
        <v>#N/A</v>
      </c>
      <c r="N40" t="e">
        <f t="shared" ca="1" si="76"/>
        <v>#N/A</v>
      </c>
    </row>
    <row r="41" spans="1:19" x14ac:dyDescent="0.25">
      <c r="A41" s="8">
        <f t="shared" si="65"/>
        <v>0.42337962962962933</v>
      </c>
      <c r="B41" s="4">
        <f t="shared" si="66"/>
        <v>580</v>
      </c>
      <c r="C41">
        <v>3</v>
      </c>
      <c r="D41">
        <v>33</v>
      </c>
      <c r="E41" t="e">
        <f t="shared" ca="1" si="67"/>
        <v>#N/A</v>
      </c>
      <c r="F41" t="e">
        <f t="shared" ca="1" si="68"/>
        <v>#N/A</v>
      </c>
      <c r="G41">
        <f t="shared" ca="1" si="69"/>
        <v>2540</v>
      </c>
      <c r="H41" s="13" t="e">
        <f t="shared" ca="1" si="70"/>
        <v>#N/A</v>
      </c>
      <c r="I41" s="13" t="e">
        <f t="shared" ca="1" si="71"/>
        <v>#N/A</v>
      </c>
      <c r="J41" s="13">
        <f t="shared" ca="1" si="72"/>
        <v>33.020000000000074</v>
      </c>
      <c r="K41" s="13" t="e">
        <f t="shared" ca="1" si="73"/>
        <v>#N/A</v>
      </c>
      <c r="L41" s="13" t="e">
        <f t="shared" ca="1" si="74"/>
        <v>#N/A</v>
      </c>
      <c r="M41" t="e">
        <f t="shared" ca="1" si="75"/>
        <v>#N/A</v>
      </c>
      <c r="N41" t="e">
        <f t="shared" ca="1" si="76"/>
        <v>#N/A</v>
      </c>
    </row>
    <row r="42" spans="1:19" x14ac:dyDescent="0.25">
      <c r="A42" s="8">
        <f t="shared" si="65"/>
        <v>0.42343749999999969</v>
      </c>
      <c r="B42" s="4">
        <f t="shared" si="66"/>
        <v>585</v>
      </c>
      <c r="C42">
        <v>3</v>
      </c>
      <c r="D42">
        <v>33</v>
      </c>
      <c r="E42" t="e">
        <f t="shared" ca="1" si="67"/>
        <v>#N/A</v>
      </c>
      <c r="F42" t="e">
        <f t="shared" ca="1" si="68"/>
        <v>#N/A</v>
      </c>
      <c r="G42">
        <f t="shared" ca="1" si="69"/>
        <v>2705.1000000000004</v>
      </c>
      <c r="H42" s="13" t="e">
        <f t="shared" ca="1" si="70"/>
        <v>#N/A</v>
      </c>
      <c r="I42" s="13" t="e">
        <f t="shared" ca="1" si="71"/>
        <v>#N/A</v>
      </c>
      <c r="J42" s="13">
        <f t="shared" ca="1" si="72"/>
        <v>33.019999999999982</v>
      </c>
      <c r="K42" s="13" t="e">
        <f t="shared" ca="1" si="73"/>
        <v>#N/A</v>
      </c>
      <c r="L42" s="13" t="e">
        <f t="shared" ca="1" si="74"/>
        <v>#N/A</v>
      </c>
      <c r="M42" t="e">
        <f t="shared" ca="1" si="75"/>
        <v>#N/A</v>
      </c>
      <c r="N42" t="e">
        <f t="shared" ca="1" si="76"/>
        <v>#N/A</v>
      </c>
    </row>
    <row r="43" spans="1:19" x14ac:dyDescent="0.25">
      <c r="A43" s="8">
        <f t="shared" si="65"/>
        <v>0.42349537037037005</v>
      </c>
      <c r="B43" s="4">
        <f t="shared" si="66"/>
        <v>590</v>
      </c>
      <c r="C43">
        <v>3</v>
      </c>
      <c r="D43">
        <v>33</v>
      </c>
      <c r="E43" t="e">
        <f t="shared" ca="1" si="67"/>
        <v>#N/A</v>
      </c>
      <c r="F43" t="e">
        <f t="shared" ca="1" si="68"/>
        <v>#N/A</v>
      </c>
      <c r="G43">
        <f t="shared" ca="1" si="69"/>
        <v>2870.2000000000003</v>
      </c>
      <c r="H43" s="13" t="e">
        <f t="shared" ca="1" si="70"/>
        <v>#N/A</v>
      </c>
      <c r="I43" s="13" t="e">
        <f t="shared" ca="1" si="71"/>
        <v>#N/A</v>
      </c>
      <c r="J43" s="13">
        <f t="shared" ca="1" si="72"/>
        <v>33.019999999999982</v>
      </c>
      <c r="K43" s="13" t="e">
        <f t="shared" ca="1" si="73"/>
        <v>#N/A</v>
      </c>
      <c r="L43" s="13" t="e">
        <f t="shared" ca="1" si="74"/>
        <v>#N/A</v>
      </c>
      <c r="M43" t="e">
        <f t="shared" ca="1" si="75"/>
        <v>#N/A</v>
      </c>
      <c r="N43" t="e">
        <f t="shared" ca="1" si="76"/>
        <v>#N/A</v>
      </c>
    </row>
    <row r="44" spans="1:19" x14ac:dyDescent="0.25">
      <c r="A44" s="8">
        <f t="shared" si="65"/>
        <v>0.42355324074074041</v>
      </c>
      <c r="B44" s="4">
        <f t="shared" si="66"/>
        <v>595</v>
      </c>
      <c r="C44">
        <v>3</v>
      </c>
      <c r="D44">
        <v>33</v>
      </c>
      <c r="E44" t="e">
        <f t="shared" ca="1" si="67"/>
        <v>#N/A</v>
      </c>
      <c r="F44" t="e">
        <f t="shared" ca="1" si="68"/>
        <v>#N/A</v>
      </c>
      <c r="G44">
        <f t="shared" ca="1" si="69"/>
        <v>3035.3</v>
      </c>
      <c r="H44" s="13" t="e">
        <f t="shared" ca="1" si="70"/>
        <v>#N/A</v>
      </c>
      <c r="I44" s="13" t="e">
        <f t="shared" ca="1" si="71"/>
        <v>#N/A</v>
      </c>
      <c r="J44" s="13">
        <f t="shared" ca="1" si="72"/>
        <v>33.020000000000074</v>
      </c>
      <c r="K44" s="13" t="e">
        <f t="shared" ca="1" si="73"/>
        <v>#N/A</v>
      </c>
      <c r="L44" s="13" t="e">
        <f t="shared" ca="1" si="74"/>
        <v>#N/A</v>
      </c>
      <c r="M44" t="e">
        <f t="shared" ca="1" si="75"/>
        <v>#N/A</v>
      </c>
      <c r="N44" t="e">
        <f t="shared" ca="1" si="76"/>
        <v>#N/A</v>
      </c>
    </row>
    <row r="45" spans="1:19" x14ac:dyDescent="0.25">
      <c r="A45" s="8">
        <f t="shared" si="65"/>
        <v>0.42361111111111077</v>
      </c>
      <c r="B45" s="4">
        <f t="shared" si="66"/>
        <v>600</v>
      </c>
      <c r="C45">
        <v>3</v>
      </c>
      <c r="D45">
        <v>33</v>
      </c>
      <c r="E45" t="e">
        <f t="shared" ca="1" si="67"/>
        <v>#N/A</v>
      </c>
      <c r="F45" t="e">
        <f t="shared" ca="1" si="68"/>
        <v>#N/A</v>
      </c>
      <c r="G45">
        <f t="shared" ca="1" si="69"/>
        <v>3200.4000000000005</v>
      </c>
      <c r="H45" s="13" t="e">
        <f t="shared" ca="1" si="70"/>
        <v>#N/A</v>
      </c>
      <c r="I45" s="13" t="e">
        <f t="shared" ca="1" si="71"/>
        <v>#N/A</v>
      </c>
      <c r="J45" s="13">
        <f t="shared" ca="1" si="72"/>
        <v>33.019999999999889</v>
      </c>
      <c r="K45" s="13" t="e">
        <f t="shared" ca="1" si="73"/>
        <v>#N/A</v>
      </c>
      <c r="L45" s="13" t="e">
        <f t="shared" ca="1" si="74"/>
        <v>#N/A</v>
      </c>
      <c r="M45" t="e">
        <f t="shared" ca="1" si="75"/>
        <v>#N/A</v>
      </c>
      <c r="N45" t="e">
        <f t="shared" ca="1" si="76"/>
        <v>#N/A</v>
      </c>
    </row>
    <row r="46" spans="1:19" x14ac:dyDescent="0.25">
      <c r="A46" s="8">
        <f t="shared" si="65"/>
        <v>0.42366898148148113</v>
      </c>
      <c r="B46" s="4">
        <f t="shared" si="66"/>
        <v>605</v>
      </c>
      <c r="C46">
        <v>3</v>
      </c>
      <c r="D46">
        <v>33</v>
      </c>
      <c r="E46" t="e">
        <f t="shared" ca="1" si="67"/>
        <v>#N/A</v>
      </c>
      <c r="F46" t="e">
        <f t="shared" ca="1" si="68"/>
        <v>#N/A</v>
      </c>
      <c r="G46">
        <f t="shared" ca="1" si="69"/>
        <v>3365.5</v>
      </c>
      <c r="H46" s="13" t="e">
        <f t="shared" ca="1" si="70"/>
        <v>#N/A</v>
      </c>
      <c r="I46" s="13" t="e">
        <f t="shared" ca="1" si="71"/>
        <v>#N/A</v>
      </c>
      <c r="J46" s="13">
        <f t="shared" ca="1" si="72"/>
        <v>33.020000000000074</v>
      </c>
      <c r="K46" s="13" t="e">
        <f t="shared" ca="1" si="73"/>
        <v>#N/A</v>
      </c>
      <c r="L46" s="13" t="e">
        <f t="shared" ca="1" si="74"/>
        <v>#N/A</v>
      </c>
      <c r="M46" t="e">
        <f t="shared" ca="1" si="75"/>
        <v>#N/A</v>
      </c>
      <c r="N46" t="e">
        <f t="shared" ca="1" si="76"/>
        <v>#N/A</v>
      </c>
    </row>
    <row r="47" spans="1:19" x14ac:dyDescent="0.25">
      <c r="A47" s="8">
        <f t="shared" ref="A47:A64" si="77">A46+5/24/3600</f>
        <v>0.42372685185185149</v>
      </c>
      <c r="B47" s="4">
        <f t="shared" ref="B47:B64" si="78">B46+SECOND(A47-A46)</f>
        <v>610</v>
      </c>
      <c r="C47">
        <v>3</v>
      </c>
      <c r="D47">
        <v>33</v>
      </c>
      <c r="E47" t="e">
        <f t="shared" ref="E47:E64" ca="1" si="79">INDIRECT("E$"&amp;C47)+INDIRECT("H$"&amp;C47)*($B47-INDIRECT("B$"&amp;D47))</f>
        <v>#N/A</v>
      </c>
      <c r="F47" t="e">
        <f t="shared" ref="F47:F64" ca="1" si="80">INDIRECT("F$"&amp;C47)+INDIRECT("I$"&amp;C47)*($B47-INDIRECT("B$"&amp;D47))</f>
        <v>#N/A</v>
      </c>
      <c r="G47">
        <f t="shared" ref="G47:G64" ca="1" si="81">INDIRECT("G$"&amp;C47)+INDIRECT("J$"&amp;C47)*($B47-INDIRECT("B$"&amp;D47))</f>
        <v>3530.6000000000004</v>
      </c>
      <c r="H47" s="13" t="e">
        <f t="shared" ref="H47:H64" ca="1" si="82">(E48-E47)/($B48-$B47)</f>
        <v>#N/A</v>
      </c>
      <c r="I47" s="13" t="e">
        <f t="shared" ref="I47:I64" ca="1" si="83">(F48-F47)/($B48-$B47)</f>
        <v>#N/A</v>
      </c>
      <c r="J47" s="13">
        <f t="shared" ref="J47:J64" ca="1" si="84">(G48-G47)/($B48-$B47)</f>
        <v>33.020000000000074</v>
      </c>
      <c r="K47" s="13" t="e">
        <f t="shared" ref="K47:K64" ca="1" si="85">SQRT(H47*H47+I47*I47)</f>
        <v>#N/A</v>
      </c>
      <c r="L47" s="13" t="e">
        <f t="shared" ref="L47:L64" ca="1" si="86">DEGREES(ATAN2(I47,H47))</f>
        <v>#N/A</v>
      </c>
      <c r="M47" t="e">
        <f t="shared" ref="M47:M64" ca="1" si="87">INDIRECT("M$"&amp;C47)+INDIRECT("O$"&amp;C47)*($B47-INDIRECT("B$"&amp;D47))</f>
        <v>#N/A</v>
      </c>
      <c r="N47" t="e">
        <f t="shared" ref="N47:N64" ca="1" si="88">INDIRECT("N$"&amp;C47)+INDIRECT("P$"&amp;C47)*($B47-INDIRECT("B$"&amp;D47))</f>
        <v>#N/A</v>
      </c>
    </row>
    <row r="48" spans="1:19" x14ac:dyDescent="0.25">
      <c r="A48" s="8">
        <f t="shared" si="77"/>
        <v>0.42378472222222185</v>
      </c>
      <c r="B48" s="4">
        <f t="shared" si="78"/>
        <v>615</v>
      </c>
      <c r="C48">
        <v>3</v>
      </c>
      <c r="D48">
        <v>33</v>
      </c>
      <c r="E48" t="e">
        <f t="shared" ca="1" si="79"/>
        <v>#N/A</v>
      </c>
      <c r="F48" t="e">
        <f t="shared" ca="1" si="80"/>
        <v>#N/A</v>
      </c>
      <c r="G48">
        <f t="shared" ca="1" si="81"/>
        <v>3695.7000000000007</v>
      </c>
      <c r="H48" s="13" t="e">
        <f t="shared" ca="1" si="82"/>
        <v>#N/A</v>
      </c>
      <c r="I48" s="13" t="e">
        <f t="shared" ca="1" si="83"/>
        <v>#N/A</v>
      </c>
      <c r="J48" s="13">
        <f t="shared" ca="1" si="84"/>
        <v>33.019999999999889</v>
      </c>
      <c r="K48" s="13" t="e">
        <f t="shared" ca="1" si="85"/>
        <v>#N/A</v>
      </c>
      <c r="L48" s="13" t="e">
        <f t="shared" ca="1" si="86"/>
        <v>#N/A</v>
      </c>
      <c r="M48" t="e">
        <f t="shared" ca="1" si="87"/>
        <v>#N/A</v>
      </c>
      <c r="N48" t="e">
        <f t="shared" ca="1" si="88"/>
        <v>#N/A</v>
      </c>
    </row>
    <row r="49" spans="1:19" x14ac:dyDescent="0.25">
      <c r="A49" s="8">
        <f t="shared" si="77"/>
        <v>0.42384259259259222</v>
      </c>
      <c r="B49" s="4">
        <f t="shared" si="78"/>
        <v>620</v>
      </c>
      <c r="C49">
        <v>3</v>
      </c>
      <c r="D49">
        <v>33</v>
      </c>
      <c r="E49" t="e">
        <f t="shared" ca="1" si="79"/>
        <v>#N/A</v>
      </c>
      <c r="F49" t="e">
        <f t="shared" ca="1" si="80"/>
        <v>#N/A</v>
      </c>
      <c r="G49">
        <f t="shared" ca="1" si="81"/>
        <v>3860.8</v>
      </c>
      <c r="H49" s="13" t="e">
        <f t="shared" ca="1" si="82"/>
        <v>#N/A</v>
      </c>
      <c r="I49" s="13" t="e">
        <f t="shared" ca="1" si="83"/>
        <v>#N/A</v>
      </c>
      <c r="J49" s="13">
        <f t="shared" ca="1" si="84"/>
        <v>33.020000000000074</v>
      </c>
      <c r="K49" s="13" t="e">
        <f t="shared" ca="1" si="85"/>
        <v>#N/A</v>
      </c>
      <c r="L49" s="13" t="e">
        <f t="shared" ca="1" si="86"/>
        <v>#N/A</v>
      </c>
      <c r="M49" t="e">
        <f t="shared" ca="1" si="87"/>
        <v>#N/A</v>
      </c>
      <c r="N49" t="e">
        <f t="shared" ca="1" si="88"/>
        <v>#N/A</v>
      </c>
    </row>
    <row r="50" spans="1:19" x14ac:dyDescent="0.25">
      <c r="A50" s="8">
        <f t="shared" si="77"/>
        <v>0.42390046296296258</v>
      </c>
      <c r="B50" s="4">
        <f t="shared" si="78"/>
        <v>625</v>
      </c>
      <c r="C50">
        <v>3</v>
      </c>
      <c r="D50">
        <v>33</v>
      </c>
      <c r="E50" t="e">
        <f t="shared" ca="1" si="79"/>
        <v>#N/A</v>
      </c>
      <c r="F50" t="e">
        <f t="shared" ca="1" si="80"/>
        <v>#N/A</v>
      </c>
      <c r="G50">
        <f t="shared" ca="1" si="81"/>
        <v>4025.9000000000005</v>
      </c>
      <c r="H50" s="13" t="e">
        <f t="shared" ca="1" si="82"/>
        <v>#N/A</v>
      </c>
      <c r="I50" s="13" t="e">
        <f t="shared" ca="1" si="83"/>
        <v>#N/A</v>
      </c>
      <c r="J50" s="13">
        <f t="shared" ca="1" si="84"/>
        <v>33.019999999999889</v>
      </c>
      <c r="K50" s="13" t="e">
        <f t="shared" ca="1" si="85"/>
        <v>#N/A</v>
      </c>
      <c r="L50" s="13" t="e">
        <f t="shared" ca="1" si="86"/>
        <v>#N/A</v>
      </c>
      <c r="M50" t="e">
        <f t="shared" ca="1" si="87"/>
        <v>#N/A</v>
      </c>
      <c r="N50" t="e">
        <f t="shared" ca="1" si="88"/>
        <v>#N/A</v>
      </c>
    </row>
    <row r="51" spans="1:19" x14ac:dyDescent="0.25">
      <c r="A51" s="8">
        <f t="shared" si="77"/>
        <v>0.42395833333333294</v>
      </c>
      <c r="B51" s="4">
        <f t="shared" si="78"/>
        <v>630</v>
      </c>
      <c r="C51">
        <v>3</v>
      </c>
      <c r="D51">
        <v>33</v>
      </c>
      <c r="E51" t="e">
        <f t="shared" ca="1" si="79"/>
        <v>#N/A</v>
      </c>
      <c r="F51" t="e">
        <f t="shared" ca="1" si="80"/>
        <v>#N/A</v>
      </c>
      <c r="G51">
        <f t="shared" ca="1" si="81"/>
        <v>4191</v>
      </c>
      <c r="H51" s="13" t="e">
        <f t="shared" ca="1" si="82"/>
        <v>#N/A</v>
      </c>
      <c r="I51" s="13" t="e">
        <f t="shared" ca="1" si="83"/>
        <v>#N/A</v>
      </c>
      <c r="J51" s="13">
        <f t="shared" ca="1" si="84"/>
        <v>33.020000000000074</v>
      </c>
      <c r="K51" s="13" t="e">
        <f t="shared" ca="1" si="85"/>
        <v>#N/A</v>
      </c>
      <c r="L51" s="13" t="e">
        <f t="shared" ca="1" si="86"/>
        <v>#N/A</v>
      </c>
      <c r="M51" t="e">
        <f t="shared" ca="1" si="87"/>
        <v>#N/A</v>
      </c>
      <c r="N51" t="e">
        <f t="shared" ca="1" si="88"/>
        <v>#N/A</v>
      </c>
    </row>
    <row r="52" spans="1:19" x14ac:dyDescent="0.25">
      <c r="A52" s="8">
        <f t="shared" si="77"/>
        <v>0.4240162037037033</v>
      </c>
      <c r="B52" s="4">
        <f t="shared" si="78"/>
        <v>635</v>
      </c>
      <c r="C52">
        <v>3</v>
      </c>
      <c r="D52">
        <v>33</v>
      </c>
      <c r="E52" t="e">
        <f t="shared" ca="1" si="79"/>
        <v>#N/A</v>
      </c>
      <c r="F52" t="e">
        <f t="shared" ca="1" si="80"/>
        <v>#N/A</v>
      </c>
      <c r="G52">
        <f t="shared" ca="1" si="81"/>
        <v>4356.1000000000004</v>
      </c>
      <c r="H52" s="13" t="e">
        <f t="shared" ca="1" si="82"/>
        <v>#N/A</v>
      </c>
      <c r="I52" s="13" t="e">
        <f t="shared" ca="1" si="83"/>
        <v>#N/A</v>
      </c>
      <c r="J52" s="13">
        <f t="shared" ca="1" si="84"/>
        <v>33.020000000000074</v>
      </c>
      <c r="K52" s="13" t="e">
        <f t="shared" ca="1" si="85"/>
        <v>#N/A</v>
      </c>
      <c r="L52" s="13" t="e">
        <f t="shared" ca="1" si="86"/>
        <v>#N/A</v>
      </c>
      <c r="M52" t="e">
        <f t="shared" ca="1" si="87"/>
        <v>#N/A</v>
      </c>
      <c r="N52" t="e">
        <f t="shared" ca="1" si="88"/>
        <v>#N/A</v>
      </c>
    </row>
    <row r="53" spans="1:19" x14ac:dyDescent="0.25">
      <c r="A53" s="8">
        <f t="shared" si="77"/>
        <v>0.42407407407407366</v>
      </c>
      <c r="B53" s="4">
        <f t="shared" si="78"/>
        <v>640</v>
      </c>
      <c r="C53">
        <v>3</v>
      </c>
      <c r="D53">
        <v>33</v>
      </c>
      <c r="E53" t="e">
        <f t="shared" ca="1" si="79"/>
        <v>#N/A</v>
      </c>
      <c r="F53" t="e">
        <f t="shared" ca="1" si="80"/>
        <v>#N/A</v>
      </c>
      <c r="G53">
        <f t="shared" ca="1" si="81"/>
        <v>4521.2000000000007</v>
      </c>
      <c r="H53" s="13" t="e">
        <f t="shared" ca="1" si="82"/>
        <v>#N/A</v>
      </c>
      <c r="I53" s="13" t="e">
        <f t="shared" ca="1" si="83"/>
        <v>#N/A</v>
      </c>
      <c r="J53" s="13">
        <f t="shared" ca="1" si="84"/>
        <v>33.019999999999889</v>
      </c>
      <c r="K53" s="13" t="e">
        <f t="shared" ca="1" si="85"/>
        <v>#N/A</v>
      </c>
      <c r="L53" s="13" t="e">
        <f t="shared" ca="1" si="86"/>
        <v>#N/A</v>
      </c>
      <c r="M53" t="e">
        <f t="shared" ca="1" si="87"/>
        <v>#N/A</v>
      </c>
      <c r="N53" t="e">
        <f t="shared" ca="1" si="88"/>
        <v>#N/A</v>
      </c>
    </row>
    <row r="54" spans="1:19" x14ac:dyDescent="0.25">
      <c r="A54" s="8">
        <f t="shared" si="77"/>
        <v>0.42413194444444402</v>
      </c>
      <c r="B54" s="4">
        <f t="shared" si="78"/>
        <v>645</v>
      </c>
      <c r="C54">
        <v>3</v>
      </c>
      <c r="D54">
        <v>33</v>
      </c>
      <c r="E54" t="e">
        <f t="shared" ca="1" si="79"/>
        <v>#N/A</v>
      </c>
      <c r="F54" t="e">
        <f t="shared" ca="1" si="80"/>
        <v>#N/A</v>
      </c>
      <c r="G54">
        <f t="shared" ca="1" si="81"/>
        <v>4686.3</v>
      </c>
      <c r="H54" s="13" t="e">
        <f t="shared" ca="1" si="82"/>
        <v>#N/A</v>
      </c>
      <c r="I54" s="13" t="e">
        <f t="shared" ca="1" si="83"/>
        <v>#N/A</v>
      </c>
      <c r="J54" s="13">
        <f t="shared" ca="1" si="84"/>
        <v>33.020000000000074</v>
      </c>
      <c r="K54" s="13" t="e">
        <f t="shared" ca="1" si="85"/>
        <v>#N/A</v>
      </c>
      <c r="L54" s="13" t="e">
        <f t="shared" ca="1" si="86"/>
        <v>#N/A</v>
      </c>
      <c r="M54" t="e">
        <f t="shared" ca="1" si="87"/>
        <v>#N/A</v>
      </c>
      <c r="N54" t="e">
        <f t="shared" ca="1" si="88"/>
        <v>#N/A</v>
      </c>
      <c r="P54" t="s">
        <v>21</v>
      </c>
      <c r="Q54" t="s">
        <v>30</v>
      </c>
      <c r="R54" t="s">
        <v>50</v>
      </c>
      <c r="S54" t="s">
        <v>51</v>
      </c>
    </row>
    <row r="55" spans="1:19" x14ac:dyDescent="0.25">
      <c r="A55" s="8">
        <f t="shared" si="77"/>
        <v>0.42418981481481438</v>
      </c>
      <c r="B55" s="4">
        <f t="shared" si="78"/>
        <v>650</v>
      </c>
      <c r="C55">
        <v>3</v>
      </c>
      <c r="D55">
        <v>33</v>
      </c>
      <c r="E55" t="e">
        <f t="shared" ca="1" si="79"/>
        <v>#N/A</v>
      </c>
      <c r="F55" t="e">
        <f t="shared" ca="1" si="80"/>
        <v>#N/A</v>
      </c>
      <c r="G55">
        <f t="shared" ca="1" si="81"/>
        <v>4851.4000000000005</v>
      </c>
      <c r="H55" s="13" t="e">
        <f t="shared" ca="1" si="82"/>
        <v>#N/A</v>
      </c>
      <c r="I55" s="13" t="e">
        <f t="shared" ca="1" si="83"/>
        <v>#N/A</v>
      </c>
      <c r="J55" s="13">
        <f t="shared" ca="1" si="84"/>
        <v>-492.7600000000001</v>
      </c>
      <c r="K55" s="13" t="e">
        <f t="shared" ca="1" si="85"/>
        <v>#N/A</v>
      </c>
      <c r="L55" s="13" t="e">
        <f t="shared" ca="1" si="86"/>
        <v>#N/A</v>
      </c>
      <c r="M55" t="e">
        <f t="shared" ca="1" si="87"/>
        <v>#N/A</v>
      </c>
      <c r="N55" t="e">
        <f t="shared" ca="1" si="88"/>
        <v>#N/A</v>
      </c>
      <c r="O55">
        <f>(B55-B55)/(B59-B55)</f>
        <v>0</v>
      </c>
      <c r="P55" t="e">
        <f ca="1">(1-$O55)*(1-$O55)*E$55+2*$O55*(1-$O55)*E$4+$O55*$O55*E$59</f>
        <v>#N/A</v>
      </c>
      <c r="Q55" t="e">
        <f ca="1">(1-$O55)*(1-$O55)*F$55+2*$O55*(1-$O55)*F$4+$O55*$O55*F$59</f>
        <v>#N/A</v>
      </c>
      <c r="R55" t="e">
        <f ca="1">(1-$O55)*(1-$O55)*M$55+2*$O55*(1-$O55)*M$4+$O55*$O55*M$59</f>
        <v>#N/A</v>
      </c>
      <c r="S55" t="e">
        <f ca="1">(1-$O55)*(1-$O55)*N$55+2*$O55*(1-$O55)*N$4+$O55*$O55*N$59</f>
        <v>#N/A</v>
      </c>
    </row>
    <row r="56" spans="1:19" x14ac:dyDescent="0.25">
      <c r="A56" s="8">
        <f t="shared" si="77"/>
        <v>0.42424768518518474</v>
      </c>
      <c r="B56" s="4">
        <f t="shared" si="78"/>
        <v>655</v>
      </c>
      <c r="C56">
        <v>3</v>
      </c>
      <c r="D56">
        <v>33</v>
      </c>
      <c r="E56" t="e">
        <f t="shared" ref="E56:E58" ca="1" si="89">P56</f>
        <v>#N/A</v>
      </c>
      <c r="F56" t="e">
        <f t="shared" ref="F56:F58" ca="1" si="90">Q56</f>
        <v>#N/A</v>
      </c>
      <c r="G56">
        <f>G$2+J$2*($B56-$B$9)</f>
        <v>2387.6</v>
      </c>
      <c r="H56" s="13" t="e">
        <f t="shared" ca="1" si="82"/>
        <v>#N/A</v>
      </c>
      <c r="I56" s="13" t="e">
        <f t="shared" ca="1" si="83"/>
        <v>#N/A</v>
      </c>
      <c r="J56" s="13">
        <f t="shared" si="84"/>
        <v>-233.67999999999998</v>
      </c>
      <c r="K56" s="13" t="e">
        <f t="shared" ca="1" si="85"/>
        <v>#N/A</v>
      </c>
      <c r="L56" s="13" t="e">
        <f t="shared" ca="1" si="86"/>
        <v>#N/A</v>
      </c>
      <c r="M56" t="e">
        <f ca="1">R56</f>
        <v>#N/A</v>
      </c>
      <c r="N56" t="e">
        <f ca="1">S56</f>
        <v>#N/A</v>
      </c>
      <c r="O56">
        <f>(B56-B55)/(B59-B55)</f>
        <v>0.25</v>
      </c>
      <c r="P56" t="e">
        <f t="shared" ref="P56:P59" ca="1" si="91">(1-$O56)*(1-$O56)*E$55+2*$O56*(1-$O56)*E$4+$O56*$O56*E$59</f>
        <v>#N/A</v>
      </c>
      <c r="Q56" t="e">
        <f t="shared" ref="Q56:Q59" ca="1" si="92">(1-$O56)*(1-$O56)*F$55+2*$O56*(1-$O56)*F$4+$O56*$O56*F$59</f>
        <v>#N/A</v>
      </c>
      <c r="R56" t="e">
        <f t="shared" ref="R56:R59" ca="1" si="93">(1-$O56)*(1-$O56)*M$55+2*$O56*(1-$O56)*M$4+$O56*$O56*M$59</f>
        <v>#N/A</v>
      </c>
      <c r="S56" t="e">
        <f t="shared" ref="S56:S59" ca="1" si="94">(1-$O56)*(1-$O56)*N$55+2*$O56*(1-$O56)*N$4+$O56*$O56*N$59</f>
        <v>#N/A</v>
      </c>
    </row>
    <row r="57" spans="1:19" x14ac:dyDescent="0.25">
      <c r="A57" s="9">
        <f t="shared" si="77"/>
        <v>0.4243055555555551</v>
      </c>
      <c r="B57" s="4">
        <f t="shared" si="78"/>
        <v>660</v>
      </c>
      <c r="C57">
        <v>4</v>
      </c>
      <c r="D57">
        <v>57</v>
      </c>
      <c r="E57" t="e">
        <f t="shared" ca="1" si="89"/>
        <v>#N/A</v>
      </c>
      <c r="F57" t="e">
        <f t="shared" ca="1" si="90"/>
        <v>#N/A</v>
      </c>
      <c r="G57">
        <f>G$3</f>
        <v>1219.2</v>
      </c>
      <c r="H57" s="13" t="e">
        <f t="shared" ca="1" si="82"/>
        <v>#N/A</v>
      </c>
      <c r="I57" s="13" t="e">
        <f t="shared" ca="1" si="83"/>
        <v>#N/A</v>
      </c>
      <c r="J57" s="13">
        <f t="shared" si="84"/>
        <v>825.5</v>
      </c>
      <c r="K57" s="13" t="e">
        <f t="shared" ca="1" si="85"/>
        <v>#N/A</v>
      </c>
      <c r="L57" s="13" t="e">
        <f t="shared" ca="1" si="86"/>
        <v>#N/A</v>
      </c>
      <c r="M57" t="e">
        <f t="shared" ref="M57:M58" ca="1" si="95">R57</f>
        <v>#N/A</v>
      </c>
      <c r="N57" t="e">
        <f t="shared" ref="N57:N58" ca="1" si="96">S57</f>
        <v>#N/A</v>
      </c>
      <c r="O57">
        <f>(B57-B55)/(B59-B55)</f>
        <v>0.5</v>
      </c>
      <c r="P57" t="e">
        <f t="shared" ca="1" si="91"/>
        <v>#N/A</v>
      </c>
      <c r="Q57" t="e">
        <f t="shared" ca="1" si="92"/>
        <v>#N/A</v>
      </c>
      <c r="R57" t="e">
        <f t="shared" ca="1" si="93"/>
        <v>#N/A</v>
      </c>
      <c r="S57" t="e">
        <f t="shared" ca="1" si="94"/>
        <v>#N/A</v>
      </c>
    </row>
    <row r="58" spans="1:19" x14ac:dyDescent="0.25">
      <c r="A58" s="8">
        <f t="shared" si="77"/>
        <v>0.42436342592592546</v>
      </c>
      <c r="B58" s="4">
        <f t="shared" si="78"/>
        <v>665</v>
      </c>
      <c r="C58">
        <v>4</v>
      </c>
      <c r="D58">
        <v>57</v>
      </c>
      <c r="E58" t="e">
        <f t="shared" ca="1" si="89"/>
        <v>#N/A</v>
      </c>
      <c r="F58" t="e">
        <f t="shared" ca="1" si="90"/>
        <v>#N/A</v>
      </c>
      <c r="G58">
        <f>G$3+J$3*($B58-$B$33)</f>
        <v>5346.7</v>
      </c>
      <c r="H58" s="13" t="e">
        <f t="shared" ca="1" si="82"/>
        <v>#N/A</v>
      </c>
      <c r="I58" s="13" t="e">
        <f t="shared" ca="1" si="83"/>
        <v>#N/A</v>
      </c>
      <c r="J58" s="13">
        <f t="shared" ca="1" si="84"/>
        <v>-9.3133333333333219</v>
      </c>
      <c r="K58" s="13" t="e">
        <f t="shared" ca="1" si="85"/>
        <v>#N/A</v>
      </c>
      <c r="L58" s="13" t="e">
        <f t="shared" ca="1" si="86"/>
        <v>#N/A</v>
      </c>
      <c r="M58" t="e">
        <f t="shared" ca="1" si="95"/>
        <v>#N/A</v>
      </c>
      <c r="N58" t="e">
        <f t="shared" ca="1" si="96"/>
        <v>#N/A</v>
      </c>
      <c r="O58">
        <f>(B58-B55)/(B59-B55)</f>
        <v>0.75</v>
      </c>
      <c r="P58" t="e">
        <f t="shared" ca="1" si="91"/>
        <v>#N/A</v>
      </c>
      <c r="Q58" t="e">
        <f t="shared" ca="1" si="92"/>
        <v>#N/A</v>
      </c>
      <c r="R58" t="e">
        <f t="shared" ca="1" si="93"/>
        <v>#N/A</v>
      </c>
      <c r="S58" t="e">
        <f t="shared" ca="1" si="94"/>
        <v>#N/A</v>
      </c>
    </row>
    <row r="59" spans="1:19" x14ac:dyDescent="0.25">
      <c r="A59" s="8">
        <f t="shared" si="77"/>
        <v>0.42442129629629582</v>
      </c>
      <c r="B59" s="4">
        <f t="shared" si="78"/>
        <v>670</v>
      </c>
      <c r="C59">
        <v>4</v>
      </c>
      <c r="D59">
        <v>57</v>
      </c>
      <c r="E59" t="e">
        <f t="shared" ca="1" si="79"/>
        <v>#N/A</v>
      </c>
      <c r="F59" t="e">
        <f t="shared" ca="1" si="80"/>
        <v>#N/A</v>
      </c>
      <c r="G59">
        <f t="shared" ca="1" si="81"/>
        <v>5300.1333333333332</v>
      </c>
      <c r="H59" s="13" t="e">
        <f t="shared" ca="1" si="82"/>
        <v>#N/A</v>
      </c>
      <c r="I59" s="13" t="e">
        <f t="shared" ca="1" si="83"/>
        <v>#N/A</v>
      </c>
      <c r="J59" s="13">
        <f t="shared" ca="1" si="84"/>
        <v>11.853333333333467</v>
      </c>
      <c r="K59" s="13" t="e">
        <f t="shared" ca="1" si="85"/>
        <v>#N/A</v>
      </c>
      <c r="L59" s="13" t="e">
        <f t="shared" ca="1" si="86"/>
        <v>#N/A</v>
      </c>
      <c r="M59" t="e">
        <f t="shared" ca="1" si="87"/>
        <v>#N/A</v>
      </c>
      <c r="N59" t="e">
        <f t="shared" ca="1" si="88"/>
        <v>#N/A</v>
      </c>
      <c r="O59">
        <f>(B59-B55)/(B59-B55)</f>
        <v>1</v>
      </c>
      <c r="P59" t="e">
        <f t="shared" ca="1" si="91"/>
        <v>#N/A</v>
      </c>
      <c r="Q59" t="e">
        <f t="shared" ca="1" si="92"/>
        <v>#N/A</v>
      </c>
      <c r="R59" t="e">
        <f t="shared" ca="1" si="93"/>
        <v>#N/A</v>
      </c>
      <c r="S59" t="e">
        <f t="shared" ca="1" si="94"/>
        <v>#N/A</v>
      </c>
    </row>
    <row r="60" spans="1:19" x14ac:dyDescent="0.25">
      <c r="A60" s="8">
        <f t="shared" si="77"/>
        <v>0.42447916666666619</v>
      </c>
      <c r="B60" s="4">
        <f t="shared" si="78"/>
        <v>675</v>
      </c>
      <c r="C60">
        <v>4</v>
      </c>
      <c r="D60">
        <v>57</v>
      </c>
      <c r="E60" t="e">
        <f t="shared" ca="1" si="79"/>
        <v>#N/A</v>
      </c>
      <c r="F60" t="e">
        <f t="shared" ca="1" si="80"/>
        <v>#N/A</v>
      </c>
      <c r="G60">
        <f t="shared" ca="1" si="81"/>
        <v>5359.4000000000005</v>
      </c>
      <c r="H60" s="13" t="e">
        <f t="shared" ca="1" si="82"/>
        <v>#N/A</v>
      </c>
      <c r="I60" s="13" t="e">
        <f t="shared" ca="1" si="83"/>
        <v>#N/A</v>
      </c>
      <c r="J60" s="13">
        <f t="shared" ca="1" si="84"/>
        <v>11.853333333333286</v>
      </c>
      <c r="K60" s="13" t="e">
        <f t="shared" ca="1" si="85"/>
        <v>#N/A</v>
      </c>
      <c r="L60" s="13" t="e">
        <f t="shared" ca="1" si="86"/>
        <v>#N/A</v>
      </c>
      <c r="M60" t="e">
        <f t="shared" ca="1" si="87"/>
        <v>#N/A</v>
      </c>
      <c r="N60" t="e">
        <f t="shared" ca="1" si="88"/>
        <v>#N/A</v>
      </c>
    </row>
    <row r="61" spans="1:19" x14ac:dyDescent="0.25">
      <c r="A61" s="8">
        <f t="shared" si="77"/>
        <v>0.42453703703703655</v>
      </c>
      <c r="B61" s="4">
        <f t="shared" si="78"/>
        <v>680</v>
      </c>
      <c r="C61">
        <v>4</v>
      </c>
      <c r="D61">
        <v>57</v>
      </c>
      <c r="E61" t="e">
        <f t="shared" ca="1" si="79"/>
        <v>#N/A</v>
      </c>
      <c r="F61" t="e">
        <f t="shared" ca="1" si="80"/>
        <v>#N/A</v>
      </c>
      <c r="G61">
        <f t="shared" ca="1" si="81"/>
        <v>5418.666666666667</v>
      </c>
      <c r="H61" s="13" t="e">
        <f t="shared" ca="1" si="82"/>
        <v>#N/A</v>
      </c>
      <c r="I61" s="13" t="e">
        <f t="shared" ca="1" si="83"/>
        <v>#N/A</v>
      </c>
      <c r="J61" s="13">
        <f t="shared" ca="1" si="84"/>
        <v>11.853333333333286</v>
      </c>
      <c r="K61" s="13" t="e">
        <f t="shared" ca="1" si="85"/>
        <v>#N/A</v>
      </c>
      <c r="L61" s="13" t="e">
        <f t="shared" ca="1" si="86"/>
        <v>#N/A</v>
      </c>
      <c r="M61" t="e">
        <f t="shared" ca="1" si="87"/>
        <v>#N/A</v>
      </c>
      <c r="N61" t="e">
        <f t="shared" ca="1" si="88"/>
        <v>#N/A</v>
      </c>
    </row>
    <row r="62" spans="1:19" x14ac:dyDescent="0.25">
      <c r="A62" s="8">
        <f t="shared" si="77"/>
        <v>0.42459490740740691</v>
      </c>
      <c r="B62" s="4">
        <f t="shared" si="78"/>
        <v>685</v>
      </c>
      <c r="C62">
        <v>4</v>
      </c>
      <c r="D62">
        <v>57</v>
      </c>
      <c r="E62" t="e">
        <f t="shared" ca="1" si="79"/>
        <v>#N/A</v>
      </c>
      <c r="F62" t="e">
        <f t="shared" ca="1" si="80"/>
        <v>#N/A</v>
      </c>
      <c r="G62">
        <f t="shared" ca="1" si="81"/>
        <v>5477.9333333333334</v>
      </c>
      <c r="H62" s="13" t="e">
        <f t="shared" ca="1" si="82"/>
        <v>#N/A</v>
      </c>
      <c r="I62" s="13" t="e">
        <f t="shared" ca="1" si="83"/>
        <v>#N/A</v>
      </c>
      <c r="J62" s="13">
        <f t="shared" ca="1" si="84"/>
        <v>11.853333333333467</v>
      </c>
      <c r="K62" s="13" t="e">
        <f t="shared" ca="1" si="85"/>
        <v>#N/A</v>
      </c>
      <c r="L62" s="13" t="e">
        <f t="shared" ca="1" si="86"/>
        <v>#N/A</v>
      </c>
      <c r="M62" t="e">
        <f t="shared" ca="1" si="87"/>
        <v>#N/A</v>
      </c>
      <c r="N62" t="e">
        <f t="shared" ca="1" si="88"/>
        <v>#N/A</v>
      </c>
    </row>
    <row r="63" spans="1:19" x14ac:dyDescent="0.25">
      <c r="A63" s="8">
        <f t="shared" si="77"/>
        <v>0.42465277777777727</v>
      </c>
      <c r="B63" s="4">
        <f t="shared" si="78"/>
        <v>690</v>
      </c>
      <c r="C63">
        <v>4</v>
      </c>
      <c r="D63">
        <v>57</v>
      </c>
      <c r="E63" t="e">
        <f t="shared" ca="1" si="79"/>
        <v>#N/A</v>
      </c>
      <c r="F63" t="e">
        <f t="shared" ca="1" si="80"/>
        <v>#N/A</v>
      </c>
      <c r="G63">
        <f t="shared" ca="1" si="81"/>
        <v>5537.2000000000007</v>
      </c>
      <c r="H63" s="13" t="e">
        <f t="shared" ca="1" si="82"/>
        <v>#N/A</v>
      </c>
      <c r="I63" s="13" t="e">
        <f t="shared" ca="1" si="83"/>
        <v>#N/A</v>
      </c>
      <c r="J63" s="13">
        <f t="shared" ca="1" si="84"/>
        <v>11.853333333333286</v>
      </c>
      <c r="K63" s="13" t="e">
        <f t="shared" ca="1" si="85"/>
        <v>#N/A</v>
      </c>
      <c r="L63" s="13" t="e">
        <f t="shared" ca="1" si="86"/>
        <v>#N/A</v>
      </c>
      <c r="M63" t="e">
        <f t="shared" ca="1" si="87"/>
        <v>#N/A</v>
      </c>
      <c r="N63" t="e">
        <f t="shared" ca="1" si="88"/>
        <v>#N/A</v>
      </c>
    </row>
    <row r="64" spans="1:19" x14ac:dyDescent="0.25">
      <c r="A64" s="8">
        <f t="shared" si="77"/>
        <v>0.42471064814814763</v>
      </c>
      <c r="B64" s="4">
        <f t="shared" si="78"/>
        <v>695</v>
      </c>
      <c r="C64">
        <v>4</v>
      </c>
      <c r="D64">
        <v>57</v>
      </c>
      <c r="E64" t="e">
        <f t="shared" ca="1" si="79"/>
        <v>#N/A</v>
      </c>
      <c r="F64" t="e">
        <f t="shared" ca="1" si="80"/>
        <v>#N/A</v>
      </c>
      <c r="G64">
        <f t="shared" ca="1" si="81"/>
        <v>5596.4666666666672</v>
      </c>
      <c r="H64" s="13" t="e">
        <f t="shared" ca="1" si="82"/>
        <v>#N/A</v>
      </c>
      <c r="I64" s="13" t="e">
        <f t="shared" ca="1" si="83"/>
        <v>#N/A</v>
      </c>
      <c r="J64" s="13">
        <f t="shared" ca="1" si="84"/>
        <v>11.853333333333286</v>
      </c>
      <c r="K64" s="13" t="e">
        <f t="shared" ca="1" si="85"/>
        <v>#N/A</v>
      </c>
      <c r="L64" s="13" t="e">
        <f t="shared" ca="1" si="86"/>
        <v>#N/A</v>
      </c>
      <c r="M64" t="e">
        <f t="shared" ca="1" si="87"/>
        <v>#N/A</v>
      </c>
      <c r="N64" t="e">
        <f t="shared" ca="1" si="88"/>
        <v>#N/A</v>
      </c>
    </row>
    <row r="65" spans="1:14" x14ac:dyDescent="0.25">
      <c r="A65" s="8">
        <f t="shared" ref="A65:A66" si="97">A64+5/24/3600</f>
        <v>0.42476851851851799</v>
      </c>
      <c r="B65" s="4">
        <f t="shared" ref="B65:B66" si="98">B64+SECOND(A65-A64)</f>
        <v>700</v>
      </c>
      <c r="C65">
        <v>4</v>
      </c>
      <c r="D65">
        <v>57</v>
      </c>
      <c r="E65" t="e">
        <f t="shared" ref="E65:E66" ca="1" si="99">INDIRECT("E$"&amp;C65)+INDIRECT("H$"&amp;C65)*($B65-INDIRECT("B$"&amp;D65))</f>
        <v>#N/A</v>
      </c>
      <c r="F65" t="e">
        <f t="shared" ref="F65:F66" ca="1" si="100">INDIRECT("F$"&amp;C65)+INDIRECT("I$"&amp;C65)*($B65-INDIRECT("B$"&amp;D65))</f>
        <v>#N/A</v>
      </c>
      <c r="G65">
        <f t="shared" ref="G65:G66" ca="1" si="101">INDIRECT("G$"&amp;C65)+INDIRECT("J$"&amp;C65)*($B65-INDIRECT("B$"&amp;D65))</f>
        <v>5655.7333333333336</v>
      </c>
      <c r="H65" s="13" t="e">
        <f t="shared" ref="H65:H66" ca="1" si="102">(E66-E65)/($B66-$B65)</f>
        <v>#N/A</v>
      </c>
      <c r="I65" s="13" t="e">
        <f t="shared" ref="I65:I66" ca="1" si="103">(F66-F65)/($B66-$B65)</f>
        <v>#N/A</v>
      </c>
      <c r="J65" s="13">
        <f t="shared" ref="J65:J66" ca="1" si="104">(G66-G65)/($B66-$B65)</f>
        <v>11.853333333333286</v>
      </c>
      <c r="K65" s="13" t="e">
        <f t="shared" ref="K65:K66" ca="1" si="105">SQRT(H65*H65+I65*I65)</f>
        <v>#N/A</v>
      </c>
      <c r="L65" s="13" t="e">
        <f t="shared" ref="L65:L66" ca="1" si="106">DEGREES(ATAN2(I65,H65))</f>
        <v>#N/A</v>
      </c>
      <c r="M65" t="e">
        <f t="shared" ref="M65:M66" ca="1" si="107">INDIRECT("M$"&amp;C65)+INDIRECT("O$"&amp;C65)*($B65-INDIRECT("B$"&amp;D65))</f>
        <v>#N/A</v>
      </c>
      <c r="N65" t="e">
        <f t="shared" ref="N65:N66" ca="1" si="108">INDIRECT("N$"&amp;C65)+INDIRECT("P$"&amp;C65)*($B65-INDIRECT("B$"&amp;D65))</f>
        <v>#N/A</v>
      </c>
    </row>
    <row r="66" spans="1:14" x14ac:dyDescent="0.25">
      <c r="A66" s="8">
        <f t="shared" si="97"/>
        <v>0.42482638888888835</v>
      </c>
      <c r="B66" s="4">
        <f t="shared" si="98"/>
        <v>705</v>
      </c>
      <c r="C66">
        <v>4</v>
      </c>
      <c r="D66">
        <v>57</v>
      </c>
      <c r="E66" t="e">
        <f t="shared" ca="1" si="99"/>
        <v>#N/A</v>
      </c>
      <c r="F66" t="e">
        <f t="shared" ca="1" si="100"/>
        <v>#N/A</v>
      </c>
      <c r="G66">
        <f t="shared" ca="1" si="101"/>
        <v>5715</v>
      </c>
      <c r="H66" s="13" t="e">
        <f t="shared" ca="1" si="102"/>
        <v>#N/A</v>
      </c>
      <c r="I66" s="13" t="e">
        <f t="shared" ca="1" si="103"/>
        <v>#N/A</v>
      </c>
      <c r="J66" s="13">
        <f t="shared" ca="1" si="104"/>
        <v>11.853333333333286</v>
      </c>
      <c r="K66" s="13" t="e">
        <f t="shared" ca="1" si="105"/>
        <v>#N/A</v>
      </c>
      <c r="L66" s="13" t="e">
        <f t="shared" ca="1" si="106"/>
        <v>#N/A</v>
      </c>
      <c r="M66" t="e">
        <f t="shared" ca="1" si="107"/>
        <v>#N/A</v>
      </c>
      <c r="N66" t="e">
        <f t="shared" ca="1" si="108"/>
        <v>#N/A</v>
      </c>
    </row>
    <row r="67" spans="1:14" x14ac:dyDescent="0.25">
      <c r="A67" s="8">
        <f t="shared" ref="A67:A86" si="109">A66+5/24/3600</f>
        <v>0.42488425925925871</v>
      </c>
      <c r="B67" s="4">
        <f t="shared" ref="B67:B86" si="110">B66+SECOND(A67-A66)</f>
        <v>710</v>
      </c>
      <c r="C67">
        <v>4</v>
      </c>
      <c r="D67">
        <v>57</v>
      </c>
      <c r="E67" t="e">
        <f t="shared" ref="E67:E86" ca="1" si="111">INDIRECT("E$"&amp;C67)+INDIRECT("H$"&amp;C67)*($B67-INDIRECT("B$"&amp;D67))</f>
        <v>#N/A</v>
      </c>
      <c r="F67" t="e">
        <f t="shared" ref="F67:F86" ca="1" si="112">INDIRECT("F$"&amp;C67)+INDIRECT("I$"&amp;C67)*($B67-INDIRECT("B$"&amp;D67))</f>
        <v>#N/A</v>
      </c>
      <c r="G67">
        <f t="shared" ref="G67:G86" ca="1" si="113">INDIRECT("G$"&amp;C67)+INDIRECT("J$"&amp;C67)*($B67-INDIRECT("B$"&amp;D67))</f>
        <v>5774.2666666666664</v>
      </c>
      <c r="H67" s="13" t="e">
        <f t="shared" ref="H67:H86" ca="1" si="114">(E68-E67)/($B68-$B67)</f>
        <v>#N/A</v>
      </c>
      <c r="I67" s="13" t="e">
        <f t="shared" ref="I67:I86" ca="1" si="115">(F68-F67)/($B68-$B67)</f>
        <v>#N/A</v>
      </c>
      <c r="J67" s="13">
        <f t="shared" ref="J67:J86" ca="1" si="116">(G68-G67)/($B68-$B67)</f>
        <v>11.853333333333467</v>
      </c>
      <c r="K67" s="13" t="e">
        <f t="shared" ref="K67:K86" ca="1" si="117">SQRT(H67*H67+I67*I67)</f>
        <v>#N/A</v>
      </c>
      <c r="L67" s="13" t="e">
        <f t="shared" ref="L67:L86" ca="1" si="118">DEGREES(ATAN2(I67,H67))</f>
        <v>#N/A</v>
      </c>
      <c r="M67" t="e">
        <f t="shared" ref="M67:M86" ca="1" si="119">INDIRECT("M$"&amp;C67)+INDIRECT("O$"&amp;C67)*($B67-INDIRECT("B$"&amp;D67))</f>
        <v>#N/A</v>
      </c>
      <c r="N67" t="e">
        <f t="shared" ref="N67:N86" ca="1" si="120">INDIRECT("N$"&amp;C67)+INDIRECT("P$"&amp;C67)*($B67-INDIRECT("B$"&amp;D67))</f>
        <v>#N/A</v>
      </c>
    </row>
    <row r="68" spans="1:14" x14ac:dyDescent="0.25">
      <c r="A68" s="8">
        <f t="shared" si="109"/>
        <v>0.42494212962962907</v>
      </c>
      <c r="B68" s="4">
        <f t="shared" si="110"/>
        <v>715</v>
      </c>
      <c r="C68">
        <v>4</v>
      </c>
      <c r="D68">
        <v>57</v>
      </c>
      <c r="E68" t="e">
        <f t="shared" ca="1" si="111"/>
        <v>#N/A</v>
      </c>
      <c r="F68" t="e">
        <f t="shared" ca="1" si="112"/>
        <v>#N/A</v>
      </c>
      <c r="G68">
        <f t="shared" ca="1" si="113"/>
        <v>5833.5333333333338</v>
      </c>
      <c r="H68" s="13" t="e">
        <f t="shared" ca="1" si="114"/>
        <v>#N/A</v>
      </c>
      <c r="I68" s="13" t="e">
        <f t="shared" ca="1" si="115"/>
        <v>#N/A</v>
      </c>
      <c r="J68" s="13">
        <f t="shared" ca="1" si="116"/>
        <v>11.853333333333286</v>
      </c>
      <c r="K68" s="13" t="e">
        <f t="shared" ca="1" si="117"/>
        <v>#N/A</v>
      </c>
      <c r="L68" s="13" t="e">
        <f t="shared" ca="1" si="118"/>
        <v>#N/A</v>
      </c>
      <c r="M68" t="e">
        <f t="shared" ca="1" si="119"/>
        <v>#N/A</v>
      </c>
      <c r="N68" t="e">
        <f t="shared" ca="1" si="120"/>
        <v>#N/A</v>
      </c>
    </row>
    <row r="69" spans="1:14" x14ac:dyDescent="0.25">
      <c r="A69" s="8">
        <f t="shared" si="109"/>
        <v>0.42499999999999943</v>
      </c>
      <c r="B69" s="4">
        <f t="shared" si="110"/>
        <v>720</v>
      </c>
      <c r="C69">
        <v>4</v>
      </c>
      <c r="D69">
        <v>57</v>
      </c>
      <c r="E69" t="e">
        <f t="shared" ca="1" si="111"/>
        <v>#N/A</v>
      </c>
      <c r="F69" t="e">
        <f t="shared" ca="1" si="112"/>
        <v>#N/A</v>
      </c>
      <c r="G69">
        <f t="shared" ca="1" si="113"/>
        <v>5892.8</v>
      </c>
      <c r="H69" s="13" t="e">
        <f t="shared" ca="1" si="114"/>
        <v>#N/A</v>
      </c>
      <c r="I69" s="13" t="e">
        <f t="shared" ca="1" si="115"/>
        <v>#N/A</v>
      </c>
      <c r="J69" s="13">
        <f t="shared" ca="1" si="116"/>
        <v>11.853333333333286</v>
      </c>
      <c r="K69" s="13" t="e">
        <f t="shared" ca="1" si="117"/>
        <v>#N/A</v>
      </c>
      <c r="L69" s="13" t="e">
        <f t="shared" ca="1" si="118"/>
        <v>#N/A</v>
      </c>
      <c r="M69" t="e">
        <f t="shared" ca="1" si="119"/>
        <v>#N/A</v>
      </c>
      <c r="N69" t="e">
        <f t="shared" ca="1" si="120"/>
        <v>#N/A</v>
      </c>
    </row>
    <row r="70" spans="1:14" x14ac:dyDescent="0.25">
      <c r="A70" s="8">
        <f t="shared" si="109"/>
        <v>0.42505787037036979</v>
      </c>
      <c r="B70" s="4">
        <f t="shared" si="110"/>
        <v>725</v>
      </c>
      <c r="C70">
        <v>4</v>
      </c>
      <c r="D70">
        <v>57</v>
      </c>
      <c r="E70" t="e">
        <f t="shared" ca="1" si="111"/>
        <v>#N/A</v>
      </c>
      <c r="F70" t="e">
        <f t="shared" ca="1" si="112"/>
        <v>#N/A</v>
      </c>
      <c r="G70">
        <f t="shared" ca="1" si="113"/>
        <v>5952.0666666666666</v>
      </c>
      <c r="H70" s="13" t="e">
        <f t="shared" ca="1" si="114"/>
        <v>#N/A</v>
      </c>
      <c r="I70" s="13" t="e">
        <f t="shared" ca="1" si="115"/>
        <v>#N/A</v>
      </c>
      <c r="J70" s="13">
        <f t="shared" ca="1" si="116"/>
        <v>11.853333333333467</v>
      </c>
      <c r="K70" s="13" t="e">
        <f t="shared" ca="1" si="117"/>
        <v>#N/A</v>
      </c>
      <c r="L70" s="13" t="e">
        <f t="shared" ca="1" si="118"/>
        <v>#N/A</v>
      </c>
      <c r="M70" t="e">
        <f t="shared" ca="1" si="119"/>
        <v>#N/A</v>
      </c>
      <c r="N70" t="e">
        <f t="shared" ca="1" si="120"/>
        <v>#N/A</v>
      </c>
    </row>
    <row r="71" spans="1:14" x14ac:dyDescent="0.25">
      <c r="A71" s="8">
        <f t="shared" si="109"/>
        <v>0.42511574074074016</v>
      </c>
      <c r="B71" s="4">
        <f t="shared" si="110"/>
        <v>730</v>
      </c>
      <c r="C71">
        <v>4</v>
      </c>
      <c r="D71">
        <v>57</v>
      </c>
      <c r="E71" t="e">
        <f t="shared" ca="1" si="111"/>
        <v>#N/A</v>
      </c>
      <c r="F71" t="e">
        <f t="shared" ca="1" si="112"/>
        <v>#N/A</v>
      </c>
      <c r="G71">
        <f t="shared" ca="1" si="113"/>
        <v>6011.3333333333339</v>
      </c>
      <c r="H71" s="13" t="e">
        <f t="shared" ca="1" si="114"/>
        <v>#N/A</v>
      </c>
      <c r="I71" s="13" t="e">
        <f t="shared" ca="1" si="115"/>
        <v>#N/A</v>
      </c>
      <c r="J71" s="13">
        <f t="shared" ca="1" si="116"/>
        <v>11.853333333333286</v>
      </c>
      <c r="K71" s="13" t="e">
        <f t="shared" ca="1" si="117"/>
        <v>#N/A</v>
      </c>
      <c r="L71" s="13" t="e">
        <f t="shared" ca="1" si="118"/>
        <v>#N/A</v>
      </c>
      <c r="M71" t="e">
        <f t="shared" ca="1" si="119"/>
        <v>#N/A</v>
      </c>
      <c r="N71" t="e">
        <f t="shared" ca="1" si="120"/>
        <v>#N/A</v>
      </c>
    </row>
    <row r="72" spans="1:14" x14ac:dyDescent="0.25">
      <c r="A72" s="8">
        <f t="shared" si="109"/>
        <v>0.42517361111111052</v>
      </c>
      <c r="B72" s="4">
        <f t="shared" si="110"/>
        <v>735</v>
      </c>
      <c r="C72">
        <v>4</v>
      </c>
      <c r="D72">
        <v>57</v>
      </c>
      <c r="E72" t="e">
        <f t="shared" ca="1" si="111"/>
        <v>#N/A</v>
      </c>
      <c r="F72" t="e">
        <f t="shared" ca="1" si="112"/>
        <v>#N/A</v>
      </c>
      <c r="G72">
        <f t="shared" ca="1" si="113"/>
        <v>6070.6</v>
      </c>
      <c r="H72" s="13" t="e">
        <f t="shared" ca="1" si="114"/>
        <v>#N/A</v>
      </c>
      <c r="I72" s="13" t="e">
        <f t="shared" ca="1" si="115"/>
        <v>#N/A</v>
      </c>
      <c r="J72" s="13">
        <f t="shared" ca="1" si="116"/>
        <v>11.853333333333286</v>
      </c>
      <c r="K72" s="13" t="e">
        <f t="shared" ca="1" si="117"/>
        <v>#N/A</v>
      </c>
      <c r="L72" s="13" t="e">
        <f t="shared" ca="1" si="118"/>
        <v>#N/A</v>
      </c>
      <c r="M72" t="e">
        <f t="shared" ca="1" si="119"/>
        <v>#N/A</v>
      </c>
      <c r="N72" t="e">
        <f t="shared" ca="1" si="120"/>
        <v>#N/A</v>
      </c>
    </row>
    <row r="73" spans="1:14" x14ac:dyDescent="0.25">
      <c r="A73" s="8">
        <f t="shared" si="109"/>
        <v>0.42523148148148088</v>
      </c>
      <c r="B73" s="4">
        <f t="shared" si="110"/>
        <v>740</v>
      </c>
      <c r="C73">
        <v>4</v>
      </c>
      <c r="D73">
        <v>57</v>
      </c>
      <c r="E73" t="e">
        <f t="shared" ca="1" si="111"/>
        <v>#N/A</v>
      </c>
      <c r="F73" t="e">
        <f t="shared" ca="1" si="112"/>
        <v>#N/A</v>
      </c>
      <c r="G73">
        <f t="shared" ca="1" si="113"/>
        <v>6129.8666666666668</v>
      </c>
      <c r="H73" s="13" t="e">
        <f t="shared" ca="1" si="114"/>
        <v>#N/A</v>
      </c>
      <c r="I73" s="13" t="e">
        <f t="shared" ca="1" si="115"/>
        <v>#N/A</v>
      </c>
      <c r="J73" s="13">
        <f t="shared" ca="1" si="116"/>
        <v>11.853333333333286</v>
      </c>
      <c r="K73" s="13" t="e">
        <f t="shared" ca="1" si="117"/>
        <v>#N/A</v>
      </c>
      <c r="L73" s="13" t="e">
        <f t="shared" ca="1" si="118"/>
        <v>#N/A</v>
      </c>
      <c r="M73" t="e">
        <f t="shared" ca="1" si="119"/>
        <v>#N/A</v>
      </c>
      <c r="N73" t="e">
        <f t="shared" ca="1" si="120"/>
        <v>#N/A</v>
      </c>
    </row>
    <row r="74" spans="1:14" x14ac:dyDescent="0.25">
      <c r="A74" s="8">
        <f t="shared" si="109"/>
        <v>0.42528935185185124</v>
      </c>
      <c r="B74" s="4">
        <f t="shared" si="110"/>
        <v>745</v>
      </c>
      <c r="C74">
        <v>4</v>
      </c>
      <c r="D74">
        <v>57</v>
      </c>
      <c r="E74" t="e">
        <f t="shared" ca="1" si="111"/>
        <v>#N/A</v>
      </c>
      <c r="F74" t="e">
        <f t="shared" ca="1" si="112"/>
        <v>#N/A</v>
      </c>
      <c r="G74">
        <f t="shared" ca="1" si="113"/>
        <v>6189.1333333333332</v>
      </c>
      <c r="H74" s="13" t="e">
        <f t="shared" ca="1" si="114"/>
        <v>#N/A</v>
      </c>
      <c r="I74" s="13" t="e">
        <f t="shared" ca="1" si="115"/>
        <v>#N/A</v>
      </c>
      <c r="J74" s="13">
        <f t="shared" ca="1" si="116"/>
        <v>11.853333333333286</v>
      </c>
      <c r="K74" s="13" t="e">
        <f t="shared" ca="1" si="117"/>
        <v>#N/A</v>
      </c>
      <c r="L74" s="13" t="e">
        <f t="shared" ca="1" si="118"/>
        <v>#N/A</v>
      </c>
      <c r="M74" t="e">
        <f t="shared" ca="1" si="119"/>
        <v>#N/A</v>
      </c>
      <c r="N74" t="e">
        <f t="shared" ca="1" si="120"/>
        <v>#N/A</v>
      </c>
    </row>
    <row r="75" spans="1:14" x14ac:dyDescent="0.25">
      <c r="A75" s="8">
        <f t="shared" si="109"/>
        <v>0.4253472222222216</v>
      </c>
      <c r="B75" s="4">
        <f t="shared" si="110"/>
        <v>750</v>
      </c>
      <c r="C75">
        <v>4</v>
      </c>
      <c r="D75">
        <v>57</v>
      </c>
      <c r="E75" t="e">
        <f t="shared" ca="1" si="111"/>
        <v>#N/A</v>
      </c>
      <c r="F75" t="e">
        <f t="shared" ca="1" si="112"/>
        <v>#N/A</v>
      </c>
      <c r="G75">
        <f t="shared" ca="1" si="113"/>
        <v>6248.4</v>
      </c>
      <c r="H75" s="13" t="e">
        <f t="shared" ca="1" si="114"/>
        <v>#N/A</v>
      </c>
      <c r="I75" s="13" t="e">
        <f t="shared" ca="1" si="115"/>
        <v>#N/A</v>
      </c>
      <c r="J75" s="13">
        <f t="shared" ca="1" si="116"/>
        <v>11.853333333333467</v>
      </c>
      <c r="K75" s="13" t="e">
        <f t="shared" ca="1" si="117"/>
        <v>#N/A</v>
      </c>
      <c r="L75" s="13" t="e">
        <f t="shared" ca="1" si="118"/>
        <v>#N/A</v>
      </c>
      <c r="M75" t="e">
        <f t="shared" ca="1" si="119"/>
        <v>#N/A</v>
      </c>
      <c r="N75" t="e">
        <f t="shared" ca="1" si="120"/>
        <v>#N/A</v>
      </c>
    </row>
    <row r="76" spans="1:14" x14ac:dyDescent="0.25">
      <c r="A76" s="8">
        <f t="shared" si="109"/>
        <v>0.42540509259259196</v>
      </c>
      <c r="B76" s="4">
        <f t="shared" si="110"/>
        <v>755</v>
      </c>
      <c r="C76">
        <v>4</v>
      </c>
      <c r="D76">
        <v>57</v>
      </c>
      <c r="E76" t="e">
        <f t="shared" ca="1" si="111"/>
        <v>#N/A</v>
      </c>
      <c r="F76" t="e">
        <f t="shared" ca="1" si="112"/>
        <v>#N/A</v>
      </c>
      <c r="G76">
        <f t="shared" ca="1" si="113"/>
        <v>6307.666666666667</v>
      </c>
      <c r="H76" s="13" t="e">
        <f t="shared" ca="1" si="114"/>
        <v>#N/A</v>
      </c>
      <c r="I76" s="13" t="e">
        <f t="shared" ca="1" si="115"/>
        <v>#N/A</v>
      </c>
      <c r="J76" s="13">
        <f t="shared" ca="1" si="116"/>
        <v>11.853333333333286</v>
      </c>
      <c r="K76" s="13" t="e">
        <f t="shared" ca="1" si="117"/>
        <v>#N/A</v>
      </c>
      <c r="L76" s="13" t="e">
        <f t="shared" ca="1" si="118"/>
        <v>#N/A</v>
      </c>
      <c r="M76" t="e">
        <f t="shared" ca="1" si="119"/>
        <v>#N/A</v>
      </c>
      <c r="N76" t="e">
        <f t="shared" ca="1" si="120"/>
        <v>#N/A</v>
      </c>
    </row>
    <row r="77" spans="1:14" x14ac:dyDescent="0.25">
      <c r="A77" s="8">
        <f t="shared" si="109"/>
        <v>0.42546296296296232</v>
      </c>
      <c r="B77" s="4">
        <f t="shared" si="110"/>
        <v>760</v>
      </c>
      <c r="C77">
        <v>4</v>
      </c>
      <c r="D77">
        <v>57</v>
      </c>
      <c r="E77" t="e">
        <f t="shared" ca="1" si="111"/>
        <v>#N/A</v>
      </c>
      <c r="F77" t="e">
        <f t="shared" ca="1" si="112"/>
        <v>#N/A</v>
      </c>
      <c r="G77">
        <f t="shared" ca="1" si="113"/>
        <v>6366.9333333333334</v>
      </c>
      <c r="H77" s="13" t="e">
        <f t="shared" ca="1" si="114"/>
        <v>#N/A</v>
      </c>
      <c r="I77" s="13" t="e">
        <f t="shared" ca="1" si="115"/>
        <v>#N/A</v>
      </c>
      <c r="J77" s="13">
        <f t="shared" ca="1" si="116"/>
        <v>11.853333333333286</v>
      </c>
      <c r="K77" s="13" t="e">
        <f t="shared" ca="1" si="117"/>
        <v>#N/A</v>
      </c>
      <c r="L77" s="13" t="e">
        <f t="shared" ca="1" si="118"/>
        <v>#N/A</v>
      </c>
      <c r="M77" t="e">
        <f t="shared" ca="1" si="119"/>
        <v>#N/A</v>
      </c>
      <c r="N77" t="e">
        <f t="shared" ca="1" si="120"/>
        <v>#N/A</v>
      </c>
    </row>
    <row r="78" spans="1:14" x14ac:dyDescent="0.25">
      <c r="A78" s="8">
        <f t="shared" si="109"/>
        <v>0.42552083333333268</v>
      </c>
      <c r="B78" s="4">
        <f t="shared" si="110"/>
        <v>765</v>
      </c>
      <c r="C78">
        <v>4</v>
      </c>
      <c r="D78">
        <v>57</v>
      </c>
      <c r="E78" t="e">
        <f t="shared" ca="1" si="111"/>
        <v>#N/A</v>
      </c>
      <c r="F78" t="e">
        <f t="shared" ca="1" si="112"/>
        <v>#N/A</v>
      </c>
      <c r="G78">
        <f t="shared" ca="1" si="113"/>
        <v>6426.2</v>
      </c>
      <c r="H78" s="13" t="e">
        <f t="shared" ca="1" si="114"/>
        <v>#N/A</v>
      </c>
      <c r="I78" s="13" t="e">
        <f t="shared" ca="1" si="115"/>
        <v>#N/A</v>
      </c>
      <c r="J78" s="13">
        <f t="shared" ca="1" si="116"/>
        <v>11.853333333333467</v>
      </c>
      <c r="K78" s="13" t="e">
        <f t="shared" ca="1" si="117"/>
        <v>#N/A</v>
      </c>
      <c r="L78" s="13" t="e">
        <f t="shared" ca="1" si="118"/>
        <v>#N/A</v>
      </c>
      <c r="M78" t="e">
        <f t="shared" ca="1" si="119"/>
        <v>#N/A</v>
      </c>
      <c r="N78" t="e">
        <f t="shared" ca="1" si="120"/>
        <v>#N/A</v>
      </c>
    </row>
    <row r="79" spans="1:14" x14ac:dyDescent="0.25">
      <c r="A79" s="8">
        <f t="shared" si="109"/>
        <v>0.42557870370370304</v>
      </c>
      <c r="B79" s="4">
        <f t="shared" si="110"/>
        <v>770</v>
      </c>
      <c r="C79">
        <v>4</v>
      </c>
      <c r="D79">
        <v>57</v>
      </c>
      <c r="E79" t="e">
        <f t="shared" ca="1" si="111"/>
        <v>#N/A</v>
      </c>
      <c r="F79" t="e">
        <f t="shared" ca="1" si="112"/>
        <v>#N/A</v>
      </c>
      <c r="G79">
        <f t="shared" ca="1" si="113"/>
        <v>6485.4666666666672</v>
      </c>
      <c r="H79" s="13" t="e">
        <f t="shared" ca="1" si="114"/>
        <v>#N/A</v>
      </c>
      <c r="I79" s="13" t="e">
        <f t="shared" ca="1" si="115"/>
        <v>#N/A</v>
      </c>
      <c r="J79" s="13">
        <f t="shared" ca="1" si="116"/>
        <v>11.853333333333286</v>
      </c>
      <c r="K79" s="13" t="e">
        <f t="shared" ca="1" si="117"/>
        <v>#N/A</v>
      </c>
      <c r="L79" s="13" t="e">
        <f t="shared" ca="1" si="118"/>
        <v>#N/A</v>
      </c>
      <c r="M79" t="e">
        <f t="shared" ca="1" si="119"/>
        <v>#N/A</v>
      </c>
      <c r="N79" t="e">
        <f t="shared" ca="1" si="120"/>
        <v>#N/A</v>
      </c>
    </row>
    <row r="80" spans="1:14" x14ac:dyDescent="0.25">
      <c r="A80" s="8">
        <f t="shared" si="109"/>
        <v>0.4256365740740734</v>
      </c>
      <c r="B80" s="4">
        <f t="shared" si="110"/>
        <v>775</v>
      </c>
      <c r="C80">
        <v>4</v>
      </c>
      <c r="D80">
        <v>57</v>
      </c>
      <c r="E80" t="e">
        <f t="shared" ca="1" si="111"/>
        <v>#N/A</v>
      </c>
      <c r="F80" t="e">
        <f t="shared" ca="1" si="112"/>
        <v>#N/A</v>
      </c>
      <c r="G80">
        <f t="shared" ca="1" si="113"/>
        <v>6544.7333333333336</v>
      </c>
      <c r="H80" s="13" t="e">
        <f t="shared" ca="1" si="114"/>
        <v>#N/A</v>
      </c>
      <c r="I80" s="13" t="e">
        <f t="shared" ca="1" si="115"/>
        <v>#N/A</v>
      </c>
      <c r="J80" s="13">
        <f t="shared" ca="1" si="116"/>
        <v>11.853333333333286</v>
      </c>
      <c r="K80" s="13" t="e">
        <f t="shared" ca="1" si="117"/>
        <v>#N/A</v>
      </c>
      <c r="L80" s="13" t="e">
        <f t="shared" ca="1" si="118"/>
        <v>#N/A</v>
      </c>
      <c r="M80" t="e">
        <f t="shared" ca="1" si="119"/>
        <v>#N/A</v>
      </c>
      <c r="N80" t="e">
        <f t="shared" ca="1" si="120"/>
        <v>#N/A</v>
      </c>
    </row>
    <row r="81" spans="1:19" x14ac:dyDescent="0.25">
      <c r="A81" s="8">
        <f t="shared" si="109"/>
        <v>0.42569444444444376</v>
      </c>
      <c r="B81" s="4">
        <f t="shared" si="110"/>
        <v>780</v>
      </c>
      <c r="C81">
        <v>4</v>
      </c>
      <c r="D81">
        <v>57</v>
      </c>
      <c r="E81" t="e">
        <f t="shared" ca="1" si="111"/>
        <v>#N/A</v>
      </c>
      <c r="F81" t="e">
        <f t="shared" ca="1" si="112"/>
        <v>#N/A</v>
      </c>
      <c r="G81">
        <f t="shared" ca="1" si="113"/>
        <v>6604</v>
      </c>
      <c r="H81" s="13" t="e">
        <f t="shared" ca="1" si="114"/>
        <v>#N/A</v>
      </c>
      <c r="I81" s="13" t="e">
        <f t="shared" ca="1" si="115"/>
        <v>#N/A</v>
      </c>
      <c r="J81" s="13">
        <f t="shared" ca="1" si="116"/>
        <v>11.853333333333286</v>
      </c>
      <c r="K81" s="13" t="e">
        <f t="shared" ca="1" si="117"/>
        <v>#N/A</v>
      </c>
      <c r="L81" s="13" t="e">
        <f t="shared" ca="1" si="118"/>
        <v>#N/A</v>
      </c>
      <c r="M81" t="e">
        <f t="shared" ca="1" si="119"/>
        <v>#N/A</v>
      </c>
      <c r="N81" t="e">
        <f t="shared" ca="1" si="120"/>
        <v>#N/A</v>
      </c>
    </row>
    <row r="82" spans="1:19" x14ac:dyDescent="0.25">
      <c r="A82" s="8">
        <f t="shared" si="109"/>
        <v>0.42575231481481413</v>
      </c>
      <c r="B82" s="4">
        <f t="shared" si="110"/>
        <v>785</v>
      </c>
      <c r="C82">
        <v>4</v>
      </c>
      <c r="D82">
        <v>57</v>
      </c>
      <c r="E82" t="e">
        <f t="shared" ca="1" si="111"/>
        <v>#N/A</v>
      </c>
      <c r="F82" t="e">
        <f t="shared" ca="1" si="112"/>
        <v>#N/A</v>
      </c>
      <c r="G82">
        <f t="shared" ca="1" si="113"/>
        <v>6663.2666666666664</v>
      </c>
      <c r="H82" s="13" t="e">
        <f t="shared" ca="1" si="114"/>
        <v>#N/A</v>
      </c>
      <c r="I82" s="13" t="e">
        <f t="shared" ca="1" si="115"/>
        <v>#N/A</v>
      </c>
      <c r="J82" s="13">
        <f t="shared" ca="1" si="116"/>
        <v>11.853333333333286</v>
      </c>
      <c r="K82" s="13" t="e">
        <f t="shared" ca="1" si="117"/>
        <v>#N/A</v>
      </c>
      <c r="L82" s="13" t="e">
        <f t="shared" ca="1" si="118"/>
        <v>#N/A</v>
      </c>
      <c r="M82" t="e">
        <f t="shared" ca="1" si="119"/>
        <v>#N/A</v>
      </c>
      <c r="N82" t="e">
        <f t="shared" ca="1" si="120"/>
        <v>#N/A</v>
      </c>
    </row>
    <row r="83" spans="1:19" x14ac:dyDescent="0.25">
      <c r="A83" s="8">
        <f t="shared" si="109"/>
        <v>0.42581018518518449</v>
      </c>
      <c r="B83" s="4">
        <f t="shared" si="110"/>
        <v>790</v>
      </c>
      <c r="C83">
        <v>4</v>
      </c>
      <c r="D83">
        <v>57</v>
      </c>
      <c r="E83" t="e">
        <f t="shared" ca="1" si="111"/>
        <v>#N/A</v>
      </c>
      <c r="F83" t="e">
        <f t="shared" ca="1" si="112"/>
        <v>#N/A</v>
      </c>
      <c r="G83">
        <f t="shared" ca="1" si="113"/>
        <v>6722.5333333333328</v>
      </c>
      <c r="H83" s="13" t="e">
        <f t="shared" ca="1" si="114"/>
        <v>#N/A</v>
      </c>
      <c r="I83" s="13" t="e">
        <f t="shared" ca="1" si="115"/>
        <v>#N/A</v>
      </c>
      <c r="J83" s="13">
        <f t="shared" ca="1" si="116"/>
        <v>11.853333333333467</v>
      </c>
      <c r="K83" s="13" t="e">
        <f t="shared" ca="1" si="117"/>
        <v>#N/A</v>
      </c>
      <c r="L83" s="13" t="e">
        <f t="shared" ca="1" si="118"/>
        <v>#N/A</v>
      </c>
      <c r="M83" t="e">
        <f t="shared" ca="1" si="119"/>
        <v>#N/A</v>
      </c>
      <c r="N83" t="e">
        <f t="shared" ca="1" si="120"/>
        <v>#N/A</v>
      </c>
    </row>
    <row r="84" spans="1:19" x14ac:dyDescent="0.25">
      <c r="A84" s="8">
        <f t="shared" si="109"/>
        <v>0.42586805555555485</v>
      </c>
      <c r="B84" s="4">
        <f t="shared" si="110"/>
        <v>795</v>
      </c>
      <c r="C84">
        <v>4</v>
      </c>
      <c r="D84">
        <v>57</v>
      </c>
      <c r="E84" t="e">
        <f t="shared" ca="1" si="111"/>
        <v>#N/A</v>
      </c>
      <c r="F84" t="e">
        <f t="shared" ca="1" si="112"/>
        <v>#N/A</v>
      </c>
      <c r="G84">
        <f t="shared" ca="1" si="113"/>
        <v>6781.8</v>
      </c>
      <c r="H84" s="13" t="e">
        <f t="shared" ca="1" si="114"/>
        <v>#N/A</v>
      </c>
      <c r="I84" s="13" t="e">
        <f t="shared" ca="1" si="115"/>
        <v>#N/A</v>
      </c>
      <c r="J84" s="13">
        <f t="shared" ca="1" si="116"/>
        <v>11.853333333333286</v>
      </c>
      <c r="K84" s="13" t="e">
        <f t="shared" ca="1" si="117"/>
        <v>#N/A</v>
      </c>
      <c r="L84" s="13" t="e">
        <f t="shared" ca="1" si="118"/>
        <v>#N/A</v>
      </c>
      <c r="M84" t="e">
        <f t="shared" ca="1" si="119"/>
        <v>#N/A</v>
      </c>
      <c r="N84" t="e">
        <f t="shared" ca="1" si="120"/>
        <v>#N/A</v>
      </c>
    </row>
    <row r="85" spans="1:19" x14ac:dyDescent="0.25">
      <c r="A85" s="8">
        <f t="shared" si="109"/>
        <v>0.42592592592592521</v>
      </c>
      <c r="B85" s="4">
        <f t="shared" si="110"/>
        <v>800</v>
      </c>
      <c r="C85">
        <v>4</v>
      </c>
      <c r="D85">
        <v>57</v>
      </c>
      <c r="E85" t="e">
        <f t="shared" ca="1" si="111"/>
        <v>#N/A</v>
      </c>
      <c r="F85" t="e">
        <f t="shared" ca="1" si="112"/>
        <v>#N/A</v>
      </c>
      <c r="G85">
        <f t="shared" ca="1" si="113"/>
        <v>6841.0666666666666</v>
      </c>
      <c r="H85" s="13" t="e">
        <f t="shared" ca="1" si="114"/>
        <v>#N/A</v>
      </c>
      <c r="I85" s="13" t="e">
        <f t="shared" ca="1" si="115"/>
        <v>#N/A</v>
      </c>
      <c r="J85" s="13">
        <f t="shared" ca="1" si="116"/>
        <v>11.853333333333286</v>
      </c>
      <c r="K85" s="13" t="e">
        <f t="shared" ca="1" si="117"/>
        <v>#N/A</v>
      </c>
      <c r="L85" s="13" t="e">
        <f t="shared" ca="1" si="118"/>
        <v>#N/A</v>
      </c>
      <c r="M85" t="e">
        <f t="shared" ca="1" si="119"/>
        <v>#N/A</v>
      </c>
      <c r="N85" t="e">
        <f t="shared" ca="1" si="120"/>
        <v>#N/A</v>
      </c>
    </row>
    <row r="86" spans="1:19" x14ac:dyDescent="0.25">
      <c r="A86" s="8">
        <f t="shared" si="109"/>
        <v>0.42598379629629557</v>
      </c>
      <c r="B86" s="4">
        <f t="shared" si="110"/>
        <v>805</v>
      </c>
      <c r="C86">
        <v>4</v>
      </c>
      <c r="D86">
        <v>57</v>
      </c>
      <c r="E86" t="e">
        <f t="shared" ca="1" si="111"/>
        <v>#N/A</v>
      </c>
      <c r="F86" t="e">
        <f t="shared" ca="1" si="112"/>
        <v>#N/A</v>
      </c>
      <c r="G86">
        <f t="shared" ca="1" si="113"/>
        <v>6900.333333333333</v>
      </c>
      <c r="H86" s="13" t="e">
        <f t="shared" ca="1" si="114"/>
        <v>#N/A</v>
      </c>
      <c r="I86" s="13" t="e">
        <f t="shared" ca="1" si="115"/>
        <v>#N/A</v>
      </c>
      <c r="J86" s="13">
        <f t="shared" ca="1" si="116"/>
        <v>11.853333333333467</v>
      </c>
      <c r="K86" s="13" t="e">
        <f t="shared" ca="1" si="117"/>
        <v>#N/A</v>
      </c>
      <c r="L86" s="13" t="e">
        <f t="shared" ca="1" si="118"/>
        <v>#N/A</v>
      </c>
      <c r="M86" t="e">
        <f t="shared" ca="1" si="119"/>
        <v>#N/A</v>
      </c>
      <c r="N86" t="e">
        <f t="shared" ca="1" si="120"/>
        <v>#N/A</v>
      </c>
    </row>
    <row r="87" spans="1:19" x14ac:dyDescent="0.25">
      <c r="A87" s="8">
        <f t="shared" ref="A87:A97" si="121">A86+5/24/3600</f>
        <v>0.42604166666666593</v>
      </c>
      <c r="B87" s="4">
        <f t="shared" ref="B87:B97" si="122">B86+SECOND(A87-A86)</f>
        <v>810</v>
      </c>
      <c r="C87">
        <v>4</v>
      </c>
      <c r="D87">
        <v>57</v>
      </c>
      <c r="E87" t="e">
        <f t="shared" ref="E87:E97" ca="1" si="123">INDIRECT("E$"&amp;C87)+INDIRECT("H$"&amp;C87)*($B87-INDIRECT("B$"&amp;D87))</f>
        <v>#N/A</v>
      </c>
      <c r="F87" t="e">
        <f t="shared" ref="F87:F97" ca="1" si="124">INDIRECT("F$"&amp;C87)+INDIRECT("I$"&amp;C87)*($B87-INDIRECT("B$"&amp;D87))</f>
        <v>#N/A</v>
      </c>
      <c r="G87">
        <f t="shared" ref="G87:G97" ca="1" si="125">INDIRECT("G$"&amp;C87)+INDIRECT("J$"&amp;C87)*($B87-INDIRECT("B$"&amp;D87))</f>
        <v>6959.6</v>
      </c>
      <c r="H87" s="13" t="e">
        <f t="shared" ref="H87:H97" ca="1" si="126">(E88-E87)/($B88-$B87)</f>
        <v>#N/A</v>
      </c>
      <c r="I87" s="13" t="e">
        <f t="shared" ref="I87:I97" ca="1" si="127">(F88-F87)/($B88-$B87)</f>
        <v>#N/A</v>
      </c>
      <c r="J87" s="13">
        <f t="shared" ref="J87:J97" ca="1" si="128">(G88-G87)/($B88-$B87)</f>
        <v>11.853333333333286</v>
      </c>
      <c r="K87" s="13" t="e">
        <f t="shared" ref="K87:K97" ca="1" si="129">SQRT(H87*H87+I87*I87)</f>
        <v>#N/A</v>
      </c>
      <c r="L87" s="13" t="e">
        <f t="shared" ref="L87:L97" ca="1" si="130">DEGREES(ATAN2(I87,H87))</f>
        <v>#N/A</v>
      </c>
      <c r="M87" t="e">
        <f t="shared" ref="M87:M92" ca="1" si="131">INDIRECT("M$"&amp;C87)+INDIRECT("O$"&amp;C87)*($B87-INDIRECT("B$"&amp;D87))</f>
        <v>#N/A</v>
      </c>
      <c r="N87" t="e">
        <f t="shared" ref="N87:N92" ca="1" si="132">INDIRECT("N$"&amp;C87)+INDIRECT("P$"&amp;C87)*($B87-INDIRECT("B$"&amp;D87))</f>
        <v>#N/A</v>
      </c>
    </row>
    <row r="88" spans="1:19" x14ac:dyDescent="0.25">
      <c r="A88" s="8">
        <f t="shared" si="121"/>
        <v>0.42609953703703629</v>
      </c>
      <c r="B88" s="4">
        <f t="shared" si="122"/>
        <v>815</v>
      </c>
      <c r="C88">
        <v>4</v>
      </c>
      <c r="D88">
        <v>57</v>
      </c>
      <c r="E88" t="e">
        <f t="shared" ca="1" si="123"/>
        <v>#N/A</v>
      </c>
      <c r="F88" t="e">
        <f t="shared" ca="1" si="124"/>
        <v>#N/A</v>
      </c>
      <c r="G88">
        <f t="shared" ca="1" si="125"/>
        <v>7018.8666666666668</v>
      </c>
      <c r="H88" s="13" t="e">
        <f t="shared" ca="1" si="126"/>
        <v>#N/A</v>
      </c>
      <c r="I88" s="13" t="e">
        <f t="shared" ca="1" si="127"/>
        <v>#N/A</v>
      </c>
      <c r="J88" s="13">
        <f t="shared" ca="1" si="128"/>
        <v>11.853333333333286</v>
      </c>
      <c r="K88" s="13" t="e">
        <f t="shared" ca="1" si="129"/>
        <v>#N/A</v>
      </c>
      <c r="L88" s="13" t="e">
        <f t="shared" ca="1" si="130"/>
        <v>#N/A</v>
      </c>
      <c r="M88" t="e">
        <f t="shared" ca="1" si="131"/>
        <v>#N/A</v>
      </c>
      <c r="N88" t="e">
        <f t="shared" ca="1" si="132"/>
        <v>#N/A</v>
      </c>
    </row>
    <row r="89" spans="1:19" x14ac:dyDescent="0.25">
      <c r="A89" s="8">
        <f t="shared" si="121"/>
        <v>0.42615740740740665</v>
      </c>
      <c r="B89" s="4">
        <f t="shared" si="122"/>
        <v>820</v>
      </c>
      <c r="C89">
        <v>4</v>
      </c>
      <c r="D89">
        <v>57</v>
      </c>
      <c r="E89" t="e">
        <f t="shared" ca="1" si="123"/>
        <v>#N/A</v>
      </c>
      <c r="F89" t="e">
        <f t="shared" ca="1" si="124"/>
        <v>#N/A</v>
      </c>
      <c r="G89">
        <f t="shared" ca="1" si="125"/>
        <v>7078.1333333333332</v>
      </c>
      <c r="H89" s="13" t="e">
        <f t="shared" ca="1" si="126"/>
        <v>#N/A</v>
      </c>
      <c r="I89" s="13" t="e">
        <f t="shared" ca="1" si="127"/>
        <v>#N/A</v>
      </c>
      <c r="J89" s="13">
        <f t="shared" ca="1" si="128"/>
        <v>11.853333333333286</v>
      </c>
      <c r="K89" s="13" t="e">
        <f t="shared" ca="1" si="129"/>
        <v>#N/A</v>
      </c>
      <c r="L89" s="13" t="e">
        <f t="shared" ca="1" si="130"/>
        <v>#N/A</v>
      </c>
      <c r="M89" t="e">
        <f t="shared" ca="1" si="131"/>
        <v>#N/A</v>
      </c>
      <c r="N89" t="e">
        <f t="shared" ca="1" si="132"/>
        <v>#N/A</v>
      </c>
    </row>
    <row r="90" spans="1:19" x14ac:dyDescent="0.25">
      <c r="A90" s="8">
        <f t="shared" si="121"/>
        <v>0.42621527777777701</v>
      </c>
      <c r="B90" s="4">
        <f t="shared" si="122"/>
        <v>825</v>
      </c>
      <c r="C90">
        <v>4</v>
      </c>
      <c r="D90">
        <v>57</v>
      </c>
      <c r="E90" t="e">
        <f t="shared" ca="1" si="123"/>
        <v>#N/A</v>
      </c>
      <c r="F90" t="e">
        <f t="shared" ca="1" si="124"/>
        <v>#N/A</v>
      </c>
      <c r="G90">
        <f t="shared" ca="1" si="125"/>
        <v>7137.4</v>
      </c>
      <c r="H90" s="13" t="e">
        <f t="shared" ca="1" si="126"/>
        <v>#N/A</v>
      </c>
      <c r="I90" s="13" t="e">
        <f t="shared" ca="1" si="127"/>
        <v>#N/A</v>
      </c>
      <c r="J90" s="13">
        <f t="shared" ca="1" si="128"/>
        <v>11.853333333333286</v>
      </c>
      <c r="K90" s="13" t="e">
        <f t="shared" ca="1" si="129"/>
        <v>#N/A</v>
      </c>
      <c r="L90" s="13" t="e">
        <f t="shared" ca="1" si="130"/>
        <v>#N/A</v>
      </c>
      <c r="M90" t="e">
        <f t="shared" ca="1" si="131"/>
        <v>#N/A</v>
      </c>
      <c r="N90" t="e">
        <f t="shared" ca="1" si="132"/>
        <v>#N/A</v>
      </c>
      <c r="P90" t="s">
        <v>21</v>
      </c>
      <c r="Q90" t="s">
        <v>30</v>
      </c>
      <c r="R90" t="s">
        <v>50</v>
      </c>
      <c r="S90" t="s">
        <v>51</v>
      </c>
    </row>
    <row r="91" spans="1:19" x14ac:dyDescent="0.25">
      <c r="A91" s="8">
        <f t="shared" si="121"/>
        <v>0.42627314814814737</v>
      </c>
      <c r="B91" s="4">
        <f t="shared" si="122"/>
        <v>830</v>
      </c>
      <c r="C91">
        <v>4</v>
      </c>
      <c r="D91">
        <v>57</v>
      </c>
      <c r="E91" t="e">
        <f t="shared" ca="1" si="123"/>
        <v>#N/A</v>
      </c>
      <c r="F91" t="e">
        <f t="shared" ca="1" si="124"/>
        <v>#N/A</v>
      </c>
      <c r="G91">
        <f t="shared" ca="1" si="125"/>
        <v>7196.6666666666661</v>
      </c>
      <c r="H91" s="13" t="e">
        <f t="shared" ca="1" si="126"/>
        <v>#N/A</v>
      </c>
      <c r="I91" s="13" t="e">
        <f t="shared" ca="1" si="127"/>
        <v>#N/A</v>
      </c>
      <c r="J91" s="13">
        <f t="shared" ca="1" si="128"/>
        <v>11.853333333333286</v>
      </c>
      <c r="K91" s="13" t="e">
        <f t="shared" ca="1" si="129"/>
        <v>#N/A</v>
      </c>
      <c r="L91" s="13" t="e">
        <f t="shared" ca="1" si="130"/>
        <v>#N/A</v>
      </c>
      <c r="M91" t="e">
        <f t="shared" ca="1" si="131"/>
        <v>#N/A</v>
      </c>
      <c r="N91" t="e">
        <f t="shared" ca="1" si="132"/>
        <v>#N/A</v>
      </c>
      <c r="O91">
        <f>(B91-B91)/(B95-B91)</f>
        <v>0</v>
      </c>
      <c r="P91" t="e">
        <f ca="1">(1-$O91)*(1-$O91)*E$91+2*$O91*(1-$O91)*E$5+$O91*$O91*E$95</f>
        <v>#N/A</v>
      </c>
      <c r="Q91" t="e">
        <f ca="1">(1-$O91)*(1-$O91)*F$91+2*$O91*(1-$O91)*F$5+$O91*$O91*F$95</f>
        <v>#N/A</v>
      </c>
      <c r="R91" t="e">
        <f ca="1">(1-$O91)*(1-$O91)*M$91+2*$O91*(1-$O91)*M$5+$O91*$O91*M$95</f>
        <v>#N/A</v>
      </c>
      <c r="S91" t="e">
        <f ca="1">(1-$O91)*(1-$O91)*N$91+2*$O91*(1-$O91)*N$5+$O91*$O91*N$95</f>
        <v>#N/A</v>
      </c>
    </row>
    <row r="92" spans="1:19" x14ac:dyDescent="0.25">
      <c r="A92" s="8">
        <f t="shared" si="121"/>
        <v>0.42633101851851773</v>
      </c>
      <c r="B92" s="4">
        <f t="shared" si="122"/>
        <v>835</v>
      </c>
      <c r="C92">
        <v>4</v>
      </c>
      <c r="D92">
        <v>57</v>
      </c>
      <c r="E92" t="e">
        <f t="shared" ca="1" si="123"/>
        <v>#N/A</v>
      </c>
      <c r="F92" t="e">
        <f t="shared" ca="1" si="124"/>
        <v>#N/A</v>
      </c>
      <c r="G92">
        <f t="shared" ca="1" si="125"/>
        <v>7255.9333333333325</v>
      </c>
      <c r="H92" s="13" t="e">
        <f t="shared" ca="1" si="126"/>
        <v>#N/A</v>
      </c>
      <c r="I92" s="13" t="e">
        <f t="shared" ca="1" si="127"/>
        <v>#N/A</v>
      </c>
      <c r="J92" s="13">
        <f t="shared" ca="1" si="128"/>
        <v>11.853333333333467</v>
      </c>
      <c r="K92" s="13" t="e">
        <f t="shared" ca="1" si="129"/>
        <v>#N/A</v>
      </c>
      <c r="L92" s="13" t="e">
        <f t="shared" ca="1" si="130"/>
        <v>#N/A</v>
      </c>
      <c r="M92" t="e">
        <f t="shared" ca="1" si="131"/>
        <v>#N/A</v>
      </c>
      <c r="N92" t="e">
        <f t="shared" ca="1" si="132"/>
        <v>#N/A</v>
      </c>
      <c r="O92">
        <f>(B92-B91)/(B95-B91)</f>
        <v>0.25</v>
      </c>
      <c r="P92" t="e">
        <f t="shared" ref="P92:P95" ca="1" si="133">(1-$O92)*(1-$O92)*E$91+2*$O92*(1-$O92)*E$5+$O92*$O92*E$95</f>
        <v>#N/A</v>
      </c>
      <c r="Q92" t="e">
        <f t="shared" ref="Q92:Q95" ca="1" si="134">(1-$O92)*(1-$O92)*F$91+2*$O92*(1-$O92)*F$5+$O92*$O92*F$95</f>
        <v>#N/A</v>
      </c>
      <c r="R92" t="e">
        <f t="shared" ref="R92:R95" ca="1" si="135">(1-$O92)*(1-$O92)*M$91+2*$O92*(1-$O92)*M$5+$O92*$O92*M$95</f>
        <v>#N/A</v>
      </c>
      <c r="S92" t="e">
        <f t="shared" ref="S92:S95" ca="1" si="136">(1-$O92)*(1-$O92)*N$91+2*$O92*(1-$O92)*N$5+$O92*$O92*N$95</f>
        <v>#N/A</v>
      </c>
    </row>
    <row r="93" spans="1:19" x14ac:dyDescent="0.25">
      <c r="A93" s="15">
        <f t="shared" si="121"/>
        <v>0.4263888888888881</v>
      </c>
      <c r="B93" s="4">
        <f t="shared" si="122"/>
        <v>840</v>
      </c>
      <c r="C93">
        <v>5</v>
      </c>
      <c r="D93">
        <v>93</v>
      </c>
      <c r="E93" t="e">
        <f t="shared" ca="1" si="123"/>
        <v>#N/A</v>
      </c>
      <c r="F93" t="e">
        <f t="shared" ca="1" si="124"/>
        <v>#N/A</v>
      </c>
      <c r="G93">
        <f t="shared" ca="1" si="125"/>
        <v>7315.2</v>
      </c>
      <c r="H93" s="13" t="e">
        <f t="shared" ca="1" si="126"/>
        <v>#N/A</v>
      </c>
      <c r="I93" s="13" t="e">
        <f t="shared" ca="1" si="127"/>
        <v>#N/A</v>
      </c>
      <c r="J93" s="13">
        <f t="shared" ca="1" si="128"/>
        <v>0</v>
      </c>
      <c r="K93" s="13" t="e">
        <f t="shared" ca="1" si="129"/>
        <v>#N/A</v>
      </c>
      <c r="L93" s="13" t="e">
        <f t="shared" ca="1" si="130"/>
        <v>#N/A</v>
      </c>
      <c r="M93" t="e">
        <f t="shared" ref="M93:M107" ca="1" si="137">INDIRECT("M$"&amp;C93)+INDIRECT("O$"&amp;C93)*($B93-INDIRECT("B$"&amp;D93))</f>
        <v>#N/A</v>
      </c>
      <c r="N93" t="e">
        <f t="shared" ref="N93:N107" ca="1" si="138">INDIRECT("N$"&amp;C93)+INDIRECT("P$"&amp;C93)*($B93-INDIRECT("B$"&amp;D93))</f>
        <v>#N/A</v>
      </c>
      <c r="O93">
        <f>(B93-B91)/(B95-B91)</f>
        <v>0.5</v>
      </c>
      <c r="P93" t="e">
        <f t="shared" ca="1" si="133"/>
        <v>#N/A</v>
      </c>
      <c r="Q93" t="e">
        <f t="shared" ca="1" si="134"/>
        <v>#N/A</v>
      </c>
      <c r="R93" t="e">
        <f t="shared" ca="1" si="135"/>
        <v>#N/A</v>
      </c>
      <c r="S93" t="e">
        <f t="shared" ca="1" si="136"/>
        <v>#N/A</v>
      </c>
    </row>
    <row r="94" spans="1:19" x14ac:dyDescent="0.25">
      <c r="A94" s="8">
        <f t="shared" si="121"/>
        <v>0.42644675925925846</v>
      </c>
      <c r="B94" s="4">
        <f t="shared" si="122"/>
        <v>845</v>
      </c>
      <c r="C94">
        <v>5</v>
      </c>
      <c r="D94">
        <v>93</v>
      </c>
      <c r="E94" t="e">
        <f t="shared" ca="1" si="123"/>
        <v>#N/A</v>
      </c>
      <c r="F94" t="e">
        <f t="shared" ca="1" si="124"/>
        <v>#N/A</v>
      </c>
      <c r="G94">
        <f t="shared" ca="1" si="125"/>
        <v>7315.2</v>
      </c>
      <c r="H94" s="13" t="e">
        <f t="shared" ca="1" si="126"/>
        <v>#N/A</v>
      </c>
      <c r="I94" s="13" t="e">
        <f t="shared" ca="1" si="127"/>
        <v>#N/A</v>
      </c>
      <c r="J94" s="13">
        <f t="shared" ca="1" si="128"/>
        <v>0</v>
      </c>
      <c r="K94" s="13" t="e">
        <f t="shared" ca="1" si="129"/>
        <v>#N/A</v>
      </c>
      <c r="L94" s="13" t="e">
        <f t="shared" ca="1" si="130"/>
        <v>#N/A</v>
      </c>
      <c r="M94" t="e">
        <f t="shared" ca="1" si="137"/>
        <v>#N/A</v>
      </c>
      <c r="N94" t="e">
        <f t="shared" ca="1" si="138"/>
        <v>#N/A</v>
      </c>
      <c r="O94">
        <f>(B94-B91)/(B95-B91)</f>
        <v>0.75</v>
      </c>
      <c r="P94" t="e">
        <f t="shared" ca="1" si="133"/>
        <v>#N/A</v>
      </c>
      <c r="Q94" t="e">
        <f t="shared" ca="1" si="134"/>
        <v>#N/A</v>
      </c>
      <c r="R94" t="e">
        <f t="shared" ca="1" si="135"/>
        <v>#N/A</v>
      </c>
      <c r="S94" t="e">
        <f t="shared" ca="1" si="136"/>
        <v>#N/A</v>
      </c>
    </row>
    <row r="95" spans="1:19" x14ac:dyDescent="0.25">
      <c r="A95" s="8">
        <f t="shared" si="121"/>
        <v>0.42650462962962882</v>
      </c>
      <c r="B95" s="4">
        <f t="shared" si="122"/>
        <v>850</v>
      </c>
      <c r="C95">
        <v>5</v>
      </c>
      <c r="D95">
        <v>93</v>
      </c>
      <c r="E95" t="e">
        <f t="shared" ca="1" si="123"/>
        <v>#N/A</v>
      </c>
      <c r="F95" t="e">
        <f t="shared" ca="1" si="124"/>
        <v>#N/A</v>
      </c>
      <c r="G95">
        <f t="shared" ca="1" si="125"/>
        <v>7315.2</v>
      </c>
      <c r="H95" s="13" t="e">
        <f t="shared" ca="1" si="126"/>
        <v>#N/A</v>
      </c>
      <c r="I95" s="13" t="e">
        <f t="shared" ca="1" si="127"/>
        <v>#N/A</v>
      </c>
      <c r="J95" s="13">
        <f t="shared" ca="1" si="128"/>
        <v>0</v>
      </c>
      <c r="K95" s="13" t="e">
        <f t="shared" ca="1" si="129"/>
        <v>#N/A</v>
      </c>
      <c r="L95" s="13" t="e">
        <f t="shared" ca="1" si="130"/>
        <v>#N/A</v>
      </c>
      <c r="M95" t="e">
        <f t="shared" ca="1" si="137"/>
        <v>#N/A</v>
      </c>
      <c r="N95" t="e">
        <f t="shared" ca="1" si="138"/>
        <v>#N/A</v>
      </c>
      <c r="O95">
        <f>(B95-B91)/(B95-B91)</f>
        <v>1</v>
      </c>
      <c r="P95" t="e">
        <f t="shared" ca="1" si="133"/>
        <v>#N/A</v>
      </c>
      <c r="Q95" t="e">
        <f t="shared" ca="1" si="134"/>
        <v>#N/A</v>
      </c>
      <c r="R95" t="e">
        <f t="shared" ca="1" si="135"/>
        <v>#N/A</v>
      </c>
      <c r="S95" t="e">
        <f t="shared" ca="1" si="136"/>
        <v>#N/A</v>
      </c>
    </row>
    <row r="96" spans="1:19" x14ac:dyDescent="0.25">
      <c r="A96" s="8">
        <f t="shared" si="121"/>
        <v>0.42656249999999918</v>
      </c>
      <c r="B96" s="4">
        <f t="shared" si="122"/>
        <v>855</v>
      </c>
      <c r="C96">
        <v>5</v>
      </c>
      <c r="D96">
        <v>93</v>
      </c>
      <c r="E96" t="e">
        <f t="shared" ca="1" si="123"/>
        <v>#N/A</v>
      </c>
      <c r="F96" t="e">
        <f t="shared" ca="1" si="124"/>
        <v>#N/A</v>
      </c>
      <c r="G96">
        <f t="shared" ca="1" si="125"/>
        <v>7315.2</v>
      </c>
      <c r="H96" s="13" t="e">
        <f t="shared" ca="1" si="126"/>
        <v>#N/A</v>
      </c>
      <c r="I96" s="13" t="e">
        <f t="shared" ca="1" si="127"/>
        <v>#N/A</v>
      </c>
      <c r="J96" s="13">
        <f t="shared" ca="1" si="128"/>
        <v>0</v>
      </c>
      <c r="K96" s="13" t="e">
        <f t="shared" ca="1" si="129"/>
        <v>#N/A</v>
      </c>
      <c r="L96" s="13" t="e">
        <f t="shared" ca="1" si="130"/>
        <v>#N/A</v>
      </c>
      <c r="M96" t="e">
        <f t="shared" ca="1" si="137"/>
        <v>#N/A</v>
      </c>
      <c r="N96" t="e">
        <f t="shared" ca="1" si="138"/>
        <v>#N/A</v>
      </c>
    </row>
    <row r="97" spans="1:14" x14ac:dyDescent="0.25">
      <c r="A97" s="8">
        <f t="shared" si="121"/>
        <v>0.42662037037036954</v>
      </c>
      <c r="B97" s="4">
        <f t="shared" si="122"/>
        <v>860</v>
      </c>
      <c r="C97">
        <v>5</v>
      </c>
      <c r="D97">
        <v>93</v>
      </c>
      <c r="E97" t="e">
        <f t="shared" ca="1" si="123"/>
        <v>#N/A</v>
      </c>
      <c r="F97" t="e">
        <f t="shared" ca="1" si="124"/>
        <v>#N/A</v>
      </c>
      <c r="G97">
        <f t="shared" ca="1" si="125"/>
        <v>7315.2</v>
      </c>
      <c r="H97" s="13" t="e">
        <f t="shared" ca="1" si="126"/>
        <v>#N/A</v>
      </c>
      <c r="I97" s="13" t="e">
        <f t="shared" ca="1" si="127"/>
        <v>#N/A</v>
      </c>
      <c r="J97" s="13">
        <f t="shared" ca="1" si="128"/>
        <v>0</v>
      </c>
      <c r="K97" s="13" t="e">
        <f t="shared" ca="1" si="129"/>
        <v>#N/A</v>
      </c>
      <c r="L97" s="13" t="e">
        <f t="shared" ca="1" si="130"/>
        <v>#N/A</v>
      </c>
      <c r="M97" t="e">
        <f t="shared" ca="1" si="137"/>
        <v>#N/A</v>
      </c>
      <c r="N97" t="e">
        <f t="shared" ca="1" si="138"/>
        <v>#N/A</v>
      </c>
    </row>
    <row r="98" spans="1:14" x14ac:dyDescent="0.25">
      <c r="A98" s="8">
        <f t="shared" ref="A98:A123" si="139">A97+5/24/3600</f>
        <v>0.4266782407407399</v>
      </c>
      <c r="B98" s="4">
        <f t="shared" ref="B98:B123" si="140">B97+SECOND(A98-A97)</f>
        <v>865</v>
      </c>
      <c r="C98">
        <v>5</v>
      </c>
      <c r="D98">
        <v>93</v>
      </c>
      <c r="E98" t="e">
        <f t="shared" ref="E98:E123" ca="1" si="141">INDIRECT("E$"&amp;C98)+INDIRECT("H$"&amp;C98)*($B98-INDIRECT("B$"&amp;D98))</f>
        <v>#N/A</v>
      </c>
      <c r="F98" t="e">
        <f t="shared" ref="F98:F123" ca="1" si="142">INDIRECT("F$"&amp;C98)+INDIRECT("I$"&amp;C98)*($B98-INDIRECT("B$"&amp;D98))</f>
        <v>#N/A</v>
      </c>
      <c r="G98">
        <f t="shared" ref="G98:G123" ca="1" si="143">INDIRECT("G$"&amp;C98)+INDIRECT("J$"&amp;C98)*($B98-INDIRECT("B$"&amp;D98))</f>
        <v>7315.2</v>
      </c>
      <c r="H98" s="13" t="e">
        <f t="shared" ref="H98:H123" ca="1" si="144">(E99-E98)/($B99-$B98)</f>
        <v>#N/A</v>
      </c>
      <c r="I98" s="13" t="e">
        <f t="shared" ref="I98:I123" ca="1" si="145">(F99-F98)/($B99-$B98)</f>
        <v>#N/A</v>
      </c>
      <c r="J98" s="13">
        <f t="shared" ref="J98:J123" ca="1" si="146">(G99-G98)/($B99-$B98)</f>
        <v>0</v>
      </c>
      <c r="K98" s="13" t="e">
        <f t="shared" ref="K98:K123" ca="1" si="147">SQRT(H98*H98+I98*I98)</f>
        <v>#N/A</v>
      </c>
      <c r="L98" s="13" t="e">
        <f t="shared" ref="L98:L123" ca="1" si="148">DEGREES(ATAN2(I98,H98))</f>
        <v>#N/A</v>
      </c>
      <c r="M98" t="e">
        <f t="shared" ca="1" si="137"/>
        <v>#N/A</v>
      </c>
      <c r="N98" t="e">
        <f t="shared" ca="1" si="138"/>
        <v>#N/A</v>
      </c>
    </row>
    <row r="99" spans="1:14" x14ac:dyDescent="0.25">
      <c r="A99" s="8">
        <f t="shared" si="139"/>
        <v>0.42673611111111026</v>
      </c>
      <c r="B99" s="4">
        <f t="shared" si="140"/>
        <v>870</v>
      </c>
      <c r="C99">
        <v>5</v>
      </c>
      <c r="D99">
        <v>93</v>
      </c>
      <c r="E99" t="e">
        <f t="shared" ca="1" si="141"/>
        <v>#N/A</v>
      </c>
      <c r="F99" t="e">
        <f t="shared" ca="1" si="142"/>
        <v>#N/A</v>
      </c>
      <c r="G99">
        <f t="shared" ca="1" si="143"/>
        <v>7315.2</v>
      </c>
      <c r="H99" s="13" t="e">
        <f t="shared" ca="1" si="144"/>
        <v>#N/A</v>
      </c>
      <c r="I99" s="13" t="e">
        <f t="shared" ca="1" si="145"/>
        <v>#N/A</v>
      </c>
      <c r="J99" s="13">
        <f t="shared" ca="1" si="146"/>
        <v>0</v>
      </c>
      <c r="K99" s="13" t="e">
        <f t="shared" ca="1" si="147"/>
        <v>#N/A</v>
      </c>
      <c r="L99" s="13" t="e">
        <f t="shared" ca="1" si="148"/>
        <v>#N/A</v>
      </c>
      <c r="M99" t="e">
        <f t="shared" ca="1" si="137"/>
        <v>#N/A</v>
      </c>
      <c r="N99" t="e">
        <f t="shared" ca="1" si="138"/>
        <v>#N/A</v>
      </c>
    </row>
    <row r="100" spans="1:14" x14ac:dyDescent="0.25">
      <c r="A100" s="8">
        <f t="shared" si="139"/>
        <v>0.42679398148148062</v>
      </c>
      <c r="B100" s="4">
        <f t="shared" si="140"/>
        <v>875</v>
      </c>
      <c r="C100">
        <v>5</v>
      </c>
      <c r="D100">
        <v>93</v>
      </c>
      <c r="E100" t="e">
        <f t="shared" ca="1" si="141"/>
        <v>#N/A</v>
      </c>
      <c r="F100" t="e">
        <f t="shared" ca="1" si="142"/>
        <v>#N/A</v>
      </c>
      <c r="G100">
        <f t="shared" ca="1" si="143"/>
        <v>7315.2</v>
      </c>
      <c r="H100" s="13" t="e">
        <f t="shared" ca="1" si="144"/>
        <v>#N/A</v>
      </c>
      <c r="I100" s="13" t="e">
        <f t="shared" ca="1" si="145"/>
        <v>#N/A</v>
      </c>
      <c r="J100" s="13">
        <f t="shared" ca="1" si="146"/>
        <v>0</v>
      </c>
      <c r="K100" s="13" t="e">
        <f t="shared" ca="1" si="147"/>
        <v>#N/A</v>
      </c>
      <c r="L100" s="13" t="e">
        <f t="shared" ca="1" si="148"/>
        <v>#N/A</v>
      </c>
      <c r="M100" t="e">
        <f t="shared" ca="1" si="137"/>
        <v>#N/A</v>
      </c>
      <c r="N100" t="e">
        <f t="shared" ca="1" si="138"/>
        <v>#N/A</v>
      </c>
    </row>
    <row r="101" spans="1:14" x14ac:dyDescent="0.25">
      <c r="A101" s="8">
        <f t="shared" si="139"/>
        <v>0.42685185185185098</v>
      </c>
      <c r="B101" s="4">
        <f t="shared" si="140"/>
        <v>880</v>
      </c>
      <c r="C101">
        <v>5</v>
      </c>
      <c r="D101">
        <v>93</v>
      </c>
      <c r="E101" t="e">
        <f t="shared" ca="1" si="141"/>
        <v>#N/A</v>
      </c>
      <c r="F101" t="e">
        <f t="shared" ca="1" si="142"/>
        <v>#N/A</v>
      </c>
      <c r="G101">
        <f t="shared" ca="1" si="143"/>
        <v>7315.2</v>
      </c>
      <c r="H101" s="13" t="e">
        <f t="shared" ca="1" si="144"/>
        <v>#N/A</v>
      </c>
      <c r="I101" s="13" t="e">
        <f t="shared" ca="1" si="145"/>
        <v>#N/A</v>
      </c>
      <c r="J101" s="13">
        <f t="shared" ca="1" si="146"/>
        <v>0</v>
      </c>
      <c r="K101" s="13" t="e">
        <f t="shared" ca="1" si="147"/>
        <v>#N/A</v>
      </c>
      <c r="L101" s="13" t="e">
        <f t="shared" ca="1" si="148"/>
        <v>#N/A</v>
      </c>
      <c r="M101" t="e">
        <f t="shared" ca="1" si="137"/>
        <v>#N/A</v>
      </c>
      <c r="N101" t="e">
        <f t="shared" ca="1" si="138"/>
        <v>#N/A</v>
      </c>
    </row>
    <row r="102" spans="1:14" x14ac:dyDescent="0.25">
      <c r="A102" s="8">
        <f t="shared" si="139"/>
        <v>0.42690972222222134</v>
      </c>
      <c r="B102" s="4">
        <f t="shared" si="140"/>
        <v>885</v>
      </c>
      <c r="C102">
        <v>5</v>
      </c>
      <c r="D102">
        <v>93</v>
      </c>
      <c r="E102" t="e">
        <f t="shared" ca="1" si="141"/>
        <v>#N/A</v>
      </c>
      <c r="F102" t="e">
        <f t="shared" ca="1" si="142"/>
        <v>#N/A</v>
      </c>
      <c r="G102">
        <f t="shared" ca="1" si="143"/>
        <v>7315.2</v>
      </c>
      <c r="H102" s="13" t="e">
        <f t="shared" ca="1" si="144"/>
        <v>#N/A</v>
      </c>
      <c r="I102" s="13" t="e">
        <f t="shared" ca="1" si="145"/>
        <v>#N/A</v>
      </c>
      <c r="J102" s="13">
        <f t="shared" ca="1" si="146"/>
        <v>0</v>
      </c>
      <c r="K102" s="13" t="e">
        <f t="shared" ca="1" si="147"/>
        <v>#N/A</v>
      </c>
      <c r="L102" s="13" t="e">
        <f t="shared" ca="1" si="148"/>
        <v>#N/A</v>
      </c>
      <c r="M102" t="e">
        <f t="shared" ca="1" si="137"/>
        <v>#N/A</v>
      </c>
      <c r="N102" t="e">
        <f t="shared" ca="1" si="138"/>
        <v>#N/A</v>
      </c>
    </row>
    <row r="103" spans="1:14" x14ac:dyDescent="0.25">
      <c r="A103" s="8">
        <f t="shared" si="139"/>
        <v>0.4269675925925917</v>
      </c>
      <c r="B103" s="4">
        <f t="shared" si="140"/>
        <v>890</v>
      </c>
      <c r="C103">
        <v>5</v>
      </c>
      <c r="D103">
        <v>93</v>
      </c>
      <c r="E103" t="e">
        <f t="shared" ca="1" si="141"/>
        <v>#N/A</v>
      </c>
      <c r="F103" t="e">
        <f t="shared" ca="1" si="142"/>
        <v>#N/A</v>
      </c>
      <c r="G103">
        <f t="shared" ca="1" si="143"/>
        <v>7315.2</v>
      </c>
      <c r="H103" s="13" t="e">
        <f t="shared" ca="1" si="144"/>
        <v>#N/A</v>
      </c>
      <c r="I103" s="13" t="e">
        <f t="shared" ca="1" si="145"/>
        <v>#N/A</v>
      </c>
      <c r="J103" s="13">
        <f t="shared" ca="1" si="146"/>
        <v>0</v>
      </c>
      <c r="K103" s="13" t="e">
        <f t="shared" ca="1" si="147"/>
        <v>#N/A</v>
      </c>
      <c r="L103" s="13" t="e">
        <f t="shared" ca="1" si="148"/>
        <v>#N/A</v>
      </c>
      <c r="M103" t="e">
        <f t="shared" ca="1" si="137"/>
        <v>#N/A</v>
      </c>
      <c r="N103" t="e">
        <f t="shared" ca="1" si="138"/>
        <v>#N/A</v>
      </c>
    </row>
    <row r="104" spans="1:14" x14ac:dyDescent="0.25">
      <c r="A104" s="8">
        <f t="shared" si="139"/>
        <v>0.42702546296296207</v>
      </c>
      <c r="B104" s="4">
        <f t="shared" si="140"/>
        <v>895</v>
      </c>
      <c r="C104">
        <v>5</v>
      </c>
      <c r="D104">
        <v>93</v>
      </c>
      <c r="E104" t="e">
        <f t="shared" ca="1" si="141"/>
        <v>#N/A</v>
      </c>
      <c r="F104" t="e">
        <f t="shared" ca="1" si="142"/>
        <v>#N/A</v>
      </c>
      <c r="G104">
        <f t="shared" ca="1" si="143"/>
        <v>7315.2</v>
      </c>
      <c r="H104" s="13" t="e">
        <f t="shared" ca="1" si="144"/>
        <v>#N/A</v>
      </c>
      <c r="I104" s="13" t="e">
        <f t="shared" ca="1" si="145"/>
        <v>#N/A</v>
      </c>
      <c r="J104" s="13">
        <f t="shared" ca="1" si="146"/>
        <v>0</v>
      </c>
      <c r="K104" s="13" t="e">
        <f t="shared" ca="1" si="147"/>
        <v>#N/A</v>
      </c>
      <c r="L104" s="13" t="e">
        <f t="shared" ca="1" si="148"/>
        <v>#N/A</v>
      </c>
      <c r="M104" t="e">
        <f t="shared" ca="1" si="137"/>
        <v>#N/A</v>
      </c>
      <c r="N104" t="e">
        <f t="shared" ca="1" si="138"/>
        <v>#N/A</v>
      </c>
    </row>
    <row r="105" spans="1:14" x14ac:dyDescent="0.25">
      <c r="A105" s="8">
        <f t="shared" si="139"/>
        <v>0.42708333333333243</v>
      </c>
      <c r="B105" s="4">
        <f t="shared" si="140"/>
        <v>900</v>
      </c>
      <c r="C105">
        <v>5</v>
      </c>
      <c r="D105">
        <v>93</v>
      </c>
      <c r="E105" t="e">
        <f t="shared" ca="1" si="141"/>
        <v>#N/A</v>
      </c>
      <c r="F105" t="e">
        <f t="shared" ca="1" si="142"/>
        <v>#N/A</v>
      </c>
      <c r="G105">
        <f t="shared" ca="1" si="143"/>
        <v>7315.2</v>
      </c>
      <c r="H105" s="13" t="e">
        <f t="shared" ca="1" si="144"/>
        <v>#N/A</v>
      </c>
      <c r="I105" s="13" t="e">
        <f t="shared" ca="1" si="145"/>
        <v>#N/A</v>
      </c>
      <c r="J105" s="13">
        <f t="shared" ca="1" si="146"/>
        <v>0</v>
      </c>
      <c r="K105" s="13" t="e">
        <f t="shared" ca="1" si="147"/>
        <v>#N/A</v>
      </c>
      <c r="L105" s="13" t="e">
        <f t="shared" ca="1" si="148"/>
        <v>#N/A</v>
      </c>
      <c r="M105" t="e">
        <f t="shared" ca="1" si="137"/>
        <v>#N/A</v>
      </c>
      <c r="N105" t="e">
        <f t="shared" ca="1" si="138"/>
        <v>#N/A</v>
      </c>
    </row>
    <row r="106" spans="1:14" x14ac:dyDescent="0.25">
      <c r="A106" s="8">
        <f t="shared" si="139"/>
        <v>0.42714120370370279</v>
      </c>
      <c r="B106" s="4">
        <f t="shared" si="140"/>
        <v>905</v>
      </c>
      <c r="C106">
        <v>5</v>
      </c>
      <c r="D106">
        <v>93</v>
      </c>
      <c r="E106" t="e">
        <f t="shared" ca="1" si="141"/>
        <v>#N/A</v>
      </c>
      <c r="F106" t="e">
        <f t="shared" ca="1" si="142"/>
        <v>#N/A</v>
      </c>
      <c r="G106">
        <f t="shared" ca="1" si="143"/>
        <v>7315.2</v>
      </c>
      <c r="H106" s="13" t="e">
        <f t="shared" ca="1" si="144"/>
        <v>#N/A</v>
      </c>
      <c r="I106" s="13" t="e">
        <f t="shared" ca="1" si="145"/>
        <v>#N/A</v>
      </c>
      <c r="J106" s="13">
        <f t="shared" ca="1" si="146"/>
        <v>0</v>
      </c>
      <c r="K106" s="13" t="e">
        <f t="shared" ca="1" si="147"/>
        <v>#N/A</v>
      </c>
      <c r="L106" s="13" t="e">
        <f t="shared" ca="1" si="148"/>
        <v>#N/A</v>
      </c>
      <c r="M106" t="e">
        <f t="shared" ca="1" si="137"/>
        <v>#N/A</v>
      </c>
      <c r="N106" t="e">
        <f t="shared" ca="1" si="138"/>
        <v>#N/A</v>
      </c>
    </row>
    <row r="107" spans="1:14" x14ac:dyDescent="0.25">
      <c r="A107" s="8">
        <f t="shared" si="139"/>
        <v>0.42719907407407315</v>
      </c>
      <c r="B107" s="4">
        <f t="shared" si="140"/>
        <v>910</v>
      </c>
      <c r="C107">
        <v>5</v>
      </c>
      <c r="D107">
        <v>93</v>
      </c>
      <c r="E107" t="e">
        <f t="shared" ca="1" si="141"/>
        <v>#N/A</v>
      </c>
      <c r="F107" t="e">
        <f t="shared" ca="1" si="142"/>
        <v>#N/A</v>
      </c>
      <c r="G107">
        <f t="shared" ca="1" si="143"/>
        <v>7315.2</v>
      </c>
      <c r="H107" s="13" t="e">
        <f t="shared" ca="1" si="144"/>
        <v>#N/A</v>
      </c>
      <c r="I107" s="13" t="e">
        <f t="shared" ca="1" si="145"/>
        <v>#N/A</v>
      </c>
      <c r="J107" s="13">
        <f t="shared" ca="1" si="146"/>
        <v>0</v>
      </c>
      <c r="K107" s="13" t="e">
        <f t="shared" ca="1" si="147"/>
        <v>#N/A</v>
      </c>
      <c r="L107" s="13" t="e">
        <f t="shared" ca="1" si="148"/>
        <v>#N/A</v>
      </c>
      <c r="M107" t="e">
        <f t="shared" ca="1" si="137"/>
        <v>#N/A</v>
      </c>
      <c r="N107" t="e">
        <f t="shared" ca="1" si="138"/>
        <v>#N/A</v>
      </c>
    </row>
    <row r="108" spans="1:14" x14ac:dyDescent="0.25">
      <c r="A108" s="8">
        <f t="shared" si="139"/>
        <v>0.42725694444444351</v>
      </c>
      <c r="B108" s="4">
        <f t="shared" si="140"/>
        <v>915</v>
      </c>
      <c r="C108">
        <v>5</v>
      </c>
      <c r="D108">
        <v>93</v>
      </c>
      <c r="E108" t="e">
        <f t="shared" ca="1" si="141"/>
        <v>#N/A</v>
      </c>
      <c r="F108" t="e">
        <f t="shared" ca="1" si="142"/>
        <v>#N/A</v>
      </c>
      <c r="G108">
        <f t="shared" ca="1" si="143"/>
        <v>7315.2</v>
      </c>
      <c r="H108" s="13" t="e">
        <f t="shared" ca="1" si="144"/>
        <v>#N/A</v>
      </c>
      <c r="I108" s="13" t="e">
        <f t="shared" ca="1" si="145"/>
        <v>#N/A</v>
      </c>
      <c r="J108" s="13">
        <f t="shared" ca="1" si="146"/>
        <v>0</v>
      </c>
      <c r="K108" s="13" t="e">
        <f t="shared" ca="1" si="147"/>
        <v>#N/A</v>
      </c>
      <c r="L108" s="13" t="e">
        <f t="shared" ca="1" si="148"/>
        <v>#N/A</v>
      </c>
      <c r="M108" t="e">
        <f t="shared" ref="M108:M123" ca="1" si="149">INDIRECT("M$"&amp;C108)+INDIRECT("O$"&amp;C108)*($B108-INDIRECT("B$"&amp;D108))</f>
        <v>#N/A</v>
      </c>
      <c r="N108" t="e">
        <f t="shared" ref="N108:N123" ca="1" si="150">INDIRECT("N$"&amp;C108)+INDIRECT("P$"&amp;C108)*($B108-INDIRECT("B$"&amp;D108))</f>
        <v>#N/A</v>
      </c>
    </row>
    <row r="109" spans="1:14" x14ac:dyDescent="0.25">
      <c r="A109" s="8">
        <f t="shared" si="139"/>
        <v>0.42731481481481387</v>
      </c>
      <c r="B109" s="4">
        <f t="shared" si="140"/>
        <v>920</v>
      </c>
      <c r="C109">
        <v>5</v>
      </c>
      <c r="D109">
        <v>93</v>
      </c>
      <c r="E109" t="e">
        <f t="shared" ca="1" si="141"/>
        <v>#N/A</v>
      </c>
      <c r="F109" t="e">
        <f t="shared" ca="1" si="142"/>
        <v>#N/A</v>
      </c>
      <c r="G109">
        <f t="shared" ca="1" si="143"/>
        <v>7315.2</v>
      </c>
      <c r="H109" s="13" t="e">
        <f t="shared" ca="1" si="144"/>
        <v>#N/A</v>
      </c>
      <c r="I109" s="13" t="e">
        <f t="shared" ca="1" si="145"/>
        <v>#N/A</v>
      </c>
      <c r="J109" s="13">
        <f t="shared" ca="1" si="146"/>
        <v>0</v>
      </c>
      <c r="K109" s="13" t="e">
        <f t="shared" ca="1" si="147"/>
        <v>#N/A</v>
      </c>
      <c r="L109" s="13" t="e">
        <f t="shared" ca="1" si="148"/>
        <v>#N/A</v>
      </c>
      <c r="M109" t="e">
        <f t="shared" ca="1" si="149"/>
        <v>#N/A</v>
      </c>
      <c r="N109" t="e">
        <f t="shared" ca="1" si="150"/>
        <v>#N/A</v>
      </c>
    </row>
    <row r="110" spans="1:14" x14ac:dyDescent="0.25">
      <c r="A110" s="8">
        <f t="shared" si="139"/>
        <v>0.42737268518518423</v>
      </c>
      <c r="B110" s="4">
        <f t="shared" si="140"/>
        <v>925</v>
      </c>
      <c r="C110">
        <v>5</v>
      </c>
      <c r="D110">
        <v>93</v>
      </c>
      <c r="E110" t="e">
        <f t="shared" ca="1" si="141"/>
        <v>#N/A</v>
      </c>
      <c r="F110" t="e">
        <f t="shared" ca="1" si="142"/>
        <v>#N/A</v>
      </c>
      <c r="G110">
        <f t="shared" ca="1" si="143"/>
        <v>7315.2</v>
      </c>
      <c r="H110" s="13" t="e">
        <f t="shared" ca="1" si="144"/>
        <v>#N/A</v>
      </c>
      <c r="I110" s="13" t="e">
        <f t="shared" ca="1" si="145"/>
        <v>#N/A</v>
      </c>
      <c r="J110" s="13">
        <f t="shared" ca="1" si="146"/>
        <v>0</v>
      </c>
      <c r="K110" s="13" t="e">
        <f t="shared" ca="1" si="147"/>
        <v>#N/A</v>
      </c>
      <c r="L110" s="13" t="e">
        <f t="shared" ca="1" si="148"/>
        <v>#N/A</v>
      </c>
      <c r="M110" t="e">
        <f t="shared" ca="1" si="149"/>
        <v>#N/A</v>
      </c>
      <c r="N110" t="e">
        <f t="shared" ca="1" si="150"/>
        <v>#N/A</v>
      </c>
    </row>
    <row r="111" spans="1:14" x14ac:dyDescent="0.25">
      <c r="A111" s="8">
        <f t="shared" si="139"/>
        <v>0.42743055555555459</v>
      </c>
      <c r="B111" s="4">
        <f t="shared" si="140"/>
        <v>930</v>
      </c>
      <c r="C111">
        <v>5</v>
      </c>
      <c r="D111">
        <v>93</v>
      </c>
      <c r="E111" t="e">
        <f t="shared" ca="1" si="141"/>
        <v>#N/A</v>
      </c>
      <c r="F111" t="e">
        <f t="shared" ca="1" si="142"/>
        <v>#N/A</v>
      </c>
      <c r="G111">
        <f t="shared" ca="1" si="143"/>
        <v>7315.2</v>
      </c>
      <c r="H111" s="13" t="e">
        <f t="shared" ca="1" si="144"/>
        <v>#N/A</v>
      </c>
      <c r="I111" s="13" t="e">
        <f t="shared" ca="1" si="145"/>
        <v>#N/A</v>
      </c>
      <c r="J111" s="13">
        <f t="shared" ca="1" si="146"/>
        <v>0</v>
      </c>
      <c r="K111" s="13" t="e">
        <f t="shared" ca="1" si="147"/>
        <v>#N/A</v>
      </c>
      <c r="L111" s="13" t="e">
        <f t="shared" ca="1" si="148"/>
        <v>#N/A</v>
      </c>
      <c r="M111" t="e">
        <f t="shared" ca="1" si="149"/>
        <v>#N/A</v>
      </c>
      <c r="N111" t="e">
        <f t="shared" ca="1" si="150"/>
        <v>#N/A</v>
      </c>
    </row>
    <row r="112" spans="1:14" x14ac:dyDescent="0.25">
      <c r="A112" s="8">
        <f t="shared" si="139"/>
        <v>0.42748842592592495</v>
      </c>
      <c r="B112" s="4">
        <f t="shared" si="140"/>
        <v>935</v>
      </c>
      <c r="C112">
        <v>5</v>
      </c>
      <c r="D112">
        <v>93</v>
      </c>
      <c r="E112" t="e">
        <f t="shared" ca="1" si="141"/>
        <v>#N/A</v>
      </c>
      <c r="F112" t="e">
        <f t="shared" ca="1" si="142"/>
        <v>#N/A</v>
      </c>
      <c r="G112">
        <f t="shared" ca="1" si="143"/>
        <v>7315.2</v>
      </c>
      <c r="H112" s="13" t="e">
        <f t="shared" ca="1" si="144"/>
        <v>#N/A</v>
      </c>
      <c r="I112" s="13" t="e">
        <f t="shared" ca="1" si="145"/>
        <v>#N/A</v>
      </c>
      <c r="J112" s="13">
        <f t="shared" ca="1" si="146"/>
        <v>0</v>
      </c>
      <c r="K112" s="13" t="e">
        <f t="shared" ca="1" si="147"/>
        <v>#N/A</v>
      </c>
      <c r="L112" s="13" t="e">
        <f t="shared" ca="1" si="148"/>
        <v>#N/A</v>
      </c>
      <c r="M112" t="e">
        <f t="shared" ca="1" si="149"/>
        <v>#N/A</v>
      </c>
      <c r="N112" t="e">
        <f t="shared" ca="1" si="150"/>
        <v>#N/A</v>
      </c>
    </row>
    <row r="113" spans="1:14" x14ac:dyDescent="0.25">
      <c r="A113" s="8">
        <f t="shared" si="139"/>
        <v>0.42754629629629531</v>
      </c>
      <c r="B113" s="4">
        <f t="shared" si="140"/>
        <v>940</v>
      </c>
      <c r="C113">
        <v>5</v>
      </c>
      <c r="D113">
        <v>93</v>
      </c>
      <c r="E113" t="e">
        <f t="shared" ca="1" si="141"/>
        <v>#N/A</v>
      </c>
      <c r="F113" t="e">
        <f t="shared" ca="1" si="142"/>
        <v>#N/A</v>
      </c>
      <c r="G113">
        <f t="shared" ca="1" si="143"/>
        <v>7315.2</v>
      </c>
      <c r="H113" s="13" t="e">
        <f t="shared" ca="1" si="144"/>
        <v>#N/A</v>
      </c>
      <c r="I113" s="13" t="e">
        <f t="shared" ca="1" si="145"/>
        <v>#N/A</v>
      </c>
      <c r="J113" s="13">
        <f t="shared" ca="1" si="146"/>
        <v>0</v>
      </c>
      <c r="K113" s="13" t="e">
        <f t="shared" ca="1" si="147"/>
        <v>#N/A</v>
      </c>
      <c r="L113" s="13" t="e">
        <f t="shared" ca="1" si="148"/>
        <v>#N/A</v>
      </c>
      <c r="M113" t="e">
        <f t="shared" ca="1" si="149"/>
        <v>#N/A</v>
      </c>
      <c r="N113" t="e">
        <f t="shared" ca="1" si="150"/>
        <v>#N/A</v>
      </c>
    </row>
    <row r="114" spans="1:14" x14ac:dyDescent="0.25">
      <c r="A114" s="8">
        <f t="shared" si="139"/>
        <v>0.42760416666666567</v>
      </c>
      <c r="B114" s="4">
        <f t="shared" si="140"/>
        <v>945</v>
      </c>
      <c r="C114">
        <v>5</v>
      </c>
      <c r="D114">
        <v>93</v>
      </c>
      <c r="E114" t="e">
        <f t="shared" ca="1" si="141"/>
        <v>#N/A</v>
      </c>
      <c r="F114" t="e">
        <f t="shared" ca="1" si="142"/>
        <v>#N/A</v>
      </c>
      <c r="G114">
        <f t="shared" ca="1" si="143"/>
        <v>7315.2</v>
      </c>
      <c r="H114" s="13" t="e">
        <f t="shared" ca="1" si="144"/>
        <v>#N/A</v>
      </c>
      <c r="I114" s="13" t="e">
        <f t="shared" ca="1" si="145"/>
        <v>#N/A</v>
      </c>
      <c r="J114" s="13">
        <f t="shared" ca="1" si="146"/>
        <v>0</v>
      </c>
      <c r="K114" s="13" t="e">
        <f t="shared" ca="1" si="147"/>
        <v>#N/A</v>
      </c>
      <c r="L114" s="13" t="e">
        <f t="shared" ca="1" si="148"/>
        <v>#N/A</v>
      </c>
      <c r="M114" t="e">
        <f t="shared" ca="1" si="149"/>
        <v>#N/A</v>
      </c>
      <c r="N114" t="e">
        <f t="shared" ca="1" si="150"/>
        <v>#N/A</v>
      </c>
    </row>
    <row r="115" spans="1:14" x14ac:dyDescent="0.25">
      <c r="A115" s="8">
        <f t="shared" si="139"/>
        <v>0.42766203703703604</v>
      </c>
      <c r="B115" s="4">
        <f t="shared" si="140"/>
        <v>950</v>
      </c>
      <c r="C115">
        <v>5</v>
      </c>
      <c r="D115">
        <v>93</v>
      </c>
      <c r="E115" t="e">
        <f t="shared" ca="1" si="141"/>
        <v>#N/A</v>
      </c>
      <c r="F115" t="e">
        <f t="shared" ca="1" si="142"/>
        <v>#N/A</v>
      </c>
      <c r="G115">
        <f t="shared" ca="1" si="143"/>
        <v>7315.2</v>
      </c>
      <c r="H115" s="13" t="e">
        <f t="shared" ca="1" si="144"/>
        <v>#N/A</v>
      </c>
      <c r="I115" s="13" t="e">
        <f t="shared" ca="1" si="145"/>
        <v>#N/A</v>
      </c>
      <c r="J115" s="13">
        <f t="shared" ca="1" si="146"/>
        <v>0</v>
      </c>
      <c r="K115" s="13" t="e">
        <f t="shared" ca="1" si="147"/>
        <v>#N/A</v>
      </c>
      <c r="L115" s="13" t="e">
        <f t="shared" ca="1" si="148"/>
        <v>#N/A</v>
      </c>
      <c r="M115" t="e">
        <f t="shared" ca="1" si="149"/>
        <v>#N/A</v>
      </c>
      <c r="N115" t="e">
        <f t="shared" ca="1" si="150"/>
        <v>#N/A</v>
      </c>
    </row>
    <row r="116" spans="1:14" x14ac:dyDescent="0.25">
      <c r="A116" s="8">
        <f t="shared" si="139"/>
        <v>0.4277199074074064</v>
      </c>
      <c r="B116" s="4">
        <f t="shared" si="140"/>
        <v>955</v>
      </c>
      <c r="C116">
        <v>5</v>
      </c>
      <c r="D116">
        <v>93</v>
      </c>
      <c r="E116" t="e">
        <f t="shared" ca="1" si="141"/>
        <v>#N/A</v>
      </c>
      <c r="F116" t="e">
        <f t="shared" ca="1" si="142"/>
        <v>#N/A</v>
      </c>
      <c r="G116">
        <f t="shared" ca="1" si="143"/>
        <v>7315.2</v>
      </c>
      <c r="H116" s="13" t="e">
        <f t="shared" ca="1" si="144"/>
        <v>#N/A</v>
      </c>
      <c r="I116" s="13" t="e">
        <f t="shared" ca="1" si="145"/>
        <v>#N/A</v>
      </c>
      <c r="J116" s="13">
        <f t="shared" ca="1" si="146"/>
        <v>0</v>
      </c>
      <c r="K116" s="13" t="e">
        <f t="shared" ca="1" si="147"/>
        <v>#N/A</v>
      </c>
      <c r="L116" s="13" t="e">
        <f t="shared" ca="1" si="148"/>
        <v>#N/A</v>
      </c>
      <c r="M116" t="e">
        <f t="shared" ca="1" si="149"/>
        <v>#N/A</v>
      </c>
      <c r="N116" t="e">
        <f t="shared" ca="1" si="150"/>
        <v>#N/A</v>
      </c>
    </row>
    <row r="117" spans="1:14" x14ac:dyDescent="0.25">
      <c r="A117" s="8">
        <f t="shared" si="139"/>
        <v>0.42777777777777676</v>
      </c>
      <c r="B117" s="4">
        <f t="shared" si="140"/>
        <v>960</v>
      </c>
      <c r="C117">
        <v>5</v>
      </c>
      <c r="D117">
        <v>93</v>
      </c>
      <c r="E117" t="e">
        <f t="shared" ca="1" si="141"/>
        <v>#N/A</v>
      </c>
      <c r="F117" t="e">
        <f t="shared" ca="1" si="142"/>
        <v>#N/A</v>
      </c>
      <c r="G117">
        <f t="shared" ca="1" si="143"/>
        <v>7315.2</v>
      </c>
      <c r="H117" s="13" t="e">
        <f t="shared" ca="1" si="144"/>
        <v>#N/A</v>
      </c>
      <c r="I117" s="13" t="e">
        <f t="shared" ca="1" si="145"/>
        <v>#N/A</v>
      </c>
      <c r="J117" s="13">
        <f t="shared" ca="1" si="146"/>
        <v>0</v>
      </c>
      <c r="K117" s="13" t="e">
        <f t="shared" ca="1" si="147"/>
        <v>#N/A</v>
      </c>
      <c r="L117" s="13" t="e">
        <f t="shared" ca="1" si="148"/>
        <v>#N/A</v>
      </c>
      <c r="M117" t="e">
        <f t="shared" ca="1" si="149"/>
        <v>#N/A</v>
      </c>
      <c r="N117" t="e">
        <f t="shared" ca="1" si="150"/>
        <v>#N/A</v>
      </c>
    </row>
    <row r="118" spans="1:14" x14ac:dyDescent="0.25">
      <c r="A118" s="8">
        <f t="shared" si="139"/>
        <v>0.42783564814814712</v>
      </c>
      <c r="B118" s="4">
        <f t="shared" si="140"/>
        <v>965</v>
      </c>
      <c r="C118">
        <v>5</v>
      </c>
      <c r="D118">
        <v>93</v>
      </c>
      <c r="E118" t="e">
        <f t="shared" ca="1" si="141"/>
        <v>#N/A</v>
      </c>
      <c r="F118" t="e">
        <f t="shared" ca="1" si="142"/>
        <v>#N/A</v>
      </c>
      <c r="G118">
        <f t="shared" ca="1" si="143"/>
        <v>7315.2</v>
      </c>
      <c r="H118" s="13" t="e">
        <f t="shared" ca="1" si="144"/>
        <v>#N/A</v>
      </c>
      <c r="I118" s="13" t="e">
        <f t="shared" ca="1" si="145"/>
        <v>#N/A</v>
      </c>
      <c r="J118" s="13">
        <f t="shared" ca="1" si="146"/>
        <v>0</v>
      </c>
      <c r="K118" s="13" t="e">
        <f t="shared" ca="1" si="147"/>
        <v>#N/A</v>
      </c>
      <c r="L118" s="13" t="e">
        <f t="shared" ca="1" si="148"/>
        <v>#N/A</v>
      </c>
      <c r="M118" t="e">
        <f t="shared" ca="1" si="149"/>
        <v>#N/A</v>
      </c>
      <c r="N118" t="e">
        <f t="shared" ca="1" si="150"/>
        <v>#N/A</v>
      </c>
    </row>
    <row r="119" spans="1:14" x14ac:dyDescent="0.25">
      <c r="A119" s="8">
        <f t="shared" si="139"/>
        <v>0.42789351851851748</v>
      </c>
      <c r="B119" s="4">
        <f t="shared" si="140"/>
        <v>970</v>
      </c>
      <c r="C119">
        <v>5</v>
      </c>
      <c r="D119">
        <v>93</v>
      </c>
      <c r="E119" t="e">
        <f t="shared" ca="1" si="141"/>
        <v>#N/A</v>
      </c>
      <c r="F119" t="e">
        <f t="shared" ca="1" si="142"/>
        <v>#N/A</v>
      </c>
      <c r="G119">
        <f t="shared" ca="1" si="143"/>
        <v>7315.2</v>
      </c>
      <c r="H119" s="13" t="e">
        <f t="shared" ca="1" si="144"/>
        <v>#N/A</v>
      </c>
      <c r="I119" s="13" t="e">
        <f t="shared" ca="1" si="145"/>
        <v>#N/A</v>
      </c>
      <c r="J119" s="13">
        <f t="shared" ca="1" si="146"/>
        <v>0</v>
      </c>
      <c r="K119" s="13" t="e">
        <f t="shared" ca="1" si="147"/>
        <v>#N/A</v>
      </c>
      <c r="L119" s="13" t="e">
        <f t="shared" ca="1" si="148"/>
        <v>#N/A</v>
      </c>
      <c r="M119" t="e">
        <f t="shared" ca="1" si="149"/>
        <v>#N/A</v>
      </c>
      <c r="N119" t="e">
        <f t="shared" ca="1" si="150"/>
        <v>#N/A</v>
      </c>
    </row>
    <row r="120" spans="1:14" x14ac:dyDescent="0.25">
      <c r="A120" s="8">
        <f t="shared" si="139"/>
        <v>0.42795138888888784</v>
      </c>
      <c r="B120" s="4">
        <f t="shared" si="140"/>
        <v>975</v>
      </c>
      <c r="C120">
        <v>5</v>
      </c>
      <c r="D120">
        <v>93</v>
      </c>
      <c r="E120" t="e">
        <f t="shared" ca="1" si="141"/>
        <v>#N/A</v>
      </c>
      <c r="F120" t="e">
        <f t="shared" ca="1" si="142"/>
        <v>#N/A</v>
      </c>
      <c r="G120">
        <f t="shared" ca="1" si="143"/>
        <v>7315.2</v>
      </c>
      <c r="H120" s="13" t="e">
        <f t="shared" ca="1" si="144"/>
        <v>#N/A</v>
      </c>
      <c r="I120" s="13" t="e">
        <f t="shared" ca="1" si="145"/>
        <v>#N/A</v>
      </c>
      <c r="J120" s="13">
        <f t="shared" ca="1" si="146"/>
        <v>0</v>
      </c>
      <c r="K120" s="13" t="e">
        <f t="shared" ca="1" si="147"/>
        <v>#N/A</v>
      </c>
      <c r="L120" s="13" t="e">
        <f t="shared" ca="1" si="148"/>
        <v>#N/A</v>
      </c>
      <c r="M120" t="e">
        <f t="shared" ca="1" si="149"/>
        <v>#N/A</v>
      </c>
      <c r="N120" t="e">
        <f t="shared" ca="1" si="150"/>
        <v>#N/A</v>
      </c>
    </row>
    <row r="121" spans="1:14" x14ac:dyDescent="0.25">
      <c r="A121" s="8">
        <f t="shared" si="139"/>
        <v>0.4280092592592582</v>
      </c>
      <c r="B121" s="4">
        <f t="shared" si="140"/>
        <v>980</v>
      </c>
      <c r="C121">
        <v>5</v>
      </c>
      <c r="D121">
        <v>93</v>
      </c>
      <c r="E121" t="e">
        <f t="shared" ca="1" si="141"/>
        <v>#N/A</v>
      </c>
      <c r="F121" t="e">
        <f t="shared" ca="1" si="142"/>
        <v>#N/A</v>
      </c>
      <c r="G121">
        <f t="shared" ca="1" si="143"/>
        <v>7315.2</v>
      </c>
      <c r="H121" s="13" t="e">
        <f t="shared" ca="1" si="144"/>
        <v>#N/A</v>
      </c>
      <c r="I121" s="13" t="e">
        <f t="shared" ca="1" si="145"/>
        <v>#N/A</v>
      </c>
      <c r="J121" s="13">
        <f t="shared" ca="1" si="146"/>
        <v>0</v>
      </c>
      <c r="K121" s="13" t="e">
        <f t="shared" ca="1" si="147"/>
        <v>#N/A</v>
      </c>
      <c r="L121" s="13" t="e">
        <f t="shared" ca="1" si="148"/>
        <v>#N/A</v>
      </c>
      <c r="M121" t="e">
        <f t="shared" ca="1" si="149"/>
        <v>#N/A</v>
      </c>
      <c r="N121" t="e">
        <f t="shared" ca="1" si="150"/>
        <v>#N/A</v>
      </c>
    </row>
    <row r="122" spans="1:14" x14ac:dyDescent="0.25">
      <c r="A122" s="8">
        <f t="shared" si="139"/>
        <v>0.42806712962962856</v>
      </c>
      <c r="B122" s="4">
        <f t="shared" si="140"/>
        <v>985</v>
      </c>
      <c r="C122">
        <v>5</v>
      </c>
      <c r="D122">
        <v>93</v>
      </c>
      <c r="E122" t="e">
        <f t="shared" ca="1" si="141"/>
        <v>#N/A</v>
      </c>
      <c r="F122" t="e">
        <f t="shared" ca="1" si="142"/>
        <v>#N/A</v>
      </c>
      <c r="G122">
        <f t="shared" ca="1" si="143"/>
        <v>7315.2</v>
      </c>
      <c r="H122" s="13" t="e">
        <f t="shared" ca="1" si="144"/>
        <v>#N/A</v>
      </c>
      <c r="I122" s="13" t="e">
        <f t="shared" ca="1" si="145"/>
        <v>#N/A</v>
      </c>
      <c r="J122" s="13">
        <f t="shared" ca="1" si="146"/>
        <v>0</v>
      </c>
      <c r="K122" s="13" t="e">
        <f t="shared" ca="1" si="147"/>
        <v>#N/A</v>
      </c>
      <c r="L122" s="13" t="e">
        <f t="shared" ca="1" si="148"/>
        <v>#N/A</v>
      </c>
      <c r="M122" t="e">
        <f t="shared" ca="1" si="149"/>
        <v>#N/A</v>
      </c>
      <c r="N122" t="e">
        <f t="shared" ca="1" si="150"/>
        <v>#N/A</v>
      </c>
    </row>
    <row r="123" spans="1:14" x14ac:dyDescent="0.25">
      <c r="A123" s="8">
        <f t="shared" si="139"/>
        <v>0.42812499999999892</v>
      </c>
      <c r="B123" s="4">
        <f t="shared" si="140"/>
        <v>990</v>
      </c>
      <c r="C123">
        <v>5</v>
      </c>
      <c r="D123">
        <v>93</v>
      </c>
      <c r="E123" t="e">
        <f t="shared" ca="1" si="141"/>
        <v>#N/A</v>
      </c>
      <c r="F123" t="e">
        <f t="shared" ca="1" si="142"/>
        <v>#N/A</v>
      </c>
      <c r="G123">
        <f t="shared" ca="1" si="143"/>
        <v>7315.2</v>
      </c>
      <c r="H123" s="13" t="e">
        <f t="shared" ca="1" si="144"/>
        <v>#N/A</v>
      </c>
      <c r="I123" s="13" t="e">
        <f t="shared" ca="1" si="145"/>
        <v>#N/A</v>
      </c>
      <c r="J123" s="13">
        <f t="shared" ca="1" si="146"/>
        <v>0</v>
      </c>
      <c r="K123" s="13" t="e">
        <f t="shared" ca="1" si="147"/>
        <v>#N/A</v>
      </c>
      <c r="L123" s="13" t="e">
        <f t="shared" ca="1" si="148"/>
        <v>#N/A</v>
      </c>
      <c r="M123" t="e">
        <f t="shared" ca="1" si="149"/>
        <v>#N/A</v>
      </c>
      <c r="N123" t="e">
        <f t="shared" ca="1" si="150"/>
        <v>#N/A</v>
      </c>
    </row>
    <row r="124" spans="1:14" x14ac:dyDescent="0.25">
      <c r="A124" s="8">
        <f t="shared" ref="A124:A151" si="151">A123+5/24/3600</f>
        <v>0.42818287037036928</v>
      </c>
      <c r="B124" s="4">
        <f t="shared" ref="B124:B151" si="152">B123+SECOND(A124-A123)</f>
        <v>995</v>
      </c>
      <c r="C124">
        <v>5</v>
      </c>
      <c r="D124">
        <v>93</v>
      </c>
      <c r="E124" t="e">
        <f t="shared" ref="E124:E151" ca="1" si="153">INDIRECT("E$"&amp;C124)+INDIRECT("H$"&amp;C124)*($B124-INDIRECT("B$"&amp;D124))</f>
        <v>#N/A</v>
      </c>
      <c r="F124" t="e">
        <f t="shared" ref="F124:F151" ca="1" si="154">INDIRECT("F$"&amp;C124)+INDIRECT("I$"&amp;C124)*($B124-INDIRECT("B$"&amp;D124))</f>
        <v>#N/A</v>
      </c>
      <c r="G124">
        <f t="shared" ref="G124:G151" ca="1" si="155">INDIRECT("G$"&amp;C124)+INDIRECT("J$"&amp;C124)*($B124-INDIRECT("B$"&amp;D124))</f>
        <v>7315.2</v>
      </c>
      <c r="H124" s="13" t="e">
        <f t="shared" ref="H124:H151" ca="1" si="156">(E125-E124)/($B125-$B124)</f>
        <v>#N/A</v>
      </c>
      <c r="I124" s="13" t="e">
        <f t="shared" ref="I124:I151" ca="1" si="157">(F125-F124)/($B125-$B124)</f>
        <v>#N/A</v>
      </c>
      <c r="J124" s="13">
        <f t="shared" ref="J124:J151" ca="1" si="158">(G125-G124)/($B125-$B124)</f>
        <v>0</v>
      </c>
      <c r="K124" s="13" t="e">
        <f t="shared" ref="K124:K151" ca="1" si="159">SQRT(H124*H124+I124*I124)</f>
        <v>#N/A</v>
      </c>
      <c r="L124" s="13" t="e">
        <f t="shared" ref="L124:L151" ca="1" si="160">DEGREES(ATAN2(I124,H124))</f>
        <v>#N/A</v>
      </c>
      <c r="M124" t="e">
        <f t="shared" ref="M124:M151" ca="1" si="161">INDIRECT("M$"&amp;C124)+INDIRECT("O$"&amp;C124)*($B124-INDIRECT("B$"&amp;D124))</f>
        <v>#N/A</v>
      </c>
      <c r="N124" t="e">
        <f t="shared" ref="N124:N151" ca="1" si="162">INDIRECT("N$"&amp;C124)+INDIRECT("P$"&amp;C124)*($B124-INDIRECT("B$"&amp;D124))</f>
        <v>#N/A</v>
      </c>
    </row>
    <row r="125" spans="1:14" x14ac:dyDescent="0.25">
      <c r="A125" s="8">
        <f t="shared" si="151"/>
        <v>0.42824074074073964</v>
      </c>
      <c r="B125" s="4">
        <f t="shared" si="152"/>
        <v>1000</v>
      </c>
      <c r="C125">
        <v>5</v>
      </c>
      <c r="D125">
        <v>93</v>
      </c>
      <c r="E125" t="e">
        <f t="shared" ca="1" si="153"/>
        <v>#N/A</v>
      </c>
      <c r="F125" t="e">
        <f t="shared" ca="1" si="154"/>
        <v>#N/A</v>
      </c>
      <c r="G125">
        <f t="shared" ca="1" si="155"/>
        <v>7315.2</v>
      </c>
      <c r="H125" s="13" t="e">
        <f t="shared" ca="1" si="156"/>
        <v>#N/A</v>
      </c>
      <c r="I125" s="13" t="e">
        <f t="shared" ca="1" si="157"/>
        <v>#N/A</v>
      </c>
      <c r="J125" s="13">
        <f t="shared" ca="1" si="158"/>
        <v>0</v>
      </c>
      <c r="K125" s="13" t="e">
        <f t="shared" ca="1" si="159"/>
        <v>#N/A</v>
      </c>
      <c r="L125" s="13" t="e">
        <f t="shared" ca="1" si="160"/>
        <v>#N/A</v>
      </c>
      <c r="M125" t="e">
        <f t="shared" ca="1" si="161"/>
        <v>#N/A</v>
      </c>
      <c r="N125" t="e">
        <f t="shared" ca="1" si="162"/>
        <v>#N/A</v>
      </c>
    </row>
    <row r="126" spans="1:14" x14ac:dyDescent="0.25">
      <c r="A126" s="8">
        <f t="shared" si="151"/>
        <v>0.42829861111111001</v>
      </c>
      <c r="B126" s="4">
        <f t="shared" si="152"/>
        <v>1005</v>
      </c>
      <c r="C126">
        <v>5</v>
      </c>
      <c r="D126">
        <v>93</v>
      </c>
      <c r="E126" t="e">
        <f t="shared" ca="1" si="153"/>
        <v>#N/A</v>
      </c>
      <c r="F126" t="e">
        <f t="shared" ca="1" si="154"/>
        <v>#N/A</v>
      </c>
      <c r="G126">
        <f t="shared" ca="1" si="155"/>
        <v>7315.2</v>
      </c>
      <c r="H126" s="13" t="e">
        <f t="shared" ca="1" si="156"/>
        <v>#N/A</v>
      </c>
      <c r="I126" s="13" t="e">
        <f t="shared" ca="1" si="157"/>
        <v>#N/A</v>
      </c>
      <c r="J126" s="13">
        <f t="shared" ca="1" si="158"/>
        <v>0</v>
      </c>
      <c r="K126" s="13" t="e">
        <f t="shared" ca="1" si="159"/>
        <v>#N/A</v>
      </c>
      <c r="L126" s="13" t="e">
        <f t="shared" ca="1" si="160"/>
        <v>#N/A</v>
      </c>
      <c r="M126" t="e">
        <f t="shared" ca="1" si="161"/>
        <v>#N/A</v>
      </c>
      <c r="N126" t="e">
        <f t="shared" ca="1" si="162"/>
        <v>#N/A</v>
      </c>
    </row>
    <row r="127" spans="1:14" x14ac:dyDescent="0.25">
      <c r="A127" s="8">
        <f t="shared" si="151"/>
        <v>0.42835648148148037</v>
      </c>
      <c r="B127" s="4">
        <f t="shared" si="152"/>
        <v>1010</v>
      </c>
      <c r="C127">
        <v>5</v>
      </c>
      <c r="D127">
        <v>93</v>
      </c>
      <c r="E127" t="e">
        <f t="shared" ca="1" si="153"/>
        <v>#N/A</v>
      </c>
      <c r="F127" t="e">
        <f t="shared" ca="1" si="154"/>
        <v>#N/A</v>
      </c>
      <c r="G127">
        <f t="shared" ca="1" si="155"/>
        <v>7315.2</v>
      </c>
      <c r="H127" s="13" t="e">
        <f t="shared" ca="1" si="156"/>
        <v>#N/A</v>
      </c>
      <c r="I127" s="13" t="e">
        <f t="shared" ca="1" si="157"/>
        <v>#N/A</v>
      </c>
      <c r="J127" s="13">
        <f t="shared" ca="1" si="158"/>
        <v>0</v>
      </c>
      <c r="K127" s="13" t="e">
        <f t="shared" ca="1" si="159"/>
        <v>#N/A</v>
      </c>
      <c r="L127" s="13" t="e">
        <f t="shared" ca="1" si="160"/>
        <v>#N/A</v>
      </c>
      <c r="M127" t="e">
        <f t="shared" ca="1" si="161"/>
        <v>#N/A</v>
      </c>
      <c r="N127" t="e">
        <f t="shared" ca="1" si="162"/>
        <v>#N/A</v>
      </c>
    </row>
    <row r="128" spans="1:14" x14ac:dyDescent="0.25">
      <c r="A128" s="8">
        <f t="shared" si="151"/>
        <v>0.42841435185185073</v>
      </c>
      <c r="B128" s="4">
        <f t="shared" si="152"/>
        <v>1015</v>
      </c>
      <c r="C128">
        <v>5</v>
      </c>
      <c r="D128">
        <v>93</v>
      </c>
      <c r="E128" t="e">
        <f t="shared" ca="1" si="153"/>
        <v>#N/A</v>
      </c>
      <c r="F128" t="e">
        <f t="shared" ca="1" si="154"/>
        <v>#N/A</v>
      </c>
      <c r="G128">
        <f t="shared" ca="1" si="155"/>
        <v>7315.2</v>
      </c>
      <c r="H128" s="13" t="e">
        <f t="shared" ca="1" si="156"/>
        <v>#N/A</v>
      </c>
      <c r="I128" s="13" t="e">
        <f t="shared" ca="1" si="157"/>
        <v>#N/A</v>
      </c>
      <c r="J128" s="13">
        <f t="shared" ca="1" si="158"/>
        <v>0</v>
      </c>
      <c r="K128" s="13" t="e">
        <f t="shared" ca="1" si="159"/>
        <v>#N/A</v>
      </c>
      <c r="L128" s="13" t="e">
        <f t="shared" ca="1" si="160"/>
        <v>#N/A</v>
      </c>
      <c r="M128" t="e">
        <f t="shared" ca="1" si="161"/>
        <v>#N/A</v>
      </c>
      <c r="N128" t="e">
        <f t="shared" ca="1" si="162"/>
        <v>#N/A</v>
      </c>
    </row>
    <row r="129" spans="1:14" x14ac:dyDescent="0.25">
      <c r="A129" s="8">
        <f t="shared" si="151"/>
        <v>0.42847222222222109</v>
      </c>
      <c r="B129" s="4">
        <f t="shared" si="152"/>
        <v>1020</v>
      </c>
      <c r="C129">
        <v>5</v>
      </c>
      <c r="D129">
        <v>93</v>
      </c>
      <c r="E129" t="e">
        <f t="shared" ca="1" si="153"/>
        <v>#N/A</v>
      </c>
      <c r="F129" t="e">
        <f t="shared" ca="1" si="154"/>
        <v>#N/A</v>
      </c>
      <c r="G129">
        <f t="shared" ca="1" si="155"/>
        <v>7315.2</v>
      </c>
      <c r="H129" s="13" t="e">
        <f t="shared" ca="1" si="156"/>
        <v>#N/A</v>
      </c>
      <c r="I129" s="13" t="e">
        <f t="shared" ca="1" si="157"/>
        <v>#N/A</v>
      </c>
      <c r="J129" s="13">
        <f t="shared" ca="1" si="158"/>
        <v>0</v>
      </c>
      <c r="K129" s="13" t="e">
        <f t="shared" ca="1" si="159"/>
        <v>#N/A</v>
      </c>
      <c r="L129" s="13" t="e">
        <f t="shared" ca="1" si="160"/>
        <v>#N/A</v>
      </c>
      <c r="M129" t="e">
        <f t="shared" ca="1" si="161"/>
        <v>#N/A</v>
      </c>
      <c r="N129" t="e">
        <f t="shared" ca="1" si="162"/>
        <v>#N/A</v>
      </c>
    </row>
    <row r="130" spans="1:14" x14ac:dyDescent="0.25">
      <c r="A130" s="8">
        <f t="shared" si="151"/>
        <v>0.42853009259259145</v>
      </c>
      <c r="B130" s="4">
        <f t="shared" si="152"/>
        <v>1025</v>
      </c>
      <c r="C130">
        <v>5</v>
      </c>
      <c r="D130">
        <v>93</v>
      </c>
      <c r="E130" t="e">
        <f t="shared" ca="1" si="153"/>
        <v>#N/A</v>
      </c>
      <c r="F130" t="e">
        <f t="shared" ca="1" si="154"/>
        <v>#N/A</v>
      </c>
      <c r="G130">
        <f t="shared" ca="1" si="155"/>
        <v>7315.2</v>
      </c>
      <c r="H130" s="13" t="e">
        <f t="shared" ca="1" si="156"/>
        <v>#N/A</v>
      </c>
      <c r="I130" s="13" t="e">
        <f t="shared" ca="1" si="157"/>
        <v>#N/A</v>
      </c>
      <c r="J130" s="13">
        <f t="shared" ca="1" si="158"/>
        <v>0</v>
      </c>
      <c r="K130" s="13" t="e">
        <f t="shared" ca="1" si="159"/>
        <v>#N/A</v>
      </c>
      <c r="L130" s="13" t="e">
        <f t="shared" ca="1" si="160"/>
        <v>#N/A</v>
      </c>
      <c r="M130" t="e">
        <f t="shared" ca="1" si="161"/>
        <v>#N/A</v>
      </c>
      <c r="N130" t="e">
        <f t="shared" ca="1" si="162"/>
        <v>#N/A</v>
      </c>
    </row>
    <row r="131" spans="1:14" x14ac:dyDescent="0.25">
      <c r="A131" s="8">
        <f t="shared" si="151"/>
        <v>0.42858796296296181</v>
      </c>
      <c r="B131" s="4">
        <f t="shared" si="152"/>
        <v>1030</v>
      </c>
      <c r="C131">
        <v>5</v>
      </c>
      <c r="D131">
        <v>93</v>
      </c>
      <c r="E131" t="e">
        <f t="shared" ca="1" si="153"/>
        <v>#N/A</v>
      </c>
      <c r="F131" t="e">
        <f t="shared" ca="1" si="154"/>
        <v>#N/A</v>
      </c>
      <c r="G131">
        <f t="shared" ca="1" si="155"/>
        <v>7315.2</v>
      </c>
      <c r="H131" s="13" t="e">
        <f t="shared" ca="1" si="156"/>
        <v>#N/A</v>
      </c>
      <c r="I131" s="13" t="e">
        <f t="shared" ca="1" si="157"/>
        <v>#N/A</v>
      </c>
      <c r="J131" s="13">
        <f t="shared" ca="1" si="158"/>
        <v>0</v>
      </c>
      <c r="K131" s="13" t="e">
        <f t="shared" ca="1" si="159"/>
        <v>#N/A</v>
      </c>
      <c r="L131" s="13" t="e">
        <f t="shared" ca="1" si="160"/>
        <v>#N/A</v>
      </c>
      <c r="M131" t="e">
        <f t="shared" ca="1" si="161"/>
        <v>#N/A</v>
      </c>
      <c r="N131" t="e">
        <f t="shared" ca="1" si="162"/>
        <v>#N/A</v>
      </c>
    </row>
    <row r="132" spans="1:14" x14ac:dyDescent="0.25">
      <c r="A132" s="8">
        <f t="shared" si="151"/>
        <v>0.42864583333333217</v>
      </c>
      <c r="B132" s="4">
        <f t="shared" si="152"/>
        <v>1035</v>
      </c>
      <c r="C132">
        <v>5</v>
      </c>
      <c r="D132">
        <v>93</v>
      </c>
      <c r="E132" t="e">
        <f t="shared" ca="1" si="153"/>
        <v>#N/A</v>
      </c>
      <c r="F132" t="e">
        <f t="shared" ca="1" si="154"/>
        <v>#N/A</v>
      </c>
      <c r="G132">
        <f t="shared" ca="1" si="155"/>
        <v>7315.2</v>
      </c>
      <c r="H132" s="13" t="e">
        <f t="shared" ca="1" si="156"/>
        <v>#N/A</v>
      </c>
      <c r="I132" s="13" t="e">
        <f t="shared" ca="1" si="157"/>
        <v>#N/A</v>
      </c>
      <c r="J132" s="13">
        <f t="shared" ca="1" si="158"/>
        <v>0</v>
      </c>
      <c r="K132" s="13" t="e">
        <f t="shared" ca="1" si="159"/>
        <v>#N/A</v>
      </c>
      <c r="L132" s="13" t="e">
        <f t="shared" ca="1" si="160"/>
        <v>#N/A</v>
      </c>
      <c r="M132" t="e">
        <f t="shared" ca="1" si="161"/>
        <v>#N/A</v>
      </c>
      <c r="N132" t="e">
        <f t="shared" ca="1" si="162"/>
        <v>#N/A</v>
      </c>
    </row>
    <row r="133" spans="1:14" x14ac:dyDescent="0.25">
      <c r="A133" s="8">
        <f t="shared" si="151"/>
        <v>0.42870370370370253</v>
      </c>
      <c r="B133" s="4">
        <f t="shared" si="152"/>
        <v>1040</v>
      </c>
      <c r="C133">
        <v>5</v>
      </c>
      <c r="D133">
        <v>93</v>
      </c>
      <c r="E133" t="e">
        <f t="shared" ca="1" si="153"/>
        <v>#N/A</v>
      </c>
      <c r="F133" t="e">
        <f t="shared" ca="1" si="154"/>
        <v>#N/A</v>
      </c>
      <c r="G133">
        <f t="shared" ca="1" si="155"/>
        <v>7315.2</v>
      </c>
      <c r="H133" s="13" t="e">
        <f t="shared" ca="1" si="156"/>
        <v>#N/A</v>
      </c>
      <c r="I133" s="13" t="e">
        <f t="shared" ca="1" si="157"/>
        <v>#N/A</v>
      </c>
      <c r="J133" s="13">
        <f t="shared" ca="1" si="158"/>
        <v>0</v>
      </c>
      <c r="K133" s="13" t="e">
        <f t="shared" ca="1" si="159"/>
        <v>#N/A</v>
      </c>
      <c r="L133" s="13" t="e">
        <f t="shared" ca="1" si="160"/>
        <v>#N/A</v>
      </c>
      <c r="M133" t="e">
        <f t="shared" ca="1" si="161"/>
        <v>#N/A</v>
      </c>
      <c r="N133" t="e">
        <f t="shared" ca="1" si="162"/>
        <v>#N/A</v>
      </c>
    </row>
    <row r="134" spans="1:14" x14ac:dyDescent="0.25">
      <c r="A134" s="8">
        <f t="shared" si="151"/>
        <v>0.42876157407407289</v>
      </c>
      <c r="B134" s="4">
        <f t="shared" si="152"/>
        <v>1045</v>
      </c>
      <c r="C134">
        <v>5</v>
      </c>
      <c r="D134">
        <v>93</v>
      </c>
      <c r="E134" t="e">
        <f t="shared" ca="1" si="153"/>
        <v>#N/A</v>
      </c>
      <c r="F134" t="e">
        <f t="shared" ca="1" si="154"/>
        <v>#N/A</v>
      </c>
      <c r="G134">
        <f t="shared" ca="1" si="155"/>
        <v>7315.2</v>
      </c>
      <c r="H134" s="13" t="e">
        <f t="shared" ca="1" si="156"/>
        <v>#N/A</v>
      </c>
      <c r="I134" s="13" t="e">
        <f t="shared" ca="1" si="157"/>
        <v>#N/A</v>
      </c>
      <c r="J134" s="13">
        <f t="shared" ca="1" si="158"/>
        <v>0</v>
      </c>
      <c r="K134" s="13" t="e">
        <f t="shared" ca="1" si="159"/>
        <v>#N/A</v>
      </c>
      <c r="L134" s="13" t="e">
        <f t="shared" ca="1" si="160"/>
        <v>#N/A</v>
      </c>
      <c r="M134" t="e">
        <f t="shared" ca="1" si="161"/>
        <v>#N/A</v>
      </c>
      <c r="N134" t="e">
        <f t="shared" ca="1" si="162"/>
        <v>#N/A</v>
      </c>
    </row>
    <row r="135" spans="1:14" x14ac:dyDescent="0.25">
      <c r="A135" s="8">
        <f t="shared" si="151"/>
        <v>0.42881944444444325</v>
      </c>
      <c r="B135" s="4">
        <f t="shared" si="152"/>
        <v>1050</v>
      </c>
      <c r="C135">
        <v>5</v>
      </c>
      <c r="D135">
        <v>93</v>
      </c>
      <c r="E135" t="e">
        <f t="shared" ca="1" si="153"/>
        <v>#N/A</v>
      </c>
      <c r="F135" t="e">
        <f t="shared" ca="1" si="154"/>
        <v>#N/A</v>
      </c>
      <c r="G135">
        <f t="shared" ca="1" si="155"/>
        <v>7315.2</v>
      </c>
      <c r="H135" s="13" t="e">
        <f t="shared" ca="1" si="156"/>
        <v>#N/A</v>
      </c>
      <c r="I135" s="13" t="e">
        <f t="shared" ca="1" si="157"/>
        <v>#N/A</v>
      </c>
      <c r="J135" s="13">
        <f t="shared" ca="1" si="158"/>
        <v>0</v>
      </c>
      <c r="K135" s="13" t="e">
        <f t="shared" ca="1" si="159"/>
        <v>#N/A</v>
      </c>
      <c r="L135" s="13" t="e">
        <f t="shared" ca="1" si="160"/>
        <v>#N/A</v>
      </c>
      <c r="M135" t="e">
        <f t="shared" ca="1" si="161"/>
        <v>#N/A</v>
      </c>
      <c r="N135" t="e">
        <f t="shared" ca="1" si="162"/>
        <v>#N/A</v>
      </c>
    </row>
    <row r="136" spans="1:14" x14ac:dyDescent="0.25">
      <c r="A136" s="8">
        <f t="shared" si="151"/>
        <v>0.42887731481481361</v>
      </c>
      <c r="B136" s="4">
        <f t="shared" si="152"/>
        <v>1055</v>
      </c>
      <c r="C136">
        <v>5</v>
      </c>
      <c r="D136">
        <v>93</v>
      </c>
      <c r="E136" t="e">
        <f t="shared" ca="1" si="153"/>
        <v>#N/A</v>
      </c>
      <c r="F136" t="e">
        <f t="shared" ca="1" si="154"/>
        <v>#N/A</v>
      </c>
      <c r="G136">
        <f t="shared" ca="1" si="155"/>
        <v>7315.2</v>
      </c>
      <c r="H136" s="13" t="e">
        <f t="shared" ca="1" si="156"/>
        <v>#N/A</v>
      </c>
      <c r="I136" s="13" t="e">
        <f t="shared" ca="1" si="157"/>
        <v>#N/A</v>
      </c>
      <c r="J136" s="13">
        <f t="shared" ca="1" si="158"/>
        <v>0</v>
      </c>
      <c r="K136" s="13" t="e">
        <f t="shared" ca="1" si="159"/>
        <v>#N/A</v>
      </c>
      <c r="L136" s="13" t="e">
        <f t="shared" ca="1" si="160"/>
        <v>#N/A</v>
      </c>
      <c r="M136" t="e">
        <f t="shared" ca="1" si="161"/>
        <v>#N/A</v>
      </c>
      <c r="N136" t="e">
        <f t="shared" ca="1" si="162"/>
        <v>#N/A</v>
      </c>
    </row>
    <row r="137" spans="1:14" x14ac:dyDescent="0.25">
      <c r="A137" s="8">
        <f t="shared" si="151"/>
        <v>0.42893518518518398</v>
      </c>
      <c r="B137" s="4">
        <f t="shared" si="152"/>
        <v>1060</v>
      </c>
      <c r="C137">
        <v>5</v>
      </c>
      <c r="D137">
        <v>93</v>
      </c>
      <c r="E137" t="e">
        <f t="shared" ca="1" si="153"/>
        <v>#N/A</v>
      </c>
      <c r="F137" t="e">
        <f t="shared" ca="1" si="154"/>
        <v>#N/A</v>
      </c>
      <c r="G137">
        <f t="shared" ca="1" si="155"/>
        <v>7315.2</v>
      </c>
      <c r="H137" s="13" t="e">
        <f t="shared" ca="1" si="156"/>
        <v>#N/A</v>
      </c>
      <c r="I137" s="13" t="e">
        <f t="shared" ca="1" si="157"/>
        <v>#N/A</v>
      </c>
      <c r="J137" s="13">
        <f t="shared" ca="1" si="158"/>
        <v>0</v>
      </c>
      <c r="K137" s="13" t="e">
        <f t="shared" ca="1" si="159"/>
        <v>#N/A</v>
      </c>
      <c r="L137" s="13" t="e">
        <f t="shared" ca="1" si="160"/>
        <v>#N/A</v>
      </c>
      <c r="M137" t="e">
        <f t="shared" ca="1" si="161"/>
        <v>#N/A</v>
      </c>
      <c r="N137" t="e">
        <f t="shared" ca="1" si="162"/>
        <v>#N/A</v>
      </c>
    </row>
    <row r="138" spans="1:14" x14ac:dyDescent="0.25">
      <c r="A138" s="8">
        <f t="shared" si="151"/>
        <v>0.42899305555555434</v>
      </c>
      <c r="B138" s="4">
        <f t="shared" si="152"/>
        <v>1065</v>
      </c>
      <c r="C138">
        <v>5</v>
      </c>
      <c r="D138">
        <v>93</v>
      </c>
      <c r="E138" t="e">
        <f t="shared" ca="1" si="153"/>
        <v>#N/A</v>
      </c>
      <c r="F138" t="e">
        <f t="shared" ca="1" si="154"/>
        <v>#N/A</v>
      </c>
      <c r="G138">
        <f t="shared" ca="1" si="155"/>
        <v>7315.2</v>
      </c>
      <c r="H138" s="13" t="e">
        <f t="shared" ca="1" si="156"/>
        <v>#N/A</v>
      </c>
      <c r="I138" s="13" t="e">
        <f t="shared" ca="1" si="157"/>
        <v>#N/A</v>
      </c>
      <c r="J138" s="13">
        <f t="shared" ca="1" si="158"/>
        <v>0</v>
      </c>
      <c r="K138" s="13" t="e">
        <f t="shared" ca="1" si="159"/>
        <v>#N/A</v>
      </c>
      <c r="L138" s="13" t="e">
        <f t="shared" ca="1" si="160"/>
        <v>#N/A</v>
      </c>
      <c r="M138" t="e">
        <f t="shared" ca="1" si="161"/>
        <v>#N/A</v>
      </c>
      <c r="N138" t="e">
        <f t="shared" ca="1" si="162"/>
        <v>#N/A</v>
      </c>
    </row>
    <row r="139" spans="1:14" x14ac:dyDescent="0.25">
      <c r="A139" s="8">
        <f t="shared" si="151"/>
        <v>0.4290509259259247</v>
      </c>
      <c r="B139" s="4">
        <f t="shared" si="152"/>
        <v>1070</v>
      </c>
      <c r="C139">
        <v>5</v>
      </c>
      <c r="D139">
        <v>93</v>
      </c>
      <c r="E139" t="e">
        <f t="shared" ca="1" si="153"/>
        <v>#N/A</v>
      </c>
      <c r="F139" t="e">
        <f t="shared" ca="1" si="154"/>
        <v>#N/A</v>
      </c>
      <c r="G139">
        <f t="shared" ca="1" si="155"/>
        <v>7315.2</v>
      </c>
      <c r="H139" s="13" t="e">
        <f t="shared" ca="1" si="156"/>
        <v>#N/A</v>
      </c>
      <c r="I139" s="13" t="e">
        <f t="shared" ca="1" si="157"/>
        <v>#N/A</v>
      </c>
      <c r="J139" s="13">
        <f t="shared" ca="1" si="158"/>
        <v>0</v>
      </c>
      <c r="K139" s="13" t="e">
        <f t="shared" ca="1" si="159"/>
        <v>#N/A</v>
      </c>
      <c r="L139" s="13" t="e">
        <f t="shared" ca="1" si="160"/>
        <v>#N/A</v>
      </c>
      <c r="M139" t="e">
        <f t="shared" ca="1" si="161"/>
        <v>#N/A</v>
      </c>
      <c r="N139" t="e">
        <f t="shared" ca="1" si="162"/>
        <v>#N/A</v>
      </c>
    </row>
    <row r="140" spans="1:14" x14ac:dyDescent="0.25">
      <c r="A140" s="8">
        <f t="shared" si="151"/>
        <v>0.42910879629629506</v>
      </c>
      <c r="B140" s="4">
        <f t="shared" si="152"/>
        <v>1075</v>
      </c>
      <c r="C140">
        <v>5</v>
      </c>
      <c r="D140">
        <v>93</v>
      </c>
      <c r="E140" t="e">
        <f t="shared" ca="1" si="153"/>
        <v>#N/A</v>
      </c>
      <c r="F140" t="e">
        <f t="shared" ca="1" si="154"/>
        <v>#N/A</v>
      </c>
      <c r="G140">
        <f t="shared" ca="1" si="155"/>
        <v>7315.2</v>
      </c>
      <c r="H140" s="13" t="e">
        <f t="shared" ca="1" si="156"/>
        <v>#N/A</v>
      </c>
      <c r="I140" s="13" t="e">
        <f t="shared" ca="1" si="157"/>
        <v>#N/A</v>
      </c>
      <c r="J140" s="13">
        <f t="shared" ca="1" si="158"/>
        <v>0</v>
      </c>
      <c r="K140" s="13" t="e">
        <f t="shared" ca="1" si="159"/>
        <v>#N/A</v>
      </c>
      <c r="L140" s="13" t="e">
        <f t="shared" ca="1" si="160"/>
        <v>#N/A</v>
      </c>
      <c r="M140" t="e">
        <f t="shared" ca="1" si="161"/>
        <v>#N/A</v>
      </c>
      <c r="N140" t="e">
        <f t="shared" ca="1" si="162"/>
        <v>#N/A</v>
      </c>
    </row>
    <row r="141" spans="1:14" x14ac:dyDescent="0.25">
      <c r="A141" s="8">
        <f t="shared" si="151"/>
        <v>0.42916666666666542</v>
      </c>
      <c r="B141" s="4">
        <f t="shared" si="152"/>
        <v>1080</v>
      </c>
      <c r="C141">
        <v>5</v>
      </c>
      <c r="D141">
        <v>93</v>
      </c>
      <c r="E141" t="e">
        <f t="shared" ca="1" si="153"/>
        <v>#N/A</v>
      </c>
      <c r="F141" t="e">
        <f t="shared" ca="1" si="154"/>
        <v>#N/A</v>
      </c>
      <c r="G141">
        <f t="shared" ca="1" si="155"/>
        <v>7315.2</v>
      </c>
      <c r="H141" s="13" t="e">
        <f t="shared" ca="1" si="156"/>
        <v>#N/A</v>
      </c>
      <c r="I141" s="13" t="e">
        <f t="shared" ca="1" si="157"/>
        <v>#N/A</v>
      </c>
      <c r="J141" s="13">
        <f t="shared" ca="1" si="158"/>
        <v>0</v>
      </c>
      <c r="K141" s="13" t="e">
        <f t="shared" ca="1" si="159"/>
        <v>#N/A</v>
      </c>
      <c r="L141" s="13" t="e">
        <f t="shared" ca="1" si="160"/>
        <v>#N/A</v>
      </c>
      <c r="M141" t="e">
        <f t="shared" ca="1" si="161"/>
        <v>#N/A</v>
      </c>
      <c r="N141" t="e">
        <f t="shared" ca="1" si="162"/>
        <v>#N/A</v>
      </c>
    </row>
    <row r="142" spans="1:14" x14ac:dyDescent="0.25">
      <c r="A142" s="8">
        <f t="shared" si="151"/>
        <v>0.42922453703703578</v>
      </c>
      <c r="B142" s="4">
        <f t="shared" si="152"/>
        <v>1085</v>
      </c>
      <c r="C142">
        <v>5</v>
      </c>
      <c r="D142">
        <v>93</v>
      </c>
      <c r="E142" t="e">
        <f t="shared" ca="1" si="153"/>
        <v>#N/A</v>
      </c>
      <c r="F142" t="e">
        <f t="shared" ca="1" si="154"/>
        <v>#N/A</v>
      </c>
      <c r="G142">
        <f t="shared" ca="1" si="155"/>
        <v>7315.2</v>
      </c>
      <c r="H142" s="13" t="e">
        <f t="shared" ca="1" si="156"/>
        <v>#N/A</v>
      </c>
      <c r="I142" s="13" t="e">
        <f t="shared" ca="1" si="157"/>
        <v>#N/A</v>
      </c>
      <c r="J142" s="13">
        <f t="shared" ca="1" si="158"/>
        <v>0</v>
      </c>
      <c r="K142" s="13" t="e">
        <f t="shared" ca="1" si="159"/>
        <v>#N/A</v>
      </c>
      <c r="L142" s="13" t="e">
        <f t="shared" ca="1" si="160"/>
        <v>#N/A</v>
      </c>
      <c r="M142" t="e">
        <f t="shared" ca="1" si="161"/>
        <v>#N/A</v>
      </c>
      <c r="N142" t="e">
        <f t="shared" ca="1" si="162"/>
        <v>#N/A</v>
      </c>
    </row>
    <row r="143" spans="1:14" x14ac:dyDescent="0.25">
      <c r="A143" s="8">
        <f t="shared" si="151"/>
        <v>0.42928240740740614</v>
      </c>
      <c r="B143" s="4">
        <f t="shared" si="152"/>
        <v>1090</v>
      </c>
      <c r="C143">
        <v>5</v>
      </c>
      <c r="D143">
        <v>93</v>
      </c>
      <c r="E143" t="e">
        <f t="shared" ca="1" si="153"/>
        <v>#N/A</v>
      </c>
      <c r="F143" t="e">
        <f t="shared" ca="1" si="154"/>
        <v>#N/A</v>
      </c>
      <c r="G143">
        <f t="shared" ca="1" si="155"/>
        <v>7315.2</v>
      </c>
      <c r="H143" s="13" t="e">
        <f t="shared" ca="1" si="156"/>
        <v>#N/A</v>
      </c>
      <c r="I143" s="13" t="e">
        <f t="shared" ca="1" si="157"/>
        <v>#N/A</v>
      </c>
      <c r="J143" s="13">
        <f t="shared" ca="1" si="158"/>
        <v>0</v>
      </c>
      <c r="K143" s="13" t="e">
        <f t="shared" ca="1" si="159"/>
        <v>#N/A</v>
      </c>
      <c r="L143" s="13" t="e">
        <f t="shared" ca="1" si="160"/>
        <v>#N/A</v>
      </c>
      <c r="M143" t="e">
        <f t="shared" ca="1" si="161"/>
        <v>#N/A</v>
      </c>
      <c r="N143" t="e">
        <f t="shared" ca="1" si="162"/>
        <v>#N/A</v>
      </c>
    </row>
    <row r="144" spans="1:14" x14ac:dyDescent="0.25">
      <c r="A144" s="8">
        <f t="shared" si="151"/>
        <v>0.4293402777777765</v>
      </c>
      <c r="B144" s="4">
        <f t="shared" si="152"/>
        <v>1095</v>
      </c>
      <c r="C144">
        <v>5</v>
      </c>
      <c r="D144">
        <v>93</v>
      </c>
      <c r="E144" t="e">
        <f t="shared" ca="1" si="153"/>
        <v>#N/A</v>
      </c>
      <c r="F144" t="e">
        <f t="shared" ca="1" si="154"/>
        <v>#N/A</v>
      </c>
      <c r="G144">
        <f t="shared" ca="1" si="155"/>
        <v>7315.2</v>
      </c>
      <c r="H144" s="13" t="e">
        <f t="shared" ca="1" si="156"/>
        <v>#N/A</v>
      </c>
      <c r="I144" s="13" t="e">
        <f t="shared" ca="1" si="157"/>
        <v>#N/A</v>
      </c>
      <c r="J144" s="13">
        <f t="shared" ca="1" si="158"/>
        <v>0</v>
      </c>
      <c r="K144" s="13" t="e">
        <f t="shared" ca="1" si="159"/>
        <v>#N/A</v>
      </c>
      <c r="L144" s="13" t="e">
        <f t="shared" ca="1" si="160"/>
        <v>#N/A</v>
      </c>
      <c r="M144" t="e">
        <f t="shared" ca="1" si="161"/>
        <v>#N/A</v>
      </c>
      <c r="N144" t="e">
        <f t="shared" ca="1" si="162"/>
        <v>#N/A</v>
      </c>
    </row>
    <row r="145" spans="1:14" x14ac:dyDescent="0.25">
      <c r="A145" s="8">
        <f t="shared" si="151"/>
        <v>0.42939814814814686</v>
      </c>
      <c r="B145" s="4">
        <f t="shared" si="152"/>
        <v>1100</v>
      </c>
      <c r="C145">
        <v>5</v>
      </c>
      <c r="D145">
        <v>93</v>
      </c>
      <c r="E145" t="e">
        <f t="shared" ca="1" si="153"/>
        <v>#N/A</v>
      </c>
      <c r="F145" t="e">
        <f t="shared" ca="1" si="154"/>
        <v>#N/A</v>
      </c>
      <c r="G145">
        <f t="shared" ca="1" si="155"/>
        <v>7315.2</v>
      </c>
      <c r="H145" s="13" t="e">
        <f t="shared" ca="1" si="156"/>
        <v>#N/A</v>
      </c>
      <c r="I145" s="13" t="e">
        <f t="shared" ca="1" si="157"/>
        <v>#N/A</v>
      </c>
      <c r="J145" s="13">
        <f t="shared" ca="1" si="158"/>
        <v>0</v>
      </c>
      <c r="K145" s="13" t="e">
        <f t="shared" ca="1" si="159"/>
        <v>#N/A</v>
      </c>
      <c r="L145" s="13" t="e">
        <f t="shared" ca="1" si="160"/>
        <v>#N/A</v>
      </c>
      <c r="M145" t="e">
        <f t="shared" ca="1" si="161"/>
        <v>#N/A</v>
      </c>
      <c r="N145" t="e">
        <f t="shared" ca="1" si="162"/>
        <v>#N/A</v>
      </c>
    </row>
    <row r="146" spans="1:14" x14ac:dyDescent="0.25">
      <c r="A146" s="8">
        <f t="shared" si="151"/>
        <v>0.42945601851851722</v>
      </c>
      <c r="B146" s="4">
        <f t="shared" si="152"/>
        <v>1105</v>
      </c>
      <c r="C146">
        <v>5</v>
      </c>
      <c r="D146">
        <v>93</v>
      </c>
      <c r="E146" t="e">
        <f t="shared" ca="1" si="153"/>
        <v>#N/A</v>
      </c>
      <c r="F146" t="e">
        <f t="shared" ca="1" si="154"/>
        <v>#N/A</v>
      </c>
      <c r="G146">
        <f t="shared" ca="1" si="155"/>
        <v>7315.2</v>
      </c>
      <c r="H146" s="13" t="e">
        <f t="shared" ca="1" si="156"/>
        <v>#N/A</v>
      </c>
      <c r="I146" s="13" t="e">
        <f t="shared" ca="1" si="157"/>
        <v>#N/A</v>
      </c>
      <c r="J146" s="13">
        <f t="shared" ca="1" si="158"/>
        <v>0</v>
      </c>
      <c r="K146" s="13" t="e">
        <f t="shared" ca="1" si="159"/>
        <v>#N/A</v>
      </c>
      <c r="L146" s="13" t="e">
        <f t="shared" ca="1" si="160"/>
        <v>#N/A</v>
      </c>
      <c r="M146" t="e">
        <f t="shared" ca="1" si="161"/>
        <v>#N/A</v>
      </c>
      <c r="N146" t="e">
        <f t="shared" ca="1" si="162"/>
        <v>#N/A</v>
      </c>
    </row>
    <row r="147" spans="1:14" x14ac:dyDescent="0.25">
      <c r="A147" s="8">
        <f t="shared" si="151"/>
        <v>0.42951388888888758</v>
      </c>
      <c r="B147" s="4">
        <f t="shared" si="152"/>
        <v>1110</v>
      </c>
      <c r="C147">
        <v>5</v>
      </c>
      <c r="D147">
        <v>93</v>
      </c>
      <c r="E147" t="e">
        <f t="shared" ca="1" si="153"/>
        <v>#N/A</v>
      </c>
      <c r="F147" t="e">
        <f t="shared" ca="1" si="154"/>
        <v>#N/A</v>
      </c>
      <c r="G147">
        <f t="shared" ca="1" si="155"/>
        <v>7315.2</v>
      </c>
      <c r="H147" s="13" t="e">
        <f t="shared" ca="1" si="156"/>
        <v>#N/A</v>
      </c>
      <c r="I147" s="13" t="e">
        <f t="shared" ca="1" si="157"/>
        <v>#N/A</v>
      </c>
      <c r="J147" s="13">
        <f t="shared" ca="1" si="158"/>
        <v>0</v>
      </c>
      <c r="K147" s="13" t="e">
        <f t="shared" ca="1" si="159"/>
        <v>#N/A</v>
      </c>
      <c r="L147" s="13" t="e">
        <f t="shared" ca="1" si="160"/>
        <v>#N/A</v>
      </c>
      <c r="M147" t="e">
        <f t="shared" ca="1" si="161"/>
        <v>#N/A</v>
      </c>
      <c r="N147" t="e">
        <f t="shared" ca="1" si="162"/>
        <v>#N/A</v>
      </c>
    </row>
    <row r="148" spans="1:14" x14ac:dyDescent="0.25">
      <c r="A148" s="8">
        <f t="shared" si="151"/>
        <v>0.42957175925925795</v>
      </c>
      <c r="B148" s="4">
        <f t="shared" si="152"/>
        <v>1115</v>
      </c>
      <c r="C148">
        <v>5</v>
      </c>
      <c r="D148">
        <v>93</v>
      </c>
      <c r="E148" t="e">
        <f t="shared" ca="1" si="153"/>
        <v>#N/A</v>
      </c>
      <c r="F148" t="e">
        <f t="shared" ca="1" si="154"/>
        <v>#N/A</v>
      </c>
      <c r="G148">
        <f t="shared" ca="1" si="155"/>
        <v>7315.2</v>
      </c>
      <c r="H148" s="13" t="e">
        <f t="shared" ca="1" si="156"/>
        <v>#N/A</v>
      </c>
      <c r="I148" s="13" t="e">
        <f t="shared" ca="1" si="157"/>
        <v>#N/A</v>
      </c>
      <c r="J148" s="13">
        <f t="shared" ca="1" si="158"/>
        <v>0</v>
      </c>
      <c r="K148" s="13" t="e">
        <f t="shared" ca="1" si="159"/>
        <v>#N/A</v>
      </c>
      <c r="L148" s="13" t="e">
        <f t="shared" ca="1" si="160"/>
        <v>#N/A</v>
      </c>
      <c r="M148" t="e">
        <f t="shared" ca="1" si="161"/>
        <v>#N/A</v>
      </c>
      <c r="N148" t="e">
        <f t="shared" ca="1" si="162"/>
        <v>#N/A</v>
      </c>
    </row>
    <row r="149" spans="1:14" x14ac:dyDescent="0.25">
      <c r="A149" s="8">
        <f t="shared" si="151"/>
        <v>0.42962962962962831</v>
      </c>
      <c r="B149" s="4">
        <f t="shared" si="152"/>
        <v>1120</v>
      </c>
      <c r="C149">
        <v>5</v>
      </c>
      <c r="D149">
        <v>93</v>
      </c>
      <c r="E149" t="e">
        <f t="shared" ca="1" si="153"/>
        <v>#N/A</v>
      </c>
      <c r="F149" t="e">
        <f t="shared" ca="1" si="154"/>
        <v>#N/A</v>
      </c>
      <c r="G149">
        <f t="shared" ca="1" si="155"/>
        <v>7315.2</v>
      </c>
      <c r="H149" s="13" t="e">
        <f t="shared" ca="1" si="156"/>
        <v>#N/A</v>
      </c>
      <c r="I149" s="13" t="e">
        <f t="shared" ca="1" si="157"/>
        <v>#N/A</v>
      </c>
      <c r="J149" s="13">
        <f t="shared" ca="1" si="158"/>
        <v>0</v>
      </c>
      <c r="K149" s="13" t="e">
        <f t="shared" ca="1" si="159"/>
        <v>#N/A</v>
      </c>
      <c r="L149" s="13" t="e">
        <f t="shared" ca="1" si="160"/>
        <v>#N/A</v>
      </c>
      <c r="M149" t="e">
        <f t="shared" ca="1" si="161"/>
        <v>#N/A</v>
      </c>
      <c r="N149" t="e">
        <f t="shared" ca="1" si="162"/>
        <v>#N/A</v>
      </c>
    </row>
    <row r="150" spans="1:14" x14ac:dyDescent="0.25">
      <c r="A150" s="8">
        <f t="shared" si="151"/>
        <v>0.42968749999999867</v>
      </c>
      <c r="B150" s="4">
        <f t="shared" si="152"/>
        <v>1125</v>
      </c>
      <c r="C150">
        <v>5</v>
      </c>
      <c r="D150">
        <v>93</v>
      </c>
      <c r="E150" t="e">
        <f t="shared" ca="1" si="153"/>
        <v>#N/A</v>
      </c>
      <c r="F150" t="e">
        <f t="shared" ca="1" si="154"/>
        <v>#N/A</v>
      </c>
      <c r="G150">
        <f t="shared" ca="1" si="155"/>
        <v>7315.2</v>
      </c>
      <c r="H150" s="13" t="e">
        <f t="shared" ca="1" si="156"/>
        <v>#N/A</v>
      </c>
      <c r="I150" s="13" t="e">
        <f t="shared" ca="1" si="157"/>
        <v>#N/A</v>
      </c>
      <c r="J150" s="13">
        <f t="shared" ca="1" si="158"/>
        <v>0</v>
      </c>
      <c r="K150" s="13" t="e">
        <f t="shared" ca="1" si="159"/>
        <v>#N/A</v>
      </c>
      <c r="L150" s="13" t="e">
        <f t="shared" ca="1" si="160"/>
        <v>#N/A</v>
      </c>
      <c r="M150" t="e">
        <f t="shared" ca="1" si="161"/>
        <v>#N/A</v>
      </c>
      <c r="N150" t="e">
        <f t="shared" ca="1" si="162"/>
        <v>#N/A</v>
      </c>
    </row>
    <row r="151" spans="1:14" x14ac:dyDescent="0.25">
      <c r="A151" s="8">
        <f t="shared" si="151"/>
        <v>0.42974537037036903</v>
      </c>
      <c r="B151" s="4">
        <f t="shared" si="152"/>
        <v>1130</v>
      </c>
      <c r="C151">
        <v>5</v>
      </c>
      <c r="D151">
        <v>93</v>
      </c>
      <c r="E151" t="e">
        <f t="shared" ca="1" si="153"/>
        <v>#N/A</v>
      </c>
      <c r="F151" t="e">
        <f t="shared" ca="1" si="154"/>
        <v>#N/A</v>
      </c>
      <c r="G151">
        <f t="shared" ca="1" si="155"/>
        <v>7315.2</v>
      </c>
      <c r="H151" s="13" t="e">
        <f t="shared" ca="1" si="156"/>
        <v>#N/A</v>
      </c>
      <c r="I151" s="13" t="e">
        <f t="shared" ca="1" si="157"/>
        <v>#N/A</v>
      </c>
      <c r="J151" s="13">
        <f t="shared" ca="1" si="158"/>
        <v>0</v>
      </c>
      <c r="K151" s="13" t="e">
        <f t="shared" ca="1" si="159"/>
        <v>#N/A</v>
      </c>
      <c r="L151" s="13" t="e">
        <f t="shared" ca="1" si="160"/>
        <v>#N/A</v>
      </c>
      <c r="M151" t="e">
        <f t="shared" ca="1" si="161"/>
        <v>#N/A</v>
      </c>
      <c r="N151" t="e">
        <f t="shared" ca="1" si="162"/>
        <v>#N/A</v>
      </c>
    </row>
    <row r="152" spans="1:14" x14ac:dyDescent="0.25">
      <c r="A152" s="8">
        <f t="shared" ref="A152:A153" si="163">A151+5/24/3600</f>
        <v>0.42980324074073939</v>
      </c>
      <c r="B152" s="4">
        <f t="shared" ref="B152:B153" si="164">B151+SECOND(A152-A151)</f>
        <v>1135</v>
      </c>
      <c r="C152">
        <v>5</v>
      </c>
      <c r="D152">
        <v>93</v>
      </c>
      <c r="E152" t="e">
        <f t="shared" ref="E152:E153" ca="1" si="165">INDIRECT("E$"&amp;C152)+INDIRECT("H$"&amp;C152)*($B152-INDIRECT("B$"&amp;D152))</f>
        <v>#N/A</v>
      </c>
      <c r="F152" t="e">
        <f t="shared" ref="F152:F153" ca="1" si="166">INDIRECT("F$"&amp;C152)+INDIRECT("I$"&amp;C152)*($B152-INDIRECT("B$"&amp;D152))</f>
        <v>#N/A</v>
      </c>
      <c r="G152">
        <f t="shared" ref="G152:G153" ca="1" si="167">INDIRECT("G$"&amp;C152)+INDIRECT("J$"&amp;C152)*($B152-INDIRECT("B$"&amp;D152))</f>
        <v>7315.2</v>
      </c>
      <c r="H152" s="13" t="e">
        <f t="shared" ref="H152" ca="1" si="168">(E153-E152)/($B153-$B152)</f>
        <v>#N/A</v>
      </c>
      <c r="I152" s="13" t="e">
        <f t="shared" ref="I152" ca="1" si="169">(F153-F152)/($B153-$B152)</f>
        <v>#N/A</v>
      </c>
      <c r="J152" s="13">
        <f t="shared" ref="J152" ca="1" si="170">(G153-G152)/($B153-$B152)</f>
        <v>0</v>
      </c>
      <c r="K152" s="13" t="e">
        <f t="shared" ref="K152" ca="1" si="171">SQRT(H152*H152+I152*I152)</f>
        <v>#N/A</v>
      </c>
      <c r="L152" s="13" t="e">
        <f t="shared" ref="L152:L153" ca="1" si="172">DEGREES(ATAN2(I152,H152))</f>
        <v>#N/A</v>
      </c>
      <c r="M152" t="e">
        <f t="shared" ref="M152:M153" ca="1" si="173">INDIRECT("M$"&amp;C152)+INDIRECT("O$"&amp;C152)*($B152-INDIRECT("B$"&amp;D152))</f>
        <v>#N/A</v>
      </c>
      <c r="N152" t="e">
        <f t="shared" ref="N152:N153" ca="1" si="174">INDIRECT("N$"&amp;C152)+INDIRECT("P$"&amp;C152)*($B152-INDIRECT("B$"&amp;D152))</f>
        <v>#N/A</v>
      </c>
    </row>
    <row r="153" spans="1:14" x14ac:dyDescent="0.25">
      <c r="A153" s="8">
        <f t="shared" si="163"/>
        <v>0.42986111111110975</v>
      </c>
      <c r="B153" s="4">
        <f t="shared" si="164"/>
        <v>1140</v>
      </c>
      <c r="C153">
        <v>6</v>
      </c>
      <c r="D153">
        <v>153</v>
      </c>
      <c r="E153" t="e">
        <f t="shared" ca="1" si="165"/>
        <v>#N/A</v>
      </c>
      <c r="F153" t="e">
        <f t="shared" ca="1" si="166"/>
        <v>#N/A</v>
      </c>
      <c r="G153">
        <f t="shared" ca="1" si="167"/>
        <v>7315.2</v>
      </c>
      <c r="H153" s="13" t="e">
        <f t="shared" ref="H153:K153" ca="1" si="175">H152</f>
        <v>#N/A</v>
      </c>
      <c r="I153" s="13" t="e">
        <f t="shared" ca="1" si="175"/>
        <v>#N/A</v>
      </c>
      <c r="J153" s="13">
        <f t="shared" ca="1" si="175"/>
        <v>0</v>
      </c>
      <c r="K153" s="13" t="e">
        <f t="shared" ca="1" si="175"/>
        <v>#N/A</v>
      </c>
      <c r="L153" s="13" t="e">
        <f t="shared" ca="1" si="172"/>
        <v>#N/A</v>
      </c>
      <c r="M153" t="e">
        <f t="shared" ca="1" si="173"/>
        <v>#N/A</v>
      </c>
      <c r="N153" t="e">
        <f t="shared" ca="1" si="174"/>
        <v>#N/A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4"/>
  <sheetViews>
    <sheetView workbookViewId="0">
      <selection activeCell="A2" sqref="A2"/>
    </sheetView>
  </sheetViews>
  <sheetFormatPr defaultRowHeight="15" x14ac:dyDescent="0.25"/>
  <sheetData>
    <row r="1" spans="1:6" x14ac:dyDescent="0.25">
      <c r="A1" t="s">
        <v>32</v>
      </c>
      <c r="C1" t="s">
        <v>29</v>
      </c>
      <c r="D1" t="s">
        <v>21</v>
      </c>
      <c r="E1" t="s">
        <v>22</v>
      </c>
      <c r="F1" t="s">
        <v>30</v>
      </c>
    </row>
    <row r="2" spans="1:6" x14ac:dyDescent="0.25">
      <c r="A2" s="1">
        <v>0.42152777777777778</v>
      </c>
      <c r="B2" s="1" t="s">
        <v>0</v>
      </c>
      <c r="C2">
        <v>240</v>
      </c>
      <c r="D2" t="e">
        <f>VLOOKUP($B2,Beacons!$A$7:$J$47,9,FALSE)</f>
        <v>#N/A</v>
      </c>
      <c r="E2" t="e">
        <f>VLOOKUP($B2,Beacons!$A$7:$J$47,9,FALSE)</f>
        <v>#N/A</v>
      </c>
      <c r="F2">
        <f>C2*Beacons!$R$2</f>
        <v>7315.2</v>
      </c>
    </row>
    <row r="3" spans="1:6" x14ac:dyDescent="0.25">
      <c r="A3" s="1">
        <v>0.42638888888888887</v>
      </c>
      <c r="B3" s="1" t="s">
        <v>2</v>
      </c>
      <c r="C3">
        <v>240</v>
      </c>
      <c r="D3" t="e">
        <f>VLOOKUP($B3,Beacons!$A$7:$J$47,9,FALSE)</f>
        <v>#N/A</v>
      </c>
      <c r="E3" t="e">
        <f>VLOOKUP($B3,Beacons!$A$7:$J$47,9,FALSE)</f>
        <v>#N/A</v>
      </c>
      <c r="F3">
        <f>C3*Beacons!$R$2</f>
        <v>7315.2</v>
      </c>
    </row>
    <row r="4" spans="1:6" x14ac:dyDescent="0.25">
      <c r="A4" s="1"/>
      <c r="B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1"/>
  <sheetViews>
    <sheetView workbookViewId="0">
      <selection activeCell="D9" sqref="D9"/>
    </sheetView>
  </sheetViews>
  <sheetFormatPr defaultRowHeight="15" x14ac:dyDescent="0.25"/>
  <cols>
    <col min="1" max="1" width="9.140625" customWidth="1"/>
  </cols>
  <sheetData>
    <row r="1" spans="1:7" x14ac:dyDescent="0.25">
      <c r="A1" t="s">
        <v>34</v>
      </c>
      <c r="C1" t="s">
        <v>29</v>
      </c>
      <c r="D1" t="s">
        <v>21</v>
      </c>
      <c r="E1" t="s">
        <v>22</v>
      </c>
      <c r="F1" t="s">
        <v>30</v>
      </c>
    </row>
    <row r="2" spans="1:7" x14ac:dyDescent="0.25">
      <c r="A2" s="1">
        <v>0.4236111111111111</v>
      </c>
      <c r="B2" t="s">
        <v>1</v>
      </c>
      <c r="C2">
        <v>240</v>
      </c>
      <c r="D2" t="e">
        <f>VLOOKUP($B2,Beacons!$A$7:$J$47,9,FALSE)</f>
        <v>#N/A</v>
      </c>
      <c r="E2" t="e">
        <f>VLOOKUP($B2,Beacons!$A$7:$J$47,10,FALSE)</f>
        <v>#N/A</v>
      </c>
      <c r="F2">
        <f>C2*Beacons!$R$2</f>
        <v>7315.2</v>
      </c>
    </row>
    <row r="3" spans="1:7" x14ac:dyDescent="0.25">
      <c r="A3" s="6">
        <v>0.42638888888888887</v>
      </c>
      <c r="B3" s="5"/>
      <c r="C3" s="5">
        <v>240</v>
      </c>
      <c r="D3" s="5">
        <v>-35105.236666666664</v>
      </c>
      <c r="E3" s="5">
        <v>-44019.19</v>
      </c>
      <c r="F3" s="5">
        <f>C3*Beacons!$R$2</f>
        <v>7315.2</v>
      </c>
      <c r="G3" s="7" t="s">
        <v>33</v>
      </c>
    </row>
    <row r="4" spans="1:7" x14ac:dyDescent="0.25">
      <c r="A4" s="1">
        <v>0.42777777777777781</v>
      </c>
      <c r="B4" s="1" t="s">
        <v>2</v>
      </c>
      <c r="C4">
        <v>240</v>
      </c>
      <c r="D4" t="e">
        <f>VLOOKUP($B4,Beacons!$A$7:$J$47,9,FALSE)</f>
        <v>#N/A</v>
      </c>
      <c r="E4" t="e">
        <f>VLOOKUP($B4,Beacons!$A$7:$J$47,10,FALSE)</f>
        <v>#N/A</v>
      </c>
      <c r="F4">
        <f>C4*Beacons!$R$2</f>
        <v>7315.2</v>
      </c>
    </row>
    <row r="5" spans="1:7" x14ac:dyDescent="0.25">
      <c r="A5" s="1">
        <v>0.43124999999999997</v>
      </c>
      <c r="B5" t="s">
        <v>5</v>
      </c>
      <c r="C5">
        <v>240</v>
      </c>
      <c r="D5" t="e">
        <f>VLOOKUP($B5,Beacons!$A$7:$J$47,9,FALSE)</f>
        <v>#N/A</v>
      </c>
      <c r="E5" t="e">
        <f>VLOOKUP($B5,Beacons!$A$7:$J$47,10,FALSE)</f>
        <v>#N/A</v>
      </c>
      <c r="F5">
        <f>C5*Beacons!$R$2</f>
        <v>7315.2</v>
      </c>
    </row>
    <row r="8" spans="1:7" x14ac:dyDescent="0.25">
      <c r="A8" s="3">
        <f>A3-A2</f>
        <v>2.7777777777777679E-3</v>
      </c>
      <c r="C8" t="s">
        <v>35</v>
      </c>
      <c r="D8" t="e">
        <f>D4-D2</f>
        <v>#N/A</v>
      </c>
      <c r="E8" t="e">
        <f>E4-E2</f>
        <v>#N/A</v>
      </c>
    </row>
    <row r="9" spans="1:7" x14ac:dyDescent="0.25">
      <c r="A9" s="3">
        <f>A4-A3</f>
        <v>1.3888888888889395E-3</v>
      </c>
      <c r="C9" t="s">
        <v>36</v>
      </c>
      <c r="D9" s="4">
        <f>MINUTE(A4-A2)*60+SECOND(A4-A2)</f>
        <v>360</v>
      </c>
      <c r="E9" s="4">
        <f>D9</f>
        <v>360</v>
      </c>
    </row>
    <row r="10" spans="1:7" x14ac:dyDescent="0.25">
      <c r="C10" t="s">
        <v>37</v>
      </c>
      <c r="D10" t="e">
        <f>D8/D9</f>
        <v>#N/A</v>
      </c>
      <c r="E10" t="e">
        <f>E8/E9</f>
        <v>#N/A</v>
      </c>
    </row>
    <row r="11" spans="1:7" x14ac:dyDescent="0.25">
      <c r="B11">
        <v>240</v>
      </c>
      <c r="C11" t="s">
        <v>38</v>
      </c>
      <c r="D11" t="e">
        <f>D2+B11*D10</f>
        <v>#N/A</v>
      </c>
      <c r="E11" t="e">
        <f>E2+B11*E10</f>
        <v>#N/A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11"/>
  <sheetViews>
    <sheetView workbookViewId="0">
      <selection activeCell="D9" sqref="D9"/>
    </sheetView>
  </sheetViews>
  <sheetFormatPr defaultRowHeight="15" x14ac:dyDescent="0.25"/>
  <sheetData>
    <row r="1" spans="1:7" x14ac:dyDescent="0.25">
      <c r="A1" t="s">
        <v>40</v>
      </c>
      <c r="C1" t="s">
        <v>29</v>
      </c>
      <c r="D1" t="s">
        <v>21</v>
      </c>
      <c r="E1" t="s">
        <v>22</v>
      </c>
      <c r="F1" t="s">
        <v>30</v>
      </c>
    </row>
    <row r="2" spans="1:7" x14ac:dyDescent="0.25">
      <c r="A2" s="1">
        <v>0.4236111111111111</v>
      </c>
      <c r="B2" s="1" t="s">
        <v>39</v>
      </c>
      <c r="C2">
        <v>0</v>
      </c>
      <c r="D2" t="e">
        <f>VLOOKUP($B2,Beacons!$A$7:$J$47,9,FALSE)</f>
        <v>#N/A</v>
      </c>
      <c r="E2" t="e">
        <f>VLOOKUP($B2,Beacons!$A$7:$J$47,10,FALSE)</f>
        <v>#N/A</v>
      </c>
      <c r="F2">
        <f>C2*Beacons!$R$2</f>
        <v>0</v>
      </c>
    </row>
    <row r="3" spans="1:7" x14ac:dyDescent="0.25">
      <c r="A3" s="1">
        <v>0.42777777777777781</v>
      </c>
      <c r="B3" s="1" t="s">
        <v>3</v>
      </c>
      <c r="C3">
        <v>190</v>
      </c>
      <c r="D3" t="e">
        <f>VLOOKUP($B3,Beacons!$A$7:$J$47,9,FALSE)</f>
        <v>#N/A</v>
      </c>
      <c r="E3" t="e">
        <f>VLOOKUP($B3,Beacons!$A$7:$J$47,10,FALSE)</f>
        <v>#N/A</v>
      </c>
      <c r="F3">
        <f>C3*Beacons!$R$2</f>
        <v>5791.2</v>
      </c>
    </row>
    <row r="4" spans="1:7" x14ac:dyDescent="0.25">
      <c r="A4" s="6">
        <v>0.42986111111111108</v>
      </c>
      <c r="B4" s="6"/>
      <c r="C4" s="5">
        <v>240</v>
      </c>
      <c r="D4" s="5">
        <v>-35000</v>
      </c>
      <c r="E4" s="5">
        <v>-44000</v>
      </c>
      <c r="F4" s="5">
        <f>C4*Beacons!$R$2</f>
        <v>7315.2</v>
      </c>
      <c r="G4" s="7"/>
    </row>
    <row r="5" spans="1:7" x14ac:dyDescent="0.25">
      <c r="A5" s="1">
        <v>0.43333333333333335</v>
      </c>
      <c r="B5" s="1" t="s">
        <v>0</v>
      </c>
      <c r="C5">
        <v>240</v>
      </c>
      <c r="D5" t="e">
        <f>VLOOKUP($B5,Beacons!$A$7:$J$47,9,FALSE)</f>
        <v>#N/A</v>
      </c>
      <c r="E5" t="e">
        <f>VLOOKUP($B5,Beacons!$A$7:$J$47,10,FALSE)</f>
        <v>#N/A</v>
      </c>
      <c r="F5">
        <f>C5*Beacons!$R$2</f>
        <v>7315.2</v>
      </c>
    </row>
    <row r="8" spans="1:7" x14ac:dyDescent="0.25">
      <c r="C8" t="s">
        <v>35</v>
      </c>
      <c r="D8" t="e">
        <f>D5-D3</f>
        <v>#N/A</v>
      </c>
      <c r="E8" t="e">
        <f>E5-E3</f>
        <v>#N/A</v>
      </c>
    </row>
    <row r="9" spans="1:7" x14ac:dyDescent="0.25">
      <c r="C9" t="s">
        <v>36</v>
      </c>
      <c r="D9">
        <v>480</v>
      </c>
      <c r="E9">
        <v>480</v>
      </c>
    </row>
    <row r="10" spans="1:7" x14ac:dyDescent="0.25">
      <c r="C10" t="s">
        <v>37</v>
      </c>
      <c r="D10" t="e">
        <f>D8/D9</f>
        <v>#N/A</v>
      </c>
      <c r="E10" t="e">
        <f>E8/E9</f>
        <v>#N/A</v>
      </c>
      <c r="F10" t="e">
        <f>SQRT(D10*D10+E10*E10)</f>
        <v>#N/A</v>
      </c>
      <c r="G10" t="e">
        <f>F10*3.6</f>
        <v>#N/A</v>
      </c>
    </row>
    <row r="11" spans="1:7" x14ac:dyDescent="0.25">
      <c r="B11">
        <v>185</v>
      </c>
      <c r="C11" t="s">
        <v>38</v>
      </c>
      <c r="D11" t="e">
        <f>D3+B11*D10</f>
        <v>#N/A</v>
      </c>
      <c r="E11" t="e">
        <f>E3+B11*E10</f>
        <v>#N/A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G9"/>
  <sheetViews>
    <sheetView workbookViewId="0">
      <selection activeCell="E7" sqref="E7"/>
    </sheetView>
  </sheetViews>
  <sheetFormatPr defaultRowHeight="15" x14ac:dyDescent="0.25"/>
  <sheetData>
    <row r="1" spans="1:7" x14ac:dyDescent="0.25">
      <c r="A1" t="s">
        <v>41</v>
      </c>
      <c r="C1" t="s">
        <v>29</v>
      </c>
      <c r="D1" t="s">
        <v>21</v>
      </c>
      <c r="E1" t="s">
        <v>22</v>
      </c>
      <c r="F1" t="s">
        <v>30</v>
      </c>
    </row>
    <row r="2" spans="1:7" x14ac:dyDescent="0.25">
      <c r="A2" s="1">
        <v>0.42986111111111108</v>
      </c>
      <c r="B2" s="1" t="s">
        <v>3</v>
      </c>
      <c r="C2">
        <v>240</v>
      </c>
      <c r="D2" t="e">
        <f>VLOOKUP($B2,Beacons!$A$7:$J$47,9,FALSE)</f>
        <v>#N/A</v>
      </c>
      <c r="E2" t="e">
        <f>VLOOKUP($B2,Beacons!$A$7:$J$47,10,FALSE)</f>
        <v>#N/A</v>
      </c>
      <c r="F2">
        <f>C2*Beacons!$R$2</f>
        <v>7315.2</v>
      </c>
    </row>
    <row r="3" spans="1:7" x14ac:dyDescent="0.25">
      <c r="A3" s="1">
        <v>0.43263888888888885</v>
      </c>
      <c r="B3" s="1" t="s">
        <v>6</v>
      </c>
      <c r="C3">
        <v>240</v>
      </c>
      <c r="D3" t="e">
        <f>VLOOKUP($B3,Beacons!$A$7:$J$47,9,FALSE)</f>
        <v>#N/A</v>
      </c>
      <c r="E3" t="e">
        <f>VLOOKUP($B3,Beacons!$A$7:$J$47,10,FALSE)</f>
        <v>#N/A</v>
      </c>
      <c r="F3">
        <f>C3*Beacons!$R$2</f>
        <v>7315.2</v>
      </c>
    </row>
    <row r="6" spans="1:7" x14ac:dyDescent="0.25">
      <c r="C6" t="s">
        <v>35</v>
      </c>
      <c r="D6" t="e">
        <f>D3-D2</f>
        <v>#N/A</v>
      </c>
      <c r="E6" t="e">
        <f>E3-E2</f>
        <v>#N/A</v>
      </c>
    </row>
    <row r="7" spans="1:7" x14ac:dyDescent="0.25">
      <c r="C7" t="s">
        <v>36</v>
      </c>
      <c r="D7">
        <v>240</v>
      </c>
      <c r="E7">
        <f>D7</f>
        <v>240</v>
      </c>
    </row>
    <row r="8" spans="1:7" x14ac:dyDescent="0.25">
      <c r="C8" t="s">
        <v>37</v>
      </c>
      <c r="D8" t="e">
        <f>D6/D7</f>
        <v>#N/A</v>
      </c>
      <c r="E8" t="e">
        <f>E6/E7</f>
        <v>#N/A</v>
      </c>
      <c r="F8" t="e">
        <f>SQRT(D8*D8+E8*E8)</f>
        <v>#N/A</v>
      </c>
      <c r="G8" t="e">
        <f>F8*3.6</f>
        <v>#N/A</v>
      </c>
    </row>
    <row r="9" spans="1:7" x14ac:dyDescent="0.25">
      <c r="B9">
        <v>185</v>
      </c>
      <c r="C9" t="s">
        <v>38</v>
      </c>
      <c r="D9" t="e">
        <f>D2+B9*D8</f>
        <v>#N/A</v>
      </c>
      <c r="E9" t="e">
        <f>E2+B9*E8</f>
        <v>#N/A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10"/>
  <sheetViews>
    <sheetView workbookViewId="0">
      <selection activeCell="D8" sqref="D8"/>
    </sheetView>
  </sheetViews>
  <sheetFormatPr defaultRowHeight="15" x14ac:dyDescent="0.25"/>
  <sheetData>
    <row r="1" spans="1:7" x14ac:dyDescent="0.25">
      <c r="A1" t="s">
        <v>42</v>
      </c>
      <c r="C1" t="s">
        <v>29</v>
      </c>
      <c r="D1" t="s">
        <v>21</v>
      </c>
      <c r="E1" t="s">
        <v>22</v>
      </c>
      <c r="F1" t="s">
        <v>30</v>
      </c>
    </row>
    <row r="2" spans="1:7" x14ac:dyDescent="0.25">
      <c r="A2" s="1">
        <v>0.42986111111111108</v>
      </c>
      <c r="B2" s="1" t="s">
        <v>1</v>
      </c>
      <c r="C2">
        <v>270</v>
      </c>
      <c r="D2" t="e">
        <f>VLOOKUP($B2,Beacons!$A$7:$J$47,9,FALSE)</f>
        <v>#N/A</v>
      </c>
      <c r="E2" t="e">
        <f>VLOOKUP($B2,Beacons!$A$7:$J$47,10,FALSE)</f>
        <v>#N/A</v>
      </c>
      <c r="F2">
        <f>C2*Beacons!$R$2</f>
        <v>8229.6</v>
      </c>
    </row>
    <row r="3" spans="1:7" x14ac:dyDescent="0.25">
      <c r="A3" s="1">
        <v>0.43472222222222223</v>
      </c>
      <c r="B3" s="1" t="s">
        <v>2</v>
      </c>
      <c r="C3">
        <v>240</v>
      </c>
      <c r="D3" t="e">
        <f>VLOOKUP($B3,Beacons!$A$7:$J$47,9,FALSE)</f>
        <v>#N/A</v>
      </c>
      <c r="E3" t="e">
        <f>VLOOKUP($B3,Beacons!$A$7:$J$47,10,FALSE)</f>
        <v>#N/A</v>
      </c>
      <c r="F3">
        <f>C3*Beacons!$R$2</f>
        <v>7315.2</v>
      </c>
    </row>
    <row r="4" spans="1:7" x14ac:dyDescent="0.25">
      <c r="A4" s="1">
        <v>0.43541666666666662</v>
      </c>
      <c r="B4" s="1" t="s">
        <v>4</v>
      </c>
      <c r="C4">
        <v>150</v>
      </c>
      <c r="D4" t="e">
        <f>VLOOKUP($B4,Beacons!$A$7:$J$47,9,FALSE)</f>
        <v>#N/A</v>
      </c>
      <c r="E4" t="e">
        <f>VLOOKUP($B4,Beacons!$A$7:$J$47,10,FALSE)</f>
        <v>#N/A</v>
      </c>
      <c r="F4">
        <f>C4*Beacons!$R$2</f>
        <v>4572</v>
      </c>
    </row>
    <row r="7" spans="1:7" x14ac:dyDescent="0.25">
      <c r="C7" t="s">
        <v>35</v>
      </c>
      <c r="D7" t="e">
        <f>D4-D2</f>
        <v>#N/A</v>
      </c>
      <c r="E7" t="e">
        <f>E4-E2</f>
        <v>#N/A</v>
      </c>
    </row>
    <row r="8" spans="1:7" x14ac:dyDescent="0.25">
      <c r="C8" t="s">
        <v>36</v>
      </c>
      <c r="D8">
        <f>MINUTE(A4-A2)*60+SECOND(A4-A2)</f>
        <v>480</v>
      </c>
      <c r="E8">
        <f>D8</f>
        <v>480</v>
      </c>
    </row>
    <row r="9" spans="1:7" x14ac:dyDescent="0.25">
      <c r="C9" t="s">
        <v>37</v>
      </c>
      <c r="D9" t="e">
        <f>D7/D8</f>
        <v>#N/A</v>
      </c>
      <c r="E9" t="e">
        <f>E7/E8</f>
        <v>#N/A</v>
      </c>
      <c r="F9" t="e">
        <f>SQRT(D9*D9+E9*E9)</f>
        <v>#N/A</v>
      </c>
      <c r="G9" t="e">
        <f>F9*3.6</f>
        <v>#N/A</v>
      </c>
    </row>
    <row r="10" spans="1:7" x14ac:dyDescent="0.25">
      <c r="B10">
        <v>390</v>
      </c>
      <c r="C10" t="s">
        <v>38</v>
      </c>
      <c r="D10" t="e">
        <f>D2+B10*D9</f>
        <v>#N/A</v>
      </c>
      <c r="E10" t="e">
        <f>E2+B10*E9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Beacons</vt:lpstr>
      <vt:lpstr>Params</vt:lpstr>
      <vt:lpstr>GLP101</vt:lpstr>
      <vt:lpstr>GLP101 (2)</vt:lpstr>
      <vt:lpstr>KIL002</vt:lpstr>
      <vt:lpstr>GLP001</vt:lpstr>
      <vt:lpstr>GLP111</vt:lpstr>
      <vt:lpstr>KIL003</vt:lpstr>
      <vt:lpstr>GLP007</vt:lpstr>
      <vt:lpstr>GLP102</vt:lpstr>
      <vt:lpstr>GLP113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2019-04-14T22:01:01Z</dcterms:modified>
</cp:coreProperties>
</file>